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S BLANCO" sheetId="1" r:id="rId1"/>
    <sheet name="VS AR" sheetId="2" r:id="rId2"/>
    <sheet name="VS BLUE PROTECT" sheetId="3" r:id="rId3"/>
    <sheet name="VS FOTO AR" sheetId="4" r:id="rId4"/>
    <sheet name="VS FOTO BLUE" sheetId="5" r:id="rId5"/>
    <sheet name="VS FOTO" sheetId="6" r:id="rId6"/>
    <sheet name="FT-L28 BLANCO" sheetId="7" r:id="rId7"/>
    <sheet name="FT-L28 FOTO" sheetId="8" r:id="rId8"/>
    <sheet name="FT-L28 AR" sheetId="9" r:id="rId9"/>
    <sheet name="FT-L28 FOTO AR" sheetId="10" r:id="rId10"/>
    <sheet name="PROG AR" sheetId="11" r:id="rId11"/>
    <sheet name="PROG FOTO AR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0"/>
  <sheetViews>
    <sheetView workbookViewId="0" rightToLeft="0"/>
  </sheetViews>
  <sheetData>
    <row r="1">
      <c r="C1" s="2" t="str">
        <v>MONOFOCAL BLANCO</v>
      </c>
    </row>
    <row r="3">
      <c r="C3" s="2" t="str">
        <v>CILINDRO</v>
      </c>
      <c r="W3" s="2" t="str">
        <v>CILINDRO</v>
      </c>
    </row>
    <row r="4">
      <c r="C4" s="2" t="str">
        <v>(-)</v>
      </c>
      <c r="W4" s="2" t="str">
        <v>(-)</v>
      </c>
    </row>
    <row r="5">
      <c r="A5" s="2" t="str">
        <v>(-)</v>
      </c>
      <c r="C5" s="2" t="str">
        <v>0.00</v>
      </c>
      <c r="D5" s="2" t="str">
        <v>-0.25</v>
      </c>
      <c r="E5" s="2" t="str">
        <v>-0.50</v>
      </c>
      <c r="F5" s="2" t="str">
        <v>-0.75</v>
      </c>
      <c r="G5" s="2" t="str">
        <v>-1.00</v>
      </c>
      <c r="H5" s="2" t="str">
        <v>-1.25</v>
      </c>
      <c r="I5" s="2" t="str">
        <v>-1.50</v>
      </c>
      <c r="J5" s="2" t="str">
        <v>-1.75</v>
      </c>
      <c r="K5" s="2" t="str">
        <v>-2.00</v>
      </c>
      <c r="L5" s="2" t="str">
        <v>-2.25</v>
      </c>
      <c r="M5" s="2" t="str">
        <v>-2.50</v>
      </c>
      <c r="N5" s="2" t="str">
        <v>-2.75</v>
      </c>
      <c r="O5" s="2" t="str">
        <v>-3.00</v>
      </c>
      <c r="P5" s="2" t="str">
        <v>-3.25</v>
      </c>
      <c r="Q5" s="2" t="str">
        <v>-3.50</v>
      </c>
      <c r="R5" s="2" t="str">
        <v>-3.75</v>
      </c>
      <c r="S5" s="2" t="str">
        <v>-4.00</v>
      </c>
      <c r="U5" s="2" t="str">
        <v>(+)</v>
      </c>
      <c r="W5" s="2" t="str">
        <v>0.00</v>
      </c>
      <c r="X5" s="2" t="str">
        <v>-0.25</v>
      </c>
      <c r="Y5" s="2" t="str">
        <v>-0.50</v>
      </c>
      <c r="Z5" s="2" t="str">
        <v>-0.75</v>
      </c>
      <c r="AA5" s="2" t="str">
        <v>-1.00</v>
      </c>
      <c r="AB5" s="2" t="str">
        <v>-1.25</v>
      </c>
      <c r="AC5" s="2" t="str">
        <v>-1.50</v>
      </c>
      <c r="AD5" s="2" t="str">
        <v>-1.75</v>
      </c>
      <c r="AE5" s="2" t="str">
        <v>-2.00</v>
      </c>
      <c r="AF5" s="2" t="str">
        <v>-2.25</v>
      </c>
      <c r="AG5" s="2" t="str">
        <v>-2.50</v>
      </c>
      <c r="AH5" s="2" t="str">
        <v>-2.75</v>
      </c>
      <c r="AI5" s="2" t="str">
        <v>-3.00</v>
      </c>
      <c r="AJ5" s="2" t="str">
        <v>-3.25</v>
      </c>
      <c r="AK5" s="2" t="str">
        <v>-3.50</v>
      </c>
      <c r="AL5" s="2" t="str">
        <v>-3.75</v>
      </c>
      <c r="AM5" s="2" t="str">
        <v>-4.00</v>
      </c>
    </row>
    <row r="6">
      <c r="A6" s="2" t="str">
        <v>ESFERA (-)</v>
      </c>
      <c r="B6" s="2" t="str">
        <v>0.00</v>
      </c>
      <c r="C6" s="2">
        <v>11</v>
      </c>
      <c r="D6" s="2">
        <v>10</v>
      </c>
      <c r="E6" s="2">
        <v>5</v>
      </c>
      <c r="F6" s="2">
        <v>4</v>
      </c>
      <c r="G6" s="2">
        <v>10</v>
      </c>
      <c r="H6" s="2">
        <v>6</v>
      </c>
      <c r="I6" s="2">
        <v>10</v>
      </c>
      <c r="J6" s="2">
        <v>11</v>
      </c>
      <c r="K6" s="2">
        <v>11</v>
      </c>
      <c r="L6" s="2">
        <v>10</v>
      </c>
      <c r="M6" s="2">
        <v>10</v>
      </c>
      <c r="N6" s="2">
        <v>10</v>
      </c>
      <c r="O6" s="2">
        <v>10</v>
      </c>
      <c r="P6" s="2">
        <v>10</v>
      </c>
      <c r="Q6" s="2">
        <v>10</v>
      </c>
      <c r="R6" s="2">
        <v>10</v>
      </c>
      <c r="S6" s="2">
        <v>10</v>
      </c>
      <c r="U6" s="2" t="str">
        <v>ESFERA (+)</v>
      </c>
      <c r="V6" s="2" t="str">
        <v>+0.25</v>
      </c>
      <c r="W6" s="2">
        <v>10</v>
      </c>
      <c r="X6" s="2">
        <v>8</v>
      </c>
      <c r="Y6" s="2">
        <v>8</v>
      </c>
      <c r="Z6" s="2">
        <v>8</v>
      </c>
      <c r="AA6" s="2">
        <v>8</v>
      </c>
      <c r="AB6" s="2">
        <v>8</v>
      </c>
      <c r="AC6" s="2">
        <v>8</v>
      </c>
      <c r="AD6" s="2">
        <v>8</v>
      </c>
      <c r="AE6" s="2">
        <v>8</v>
      </c>
      <c r="AF6" s="2">
        <v>3</v>
      </c>
      <c r="AG6" s="2">
        <v>2</v>
      </c>
      <c r="AH6" s="2">
        <v>3</v>
      </c>
      <c r="AI6" s="2">
        <v>3</v>
      </c>
      <c r="AJ6" s="2">
        <v>3</v>
      </c>
      <c r="AK6" s="2">
        <v>3</v>
      </c>
      <c r="AL6" s="2">
        <v>3</v>
      </c>
      <c r="AM6" s="2">
        <v>3</v>
      </c>
    </row>
    <row r="7">
      <c r="B7" s="2" t="str">
        <v>-0.25</v>
      </c>
      <c r="C7" s="2">
        <v>8</v>
      </c>
      <c r="D7" s="2">
        <v>9</v>
      </c>
      <c r="E7" s="2">
        <v>5</v>
      </c>
      <c r="F7" s="2">
        <v>8</v>
      </c>
      <c r="G7" s="2">
        <v>7</v>
      </c>
      <c r="H7" s="2">
        <v>8</v>
      </c>
      <c r="I7" s="2">
        <v>8</v>
      </c>
      <c r="J7" s="2">
        <v>9</v>
      </c>
      <c r="K7" s="2">
        <v>8</v>
      </c>
      <c r="L7" s="2">
        <v>4</v>
      </c>
      <c r="M7" s="2">
        <v>3</v>
      </c>
      <c r="N7" s="2">
        <v>3</v>
      </c>
      <c r="O7" s="2">
        <v>3</v>
      </c>
      <c r="P7" s="2">
        <v>3</v>
      </c>
      <c r="Q7" s="2">
        <v>6</v>
      </c>
      <c r="R7" s="2">
        <v>3</v>
      </c>
      <c r="S7" s="2">
        <v>3</v>
      </c>
      <c r="V7" s="2" t="str">
        <v>+0.50</v>
      </c>
      <c r="W7" s="2">
        <v>10</v>
      </c>
      <c r="X7" s="2">
        <v>8</v>
      </c>
      <c r="Y7" s="2">
        <v>6</v>
      </c>
      <c r="Z7" s="2">
        <v>8</v>
      </c>
      <c r="AA7" s="2">
        <v>8</v>
      </c>
      <c r="AB7" s="2">
        <v>9</v>
      </c>
      <c r="AC7" s="2">
        <v>8</v>
      </c>
      <c r="AD7" s="2">
        <v>8</v>
      </c>
      <c r="AE7" s="2">
        <v>10</v>
      </c>
      <c r="AF7" s="2">
        <v>3</v>
      </c>
      <c r="AG7" s="2">
        <v>2</v>
      </c>
      <c r="AH7" s="2">
        <v>3</v>
      </c>
      <c r="AI7" s="2">
        <v>3</v>
      </c>
      <c r="AJ7" s="2">
        <v>3</v>
      </c>
      <c r="AK7" s="2">
        <v>3</v>
      </c>
      <c r="AL7" s="2">
        <v>3</v>
      </c>
      <c r="AM7" s="2">
        <v>3</v>
      </c>
    </row>
    <row r="8">
      <c r="B8" s="2" t="str">
        <v>-0.50</v>
      </c>
      <c r="C8" s="2">
        <v>8</v>
      </c>
      <c r="D8" s="2">
        <v>8</v>
      </c>
      <c r="E8" s="2">
        <v>7</v>
      </c>
      <c r="F8" s="2">
        <v>8</v>
      </c>
      <c r="G8" s="2">
        <v>7</v>
      </c>
      <c r="H8" s="2">
        <v>8</v>
      </c>
      <c r="I8" s="2">
        <v>8</v>
      </c>
      <c r="J8" s="2">
        <v>8</v>
      </c>
      <c r="K8" s="2">
        <v>8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5</v>
      </c>
      <c r="R8" s="2">
        <v>3</v>
      </c>
      <c r="S8" s="2">
        <v>3</v>
      </c>
      <c r="V8" s="2" t="str">
        <v>+0.75</v>
      </c>
      <c r="W8" s="2">
        <v>10</v>
      </c>
      <c r="X8" s="2">
        <v>8</v>
      </c>
      <c r="Y8" s="2">
        <v>9</v>
      </c>
      <c r="Z8" s="2">
        <v>9</v>
      </c>
      <c r="AA8" s="2">
        <v>7</v>
      </c>
      <c r="AB8" s="2">
        <v>9</v>
      </c>
      <c r="AC8" s="2">
        <v>8</v>
      </c>
      <c r="AD8" s="2">
        <v>8</v>
      </c>
      <c r="AE8" s="2">
        <v>8</v>
      </c>
      <c r="AF8" s="2">
        <v>3</v>
      </c>
      <c r="AG8" s="2">
        <v>3</v>
      </c>
      <c r="AH8" s="2">
        <v>3</v>
      </c>
      <c r="AI8" s="2">
        <v>3</v>
      </c>
      <c r="AJ8" s="2">
        <v>3</v>
      </c>
      <c r="AK8" s="2">
        <v>3</v>
      </c>
      <c r="AL8" s="2">
        <v>3</v>
      </c>
      <c r="AM8" s="2">
        <v>3</v>
      </c>
    </row>
    <row r="9">
      <c r="B9" s="2" t="str">
        <v>-0.75</v>
      </c>
      <c r="C9" s="2">
        <v>8</v>
      </c>
      <c r="D9" s="2">
        <v>8</v>
      </c>
      <c r="E9" s="2">
        <v>7</v>
      </c>
      <c r="F9" s="2">
        <v>8</v>
      </c>
      <c r="G9" s="2">
        <v>8</v>
      </c>
      <c r="H9" s="2">
        <v>8</v>
      </c>
      <c r="I9" s="2">
        <v>8</v>
      </c>
      <c r="J9" s="2">
        <v>8</v>
      </c>
      <c r="K9" s="2">
        <v>9</v>
      </c>
      <c r="L9" s="2">
        <v>3</v>
      </c>
      <c r="M9" s="2">
        <v>3</v>
      </c>
      <c r="N9" s="2">
        <v>3</v>
      </c>
      <c r="O9" s="2">
        <v>3</v>
      </c>
      <c r="P9" s="2">
        <v>4</v>
      </c>
      <c r="Q9" s="2">
        <v>3</v>
      </c>
      <c r="R9" s="2">
        <v>3</v>
      </c>
      <c r="S9" s="2">
        <v>3</v>
      </c>
      <c r="V9" s="2" t="str">
        <v>+1.00</v>
      </c>
      <c r="W9" s="2">
        <v>8</v>
      </c>
      <c r="X9" s="2">
        <v>8</v>
      </c>
      <c r="Y9" s="2">
        <v>7</v>
      </c>
      <c r="Z9" s="2">
        <v>4</v>
      </c>
      <c r="AA9" s="2">
        <v>7</v>
      </c>
      <c r="AB9" s="2">
        <v>8</v>
      </c>
      <c r="AC9" s="2">
        <v>9</v>
      </c>
      <c r="AD9" s="2">
        <v>8</v>
      </c>
      <c r="AE9" s="2">
        <v>8</v>
      </c>
      <c r="AF9" s="2">
        <v>3</v>
      </c>
      <c r="AG9" s="2">
        <v>3</v>
      </c>
      <c r="AH9" s="2">
        <v>3</v>
      </c>
      <c r="AI9" s="2">
        <v>3</v>
      </c>
      <c r="AJ9" s="2">
        <v>2</v>
      </c>
      <c r="AK9" s="2">
        <v>3</v>
      </c>
      <c r="AL9" s="2">
        <v>3</v>
      </c>
      <c r="AM9" s="2">
        <v>3</v>
      </c>
    </row>
    <row r="10">
      <c r="B10" s="2" t="str">
        <v>-1.00</v>
      </c>
      <c r="C10" s="2">
        <v>7</v>
      </c>
      <c r="D10" s="2">
        <v>8</v>
      </c>
      <c r="E10" s="2">
        <v>8</v>
      </c>
      <c r="F10" s="2">
        <v>8</v>
      </c>
      <c r="G10" s="2">
        <v>8</v>
      </c>
      <c r="H10" s="2">
        <v>8</v>
      </c>
      <c r="I10" s="2">
        <v>8</v>
      </c>
      <c r="J10" s="2">
        <v>8</v>
      </c>
      <c r="K10" s="2">
        <v>10</v>
      </c>
      <c r="L10" s="2">
        <v>3</v>
      </c>
      <c r="M10" s="2">
        <v>3</v>
      </c>
      <c r="N10" s="2">
        <v>3</v>
      </c>
      <c r="O10" s="2">
        <v>3</v>
      </c>
      <c r="P10" s="2">
        <v>4</v>
      </c>
      <c r="Q10" s="2">
        <v>3</v>
      </c>
      <c r="R10" s="2">
        <v>3</v>
      </c>
      <c r="S10" s="2">
        <v>3</v>
      </c>
      <c r="V10" s="2" t="str">
        <v>+1.25</v>
      </c>
      <c r="W10" s="2">
        <v>9</v>
      </c>
      <c r="X10" s="2">
        <v>8</v>
      </c>
      <c r="Y10" s="2">
        <v>8</v>
      </c>
      <c r="Z10" s="2">
        <v>8</v>
      </c>
      <c r="AA10" s="2">
        <v>9</v>
      </c>
      <c r="AB10" s="2">
        <v>8</v>
      </c>
      <c r="AC10" s="2">
        <v>8</v>
      </c>
      <c r="AD10" s="2">
        <v>8</v>
      </c>
      <c r="AE10" s="2">
        <v>7</v>
      </c>
      <c r="AF10" s="2">
        <v>3</v>
      </c>
      <c r="AG10" s="2">
        <v>3</v>
      </c>
      <c r="AH10" s="2">
        <v>3</v>
      </c>
      <c r="AI10" s="2">
        <v>4</v>
      </c>
      <c r="AJ10" s="2">
        <v>6</v>
      </c>
      <c r="AK10" s="2">
        <v>3</v>
      </c>
      <c r="AL10" s="2">
        <v>4</v>
      </c>
      <c r="AM10" s="2">
        <v>3</v>
      </c>
    </row>
    <row r="11">
      <c r="B11" s="2" t="str">
        <v>-1.25</v>
      </c>
      <c r="C11" s="2">
        <v>6</v>
      </c>
      <c r="D11" s="2">
        <v>8</v>
      </c>
      <c r="E11" s="2">
        <v>8</v>
      </c>
      <c r="F11" s="2">
        <v>8</v>
      </c>
      <c r="G11" s="2">
        <v>8</v>
      </c>
      <c r="H11" s="2">
        <v>8</v>
      </c>
      <c r="I11" s="2">
        <v>8</v>
      </c>
      <c r="J11" s="2">
        <v>10</v>
      </c>
      <c r="K11" s="2">
        <v>8</v>
      </c>
      <c r="L11" s="2">
        <v>4</v>
      </c>
      <c r="M11" s="2">
        <v>4</v>
      </c>
      <c r="N11" s="2">
        <v>3</v>
      </c>
      <c r="O11" s="2">
        <v>3</v>
      </c>
      <c r="P11" s="2">
        <v>3</v>
      </c>
      <c r="Q11" s="2">
        <v>6</v>
      </c>
      <c r="R11" s="2">
        <v>3</v>
      </c>
      <c r="S11" s="2">
        <v>3</v>
      </c>
      <c r="V11" s="2" t="str">
        <v>+1.50</v>
      </c>
      <c r="W11" s="2">
        <v>6</v>
      </c>
      <c r="X11" s="2">
        <v>8</v>
      </c>
      <c r="Y11" s="2">
        <v>8</v>
      </c>
      <c r="Z11" s="2">
        <v>7</v>
      </c>
      <c r="AA11" s="2">
        <v>8</v>
      </c>
      <c r="AB11" s="2">
        <v>8</v>
      </c>
      <c r="AC11" s="2">
        <v>8</v>
      </c>
      <c r="AD11" s="2">
        <v>7</v>
      </c>
      <c r="AE11" s="2">
        <v>10</v>
      </c>
      <c r="AF11" s="2">
        <v>3</v>
      </c>
      <c r="AG11" s="2">
        <v>3</v>
      </c>
      <c r="AH11" s="2">
        <v>3</v>
      </c>
      <c r="AI11" s="2">
        <v>3</v>
      </c>
      <c r="AJ11" s="2">
        <v>3</v>
      </c>
      <c r="AK11" s="2">
        <v>3</v>
      </c>
      <c r="AL11" s="2">
        <v>3</v>
      </c>
      <c r="AM11" s="2">
        <v>3</v>
      </c>
    </row>
    <row r="12">
      <c r="B12" s="2" t="str">
        <v>-1.50</v>
      </c>
      <c r="C12" s="2">
        <v>8</v>
      </c>
      <c r="D12" s="2">
        <v>8</v>
      </c>
      <c r="E12" s="2">
        <v>7</v>
      </c>
      <c r="F12" s="2">
        <v>8</v>
      </c>
      <c r="G12" s="2">
        <v>8</v>
      </c>
      <c r="H12" s="2">
        <v>7</v>
      </c>
      <c r="I12" s="2">
        <v>8</v>
      </c>
      <c r="J12" s="2">
        <v>8</v>
      </c>
      <c r="K12" s="2">
        <v>8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V12" s="2" t="str">
        <v>+1.75</v>
      </c>
      <c r="W12" s="2">
        <v>10</v>
      </c>
      <c r="X12" s="2">
        <v>7</v>
      </c>
      <c r="Y12" s="2">
        <v>4</v>
      </c>
      <c r="Z12" s="2">
        <v>7</v>
      </c>
      <c r="AA12" s="2">
        <v>7</v>
      </c>
      <c r="AB12" s="2">
        <v>8</v>
      </c>
      <c r="AC12" s="2">
        <v>9</v>
      </c>
      <c r="AD12" s="2">
        <v>8</v>
      </c>
      <c r="AE12" s="2">
        <v>8</v>
      </c>
      <c r="AF12" s="2">
        <v>3</v>
      </c>
      <c r="AG12" s="2">
        <v>4</v>
      </c>
      <c r="AH12" s="2">
        <v>3</v>
      </c>
      <c r="AI12" s="2">
        <v>3</v>
      </c>
      <c r="AJ12" s="2">
        <v>3</v>
      </c>
      <c r="AK12" s="2">
        <v>3</v>
      </c>
      <c r="AL12" s="2">
        <v>3</v>
      </c>
      <c r="AM12" s="2">
        <v>5</v>
      </c>
    </row>
    <row r="13">
      <c r="B13" s="2" t="str">
        <v>-1.75</v>
      </c>
      <c r="C13" s="2">
        <v>7</v>
      </c>
      <c r="D13" s="2">
        <v>8</v>
      </c>
      <c r="E13" s="2">
        <v>8</v>
      </c>
      <c r="F13" s="2">
        <v>8</v>
      </c>
      <c r="G13" s="2">
        <v>8</v>
      </c>
      <c r="H13" s="2">
        <v>8</v>
      </c>
      <c r="I13" s="2">
        <v>8</v>
      </c>
      <c r="J13" s="2">
        <v>8</v>
      </c>
      <c r="K13" s="2">
        <v>8</v>
      </c>
      <c r="L13" s="2">
        <v>3</v>
      </c>
      <c r="M13" s="2">
        <v>3</v>
      </c>
      <c r="N13" s="2">
        <v>3</v>
      </c>
      <c r="O13" s="2">
        <v>3</v>
      </c>
      <c r="P13" s="2">
        <v>3</v>
      </c>
      <c r="Q13" s="2">
        <v>3</v>
      </c>
      <c r="R13" s="2">
        <v>3</v>
      </c>
      <c r="S13" s="2">
        <v>3</v>
      </c>
      <c r="V13" s="2" t="str">
        <v>+2.00</v>
      </c>
      <c r="W13" s="2">
        <v>8</v>
      </c>
      <c r="X13" s="2">
        <v>8</v>
      </c>
      <c r="Y13" s="2">
        <v>7</v>
      </c>
      <c r="Z13" s="2">
        <v>8</v>
      </c>
      <c r="AA13" s="2">
        <v>7</v>
      </c>
      <c r="AB13" s="2">
        <v>8</v>
      </c>
      <c r="AC13" s="2">
        <v>8</v>
      </c>
      <c r="AD13" s="2">
        <v>7</v>
      </c>
      <c r="AE13" s="2">
        <v>8</v>
      </c>
      <c r="AF13" s="2">
        <v>3</v>
      </c>
      <c r="AG13" s="2">
        <v>3</v>
      </c>
      <c r="AH13" s="2">
        <v>3</v>
      </c>
      <c r="AI13" s="2">
        <v>3</v>
      </c>
      <c r="AJ13" s="2">
        <v>2</v>
      </c>
      <c r="AL13" s="2">
        <v>3</v>
      </c>
      <c r="AM13" s="2">
        <v>3</v>
      </c>
    </row>
    <row r="14">
      <c r="B14" s="2" t="str">
        <v>-2.00</v>
      </c>
      <c r="C14" s="2">
        <v>6</v>
      </c>
      <c r="D14" s="2">
        <v>8</v>
      </c>
      <c r="E14" s="2">
        <v>6</v>
      </c>
      <c r="F14" s="2">
        <v>7</v>
      </c>
      <c r="G14" s="2">
        <v>8</v>
      </c>
      <c r="H14" s="2">
        <v>8</v>
      </c>
      <c r="I14" s="2">
        <v>7</v>
      </c>
      <c r="J14" s="2">
        <v>7</v>
      </c>
      <c r="K14" s="2">
        <v>9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  <c r="R14" s="2">
        <v>3</v>
      </c>
      <c r="S14" s="2">
        <v>3</v>
      </c>
      <c r="V14" s="2" t="str">
        <v>+2.25</v>
      </c>
      <c r="W14" s="2">
        <v>10</v>
      </c>
      <c r="X14" s="2">
        <v>9</v>
      </c>
      <c r="Y14" s="2">
        <v>8</v>
      </c>
      <c r="Z14" s="2">
        <v>8</v>
      </c>
      <c r="AA14" s="2">
        <v>7</v>
      </c>
      <c r="AB14" s="2">
        <v>9</v>
      </c>
      <c r="AC14" s="2">
        <v>8</v>
      </c>
      <c r="AD14" s="2">
        <v>8</v>
      </c>
      <c r="AE14" s="2">
        <v>8</v>
      </c>
      <c r="AF14" s="2">
        <v>3</v>
      </c>
      <c r="AG14" s="2">
        <v>3</v>
      </c>
      <c r="AH14" s="2">
        <v>3</v>
      </c>
      <c r="AI14" s="2">
        <v>3</v>
      </c>
      <c r="AJ14" s="2">
        <v>3</v>
      </c>
      <c r="AK14" s="2">
        <v>3</v>
      </c>
      <c r="AL14" s="2">
        <v>3</v>
      </c>
      <c r="AM14" s="2">
        <v>3</v>
      </c>
    </row>
    <row r="15">
      <c r="B15" s="2" t="str">
        <v>-2.25</v>
      </c>
      <c r="C15" s="2">
        <v>8</v>
      </c>
      <c r="D15" s="2">
        <v>9</v>
      </c>
      <c r="E15" s="2">
        <v>7</v>
      </c>
      <c r="F15" s="2">
        <v>8</v>
      </c>
      <c r="G15" s="2">
        <v>9</v>
      </c>
      <c r="H15" s="2">
        <v>8</v>
      </c>
      <c r="I15" s="2">
        <v>8</v>
      </c>
      <c r="J15" s="2">
        <v>8</v>
      </c>
      <c r="K15" s="2">
        <v>8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2">
        <v>3</v>
      </c>
      <c r="S15" s="2">
        <v>3</v>
      </c>
      <c r="V15" s="2" t="str">
        <v>+2.50</v>
      </c>
      <c r="W15" s="2">
        <v>8</v>
      </c>
      <c r="X15" s="2">
        <v>2</v>
      </c>
      <c r="Y15" s="2">
        <v>8</v>
      </c>
      <c r="Z15" s="2">
        <v>8</v>
      </c>
      <c r="AA15" s="2">
        <v>7</v>
      </c>
      <c r="AB15" s="2">
        <v>8</v>
      </c>
      <c r="AC15" s="2">
        <v>8</v>
      </c>
      <c r="AD15" s="2">
        <v>8</v>
      </c>
      <c r="AE15" s="2">
        <v>8</v>
      </c>
      <c r="AF15" s="2">
        <v>3</v>
      </c>
      <c r="AG15" s="2">
        <v>5</v>
      </c>
      <c r="AH15" s="2">
        <v>3</v>
      </c>
      <c r="AI15" s="2">
        <v>3</v>
      </c>
      <c r="AJ15" s="2">
        <v>3</v>
      </c>
      <c r="AK15" s="2">
        <v>2</v>
      </c>
      <c r="AL15" s="2">
        <v>3</v>
      </c>
      <c r="AM15" s="2">
        <v>3</v>
      </c>
    </row>
    <row r="16">
      <c r="B16" s="2" t="str">
        <v>-2.50</v>
      </c>
      <c r="C16" s="2">
        <v>8</v>
      </c>
      <c r="D16" s="2">
        <v>8</v>
      </c>
      <c r="E16" s="2">
        <v>9</v>
      </c>
      <c r="F16" s="2">
        <v>8</v>
      </c>
      <c r="G16" s="2">
        <v>8</v>
      </c>
      <c r="H16" s="2">
        <v>8</v>
      </c>
      <c r="I16" s="2">
        <v>9</v>
      </c>
      <c r="J16" s="2">
        <v>8</v>
      </c>
      <c r="K16" s="2">
        <v>8</v>
      </c>
      <c r="L16" s="2">
        <v>3</v>
      </c>
      <c r="M16" s="2">
        <v>4</v>
      </c>
      <c r="N16" s="2">
        <v>3</v>
      </c>
      <c r="O16" s="2">
        <v>3</v>
      </c>
      <c r="P16" s="2">
        <v>3</v>
      </c>
      <c r="Q16" s="2">
        <v>3</v>
      </c>
      <c r="R16" s="2">
        <v>3</v>
      </c>
      <c r="S16" s="2">
        <v>3</v>
      </c>
      <c r="V16" s="2" t="str">
        <v>+2.75</v>
      </c>
      <c r="W16" s="2">
        <v>7</v>
      </c>
      <c r="X16" s="2">
        <v>6</v>
      </c>
      <c r="Y16" s="2">
        <v>7</v>
      </c>
      <c r="Z16" s="2">
        <v>7</v>
      </c>
      <c r="AA16" s="2">
        <v>8</v>
      </c>
      <c r="AB16" s="2">
        <v>8</v>
      </c>
      <c r="AC16" s="2">
        <v>8</v>
      </c>
      <c r="AD16" s="2">
        <v>8</v>
      </c>
      <c r="AE16" s="2">
        <v>8</v>
      </c>
      <c r="AF16" s="2">
        <v>3</v>
      </c>
      <c r="AG16" s="2">
        <v>3</v>
      </c>
      <c r="AH16" s="2">
        <v>3</v>
      </c>
      <c r="AI16" s="2">
        <v>3</v>
      </c>
      <c r="AJ16" s="2">
        <v>3</v>
      </c>
      <c r="AK16" s="2">
        <v>3</v>
      </c>
      <c r="AL16" s="2">
        <v>3</v>
      </c>
      <c r="AM16" s="2">
        <v>3</v>
      </c>
    </row>
    <row r="17">
      <c r="B17" s="2" t="str">
        <v>-2.75</v>
      </c>
      <c r="C17" s="2">
        <v>8</v>
      </c>
      <c r="D17" s="2">
        <v>5</v>
      </c>
      <c r="E17" s="2">
        <v>7</v>
      </c>
      <c r="F17" s="2">
        <v>8</v>
      </c>
      <c r="G17" s="2">
        <v>7</v>
      </c>
      <c r="H17" s="2">
        <v>6</v>
      </c>
      <c r="I17" s="2">
        <v>7</v>
      </c>
      <c r="J17" s="2">
        <v>8</v>
      </c>
      <c r="K17" s="2">
        <v>7</v>
      </c>
      <c r="L17" s="2">
        <v>3</v>
      </c>
      <c r="M17" s="2">
        <v>3</v>
      </c>
      <c r="N17" s="2">
        <v>3</v>
      </c>
      <c r="O17" s="2">
        <v>3</v>
      </c>
      <c r="P17" s="2">
        <v>3</v>
      </c>
      <c r="Q17" s="2">
        <v>3</v>
      </c>
      <c r="R17" s="2">
        <v>3</v>
      </c>
      <c r="S17" s="2">
        <v>3</v>
      </c>
      <c r="V17" s="2" t="str">
        <v>+3.00</v>
      </c>
      <c r="W17" s="2">
        <v>8</v>
      </c>
      <c r="X17" s="2">
        <v>7</v>
      </c>
      <c r="Y17" s="2">
        <v>7</v>
      </c>
      <c r="Z17" s="2">
        <v>8</v>
      </c>
      <c r="AA17" s="2">
        <v>8</v>
      </c>
      <c r="AB17" s="2">
        <v>8</v>
      </c>
      <c r="AC17" s="2">
        <v>8</v>
      </c>
      <c r="AD17" s="2">
        <v>8</v>
      </c>
      <c r="AE17" s="2">
        <v>8</v>
      </c>
      <c r="AF17" s="2">
        <v>3</v>
      </c>
      <c r="AG17" s="2">
        <v>3</v>
      </c>
      <c r="AH17" s="2">
        <v>3</v>
      </c>
      <c r="AI17" s="2">
        <v>3</v>
      </c>
      <c r="AJ17" s="2">
        <v>3</v>
      </c>
      <c r="AK17" s="2">
        <v>3</v>
      </c>
      <c r="AL17" s="2">
        <v>3</v>
      </c>
      <c r="AM17" s="2">
        <v>3</v>
      </c>
    </row>
    <row r="18">
      <c r="B18" s="2" t="str">
        <v>-3.00</v>
      </c>
      <c r="C18" s="2">
        <v>8</v>
      </c>
      <c r="D18" s="2">
        <v>5</v>
      </c>
      <c r="E18" s="2">
        <v>5</v>
      </c>
      <c r="F18" s="2">
        <v>7</v>
      </c>
      <c r="G18" s="2">
        <v>5</v>
      </c>
      <c r="H18" s="2">
        <v>6</v>
      </c>
      <c r="I18" s="2">
        <v>5</v>
      </c>
      <c r="J18" s="2">
        <v>6</v>
      </c>
      <c r="K18" s="2">
        <v>4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3</v>
      </c>
      <c r="R18" s="2">
        <v>3</v>
      </c>
      <c r="S18" s="2">
        <v>3</v>
      </c>
      <c r="V18" s="2" t="str">
        <v>+3.25</v>
      </c>
      <c r="W18" s="2">
        <v>10</v>
      </c>
      <c r="X18" s="2">
        <v>2</v>
      </c>
      <c r="Y18" s="2">
        <v>3</v>
      </c>
      <c r="Z18" s="2">
        <v>3</v>
      </c>
      <c r="AA18" s="2">
        <v>3</v>
      </c>
      <c r="AB18" s="2">
        <v>3</v>
      </c>
      <c r="AC18" s="2">
        <v>3</v>
      </c>
      <c r="AD18" s="2">
        <v>3</v>
      </c>
      <c r="AE18" s="2">
        <v>3</v>
      </c>
      <c r="AF18" s="2">
        <v>3</v>
      </c>
      <c r="AG18" s="2">
        <v>3</v>
      </c>
      <c r="AH18" s="2">
        <v>3</v>
      </c>
      <c r="AI18" s="2">
        <v>3</v>
      </c>
      <c r="AJ18" s="2">
        <v>3</v>
      </c>
      <c r="AK18" s="2">
        <v>3</v>
      </c>
      <c r="AL18" s="2">
        <v>3</v>
      </c>
      <c r="AM18" s="2">
        <v>3</v>
      </c>
    </row>
    <row r="19">
      <c r="B19" s="2" t="str">
        <v>-3.25</v>
      </c>
      <c r="C19" s="2">
        <v>8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2">
        <v>3</v>
      </c>
      <c r="M19" s="2">
        <v>3</v>
      </c>
      <c r="N19" s="2">
        <v>3</v>
      </c>
      <c r="O19" s="2">
        <v>3</v>
      </c>
      <c r="P19" s="2">
        <v>3</v>
      </c>
      <c r="Q19" s="2">
        <v>3</v>
      </c>
      <c r="R19" s="2">
        <v>3</v>
      </c>
      <c r="S19" s="2">
        <v>3</v>
      </c>
      <c r="V19" s="2" t="str">
        <v>+3.50</v>
      </c>
      <c r="W19" s="2">
        <v>10</v>
      </c>
      <c r="X19" s="2">
        <v>2</v>
      </c>
      <c r="Y19" s="2">
        <v>2</v>
      </c>
      <c r="Z19" s="2">
        <v>3</v>
      </c>
      <c r="AA19" s="2">
        <v>3</v>
      </c>
      <c r="AB19" s="2">
        <v>3</v>
      </c>
      <c r="AC19" s="2">
        <v>3</v>
      </c>
      <c r="AD19" s="2">
        <v>3</v>
      </c>
      <c r="AE19" s="2">
        <v>3</v>
      </c>
      <c r="AF19" s="2">
        <v>3</v>
      </c>
      <c r="AG19" s="2">
        <v>3</v>
      </c>
      <c r="AH19" s="2">
        <v>3</v>
      </c>
      <c r="AI19" s="2">
        <v>3</v>
      </c>
      <c r="AJ19" s="2">
        <v>3</v>
      </c>
      <c r="AK19" s="2">
        <v>3</v>
      </c>
      <c r="AL19" s="2">
        <v>3</v>
      </c>
      <c r="AM19" s="2">
        <v>3</v>
      </c>
    </row>
    <row r="20">
      <c r="B20" s="2" t="str">
        <v>-3.50</v>
      </c>
      <c r="C20" s="2">
        <v>8</v>
      </c>
      <c r="D20" s="2">
        <v>3</v>
      </c>
      <c r="E20" s="2">
        <v>3</v>
      </c>
      <c r="F20" s="2">
        <v>3</v>
      </c>
      <c r="G20" s="2">
        <v>3</v>
      </c>
      <c r="H20" s="2">
        <v>3</v>
      </c>
      <c r="I20" s="2">
        <v>3</v>
      </c>
      <c r="J20" s="2">
        <v>3</v>
      </c>
      <c r="K20" s="2">
        <v>3</v>
      </c>
      <c r="L20" s="2">
        <v>3</v>
      </c>
      <c r="M20" s="2">
        <v>3</v>
      </c>
      <c r="N20" s="2">
        <v>3</v>
      </c>
      <c r="O20" s="2">
        <v>3</v>
      </c>
      <c r="P20" s="2">
        <v>3</v>
      </c>
      <c r="Q20" s="2">
        <v>3</v>
      </c>
      <c r="R20" s="2">
        <v>3</v>
      </c>
      <c r="S20" s="2">
        <v>3</v>
      </c>
      <c r="V20" s="2" t="str">
        <v>+3.75</v>
      </c>
      <c r="W20" s="2">
        <v>8</v>
      </c>
      <c r="X20" s="2">
        <v>2</v>
      </c>
      <c r="Y20" s="2">
        <v>2</v>
      </c>
      <c r="Z20" s="2">
        <v>3</v>
      </c>
      <c r="AA20" s="2">
        <v>3</v>
      </c>
      <c r="AB20" s="2">
        <v>3</v>
      </c>
      <c r="AC20" s="2">
        <v>3</v>
      </c>
      <c r="AD20" s="2">
        <v>3</v>
      </c>
      <c r="AE20" s="2">
        <v>3</v>
      </c>
      <c r="AF20" s="2">
        <v>3</v>
      </c>
      <c r="AG20" s="2">
        <v>3</v>
      </c>
      <c r="AH20" s="2">
        <v>3</v>
      </c>
      <c r="AI20" s="2">
        <v>3</v>
      </c>
      <c r="AJ20" s="2">
        <v>3</v>
      </c>
      <c r="AK20" s="2">
        <v>3</v>
      </c>
      <c r="AL20" s="2">
        <v>3</v>
      </c>
      <c r="AM20" s="2">
        <v>3</v>
      </c>
    </row>
    <row r="21">
      <c r="B21" s="2" t="str">
        <v>-3.75</v>
      </c>
      <c r="C21" s="2">
        <v>8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3</v>
      </c>
      <c r="O21" s="2">
        <v>3</v>
      </c>
      <c r="P21" s="2">
        <v>3</v>
      </c>
      <c r="Q21" s="2">
        <v>3</v>
      </c>
      <c r="R21" s="2">
        <v>3</v>
      </c>
      <c r="S21" s="2">
        <v>3</v>
      </c>
      <c r="V21" s="2" t="str">
        <v>+4.00</v>
      </c>
      <c r="W21" s="2">
        <v>6</v>
      </c>
      <c r="X21" s="2">
        <v>2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2">
        <v>3</v>
      </c>
      <c r="AE21" s="2">
        <v>3</v>
      </c>
      <c r="AF21" s="2">
        <v>3</v>
      </c>
      <c r="AG21" s="2">
        <v>3</v>
      </c>
      <c r="AH21" s="2">
        <v>3</v>
      </c>
      <c r="AI21" s="2">
        <v>3</v>
      </c>
      <c r="AJ21" s="2">
        <v>3</v>
      </c>
      <c r="AK21" s="2">
        <v>3</v>
      </c>
      <c r="AL21" s="2">
        <v>3</v>
      </c>
      <c r="AM21" s="2">
        <v>3</v>
      </c>
    </row>
    <row r="22">
      <c r="B22" s="2" t="str">
        <v>-4.00</v>
      </c>
      <c r="C22" s="2">
        <v>8</v>
      </c>
      <c r="D22" s="2">
        <v>3</v>
      </c>
      <c r="E22" s="2">
        <v>3</v>
      </c>
      <c r="F22" s="2">
        <v>3</v>
      </c>
      <c r="G22" s="2">
        <v>3</v>
      </c>
      <c r="H22" s="2">
        <v>3</v>
      </c>
      <c r="I22" s="2">
        <v>3</v>
      </c>
      <c r="J22" s="2">
        <v>3</v>
      </c>
      <c r="K22" s="2">
        <v>3</v>
      </c>
      <c r="L22" s="2">
        <v>3</v>
      </c>
      <c r="M22" s="2">
        <v>3</v>
      </c>
      <c r="N22" s="2">
        <v>3</v>
      </c>
      <c r="O22" s="2">
        <v>3</v>
      </c>
      <c r="P22" s="2">
        <v>3</v>
      </c>
      <c r="Q22" s="2">
        <v>3</v>
      </c>
      <c r="R22" s="2">
        <v>3</v>
      </c>
      <c r="S22" s="2">
        <v>3</v>
      </c>
      <c r="V22" s="2" t="str">
        <v>+4.25</v>
      </c>
    </row>
    <row r="23">
      <c r="B23" s="2" t="str">
        <v>-4.25</v>
      </c>
      <c r="V23" s="2" t="str">
        <v>+4.50</v>
      </c>
    </row>
    <row r="24">
      <c r="B24" s="2" t="str">
        <v>-4.50</v>
      </c>
      <c r="V24" s="2" t="str">
        <v>+4.75</v>
      </c>
    </row>
    <row r="25">
      <c r="B25" s="2" t="str">
        <v>-4.75</v>
      </c>
      <c r="V25" s="2" t="str">
        <v>+5.00</v>
      </c>
    </row>
    <row r="26">
      <c r="B26" s="2" t="str">
        <v>-5.00</v>
      </c>
      <c r="V26" s="2" t="str">
        <v>+5.25</v>
      </c>
    </row>
    <row r="27">
      <c r="B27" s="2" t="str">
        <v>-5.25</v>
      </c>
      <c r="V27" s="2" t="str">
        <v>+5.50</v>
      </c>
    </row>
    <row r="28">
      <c r="B28" s="2" t="str">
        <v>-5.50</v>
      </c>
      <c r="V28" s="2" t="str">
        <v>+5.75</v>
      </c>
    </row>
    <row r="29">
      <c r="B29" s="2" t="str">
        <v>-5.75</v>
      </c>
      <c r="V29" s="2" t="str">
        <v>+6.00</v>
      </c>
    </row>
    <row r="30">
      <c r="B30" s="2" t="str">
        <v>-6.00</v>
      </c>
    </row>
    <row r="35">
      <c r="A35" s="2" t="str">
        <v>PEDIDO SUGERIDO MONOFOCAL BLANCO CR-39 (PIEZAS)</v>
      </c>
    </row>
    <row r="37">
      <c r="C37" s="2" t="str">
        <v>CILINDRO</v>
      </c>
      <c r="W37" s="2" t="str">
        <v>CILINDRO</v>
      </c>
    </row>
    <row r="38">
      <c r="C38" s="2" t="str">
        <v>(-)</v>
      </c>
      <c r="W38" s="2" t="str">
        <v>(-)</v>
      </c>
    </row>
    <row r="39">
      <c r="A39" s="2" t="str">
        <v>(-)</v>
      </c>
      <c r="C39" s="2" t="str">
        <v>0.00</v>
      </c>
      <c r="D39" s="2" t="str">
        <v>-0.25</v>
      </c>
      <c r="E39" s="2" t="str">
        <v>-0.50</v>
      </c>
      <c r="F39" s="2" t="str">
        <v>-0.75</v>
      </c>
      <c r="G39" s="2" t="str">
        <v>-1.00</v>
      </c>
      <c r="H39" s="2" t="str">
        <v>-1.25</v>
      </c>
      <c r="I39" s="2" t="str">
        <v>-1.50</v>
      </c>
      <c r="J39" s="2" t="str">
        <v>-1.75</v>
      </c>
      <c r="K39" s="2" t="str">
        <v>-2.00</v>
      </c>
      <c r="L39" s="2" t="str">
        <v>-2.25</v>
      </c>
      <c r="M39" s="2" t="str">
        <v>-2.50</v>
      </c>
      <c r="N39" s="2" t="str">
        <v>-2.75</v>
      </c>
      <c r="O39" s="2" t="str">
        <v>-3.00</v>
      </c>
      <c r="P39" s="2" t="str">
        <v>-3.25</v>
      </c>
      <c r="Q39" s="2" t="str">
        <v>-3.50</v>
      </c>
      <c r="R39" s="2" t="str">
        <v>-3.75</v>
      </c>
      <c r="S39" s="2" t="str">
        <v>-4.00</v>
      </c>
      <c r="U39" s="2" t="str">
        <v>(+)</v>
      </c>
      <c r="W39" s="2" t="str">
        <v>0.00</v>
      </c>
      <c r="X39" s="2" t="str">
        <v>-0.25</v>
      </c>
      <c r="Y39" s="2" t="str">
        <v>-0.50</v>
      </c>
      <c r="Z39" s="2" t="str">
        <v>-0.75</v>
      </c>
      <c r="AA39" s="2" t="str">
        <v>-1.00</v>
      </c>
      <c r="AB39" s="2" t="str">
        <v>-1.25</v>
      </c>
      <c r="AC39" s="2" t="str">
        <v>-1.50</v>
      </c>
      <c r="AD39" s="2" t="str">
        <v>-1.75</v>
      </c>
      <c r="AE39" s="2" t="str">
        <v>-2.00</v>
      </c>
      <c r="AF39" s="2" t="str">
        <v>-2.25</v>
      </c>
      <c r="AG39" s="2" t="str">
        <v>-2.50</v>
      </c>
      <c r="AH39" s="2" t="str">
        <v>-2.75</v>
      </c>
      <c r="AI39" s="2" t="str">
        <v>-3.00</v>
      </c>
      <c r="AJ39" s="2" t="str">
        <v>-3.25</v>
      </c>
      <c r="AK39" s="2" t="str">
        <v>-3.50</v>
      </c>
      <c r="AL39" s="2" t="str">
        <v>-3.75</v>
      </c>
      <c r="AM39" s="2" t="str">
        <v>-4.00</v>
      </c>
    </row>
    <row r="40">
      <c r="A40" s="2" t="str">
        <v>ESFERA (-)</v>
      </c>
      <c r="B40" s="2" t="str">
        <v>0.00</v>
      </c>
      <c r="C40" s="2">
        <f>IF(C6&lt;20,20-C6,"")</f>
        <v>9</v>
      </c>
      <c r="D40" s="2" t="str">
        <f>IF(D6&lt;10,10-X6,"")</f>
        <v/>
      </c>
      <c r="E40" s="2">
        <f>IF(E6&lt;10,10-Y6,"")</f>
        <v>2</v>
      </c>
      <c r="F40" s="2">
        <f>IF(F6&lt;10,10-Z6,"")</f>
        <v>2</v>
      </c>
      <c r="G40" s="2" t="str">
        <f>IF(G6&lt;10,10-AA6,"")</f>
        <v/>
      </c>
      <c r="H40" s="2">
        <f>IF(H6&lt;10,10-AB6,"")</f>
        <v>2</v>
      </c>
      <c r="I40" s="2" t="str">
        <f>IF(I6&lt;10,10-AC6,"")</f>
        <v/>
      </c>
      <c r="J40" s="2" t="str">
        <f>IF(J6&lt;10,10-AD6,"")</f>
        <v/>
      </c>
      <c r="K40" s="2" t="str">
        <f>IF(K6&lt;10,10-AE6,"")</f>
        <v/>
      </c>
      <c r="L40" s="2" t="str">
        <f>IF(L6&lt;10,10-L6,"")</f>
        <v/>
      </c>
      <c r="M40" s="2" t="str">
        <f>IF(M6&lt;10,10-M6,"")</f>
        <v/>
      </c>
      <c r="N40" s="2" t="str">
        <f>IF(N6&lt;10,10-N6,"")</f>
        <v/>
      </c>
      <c r="O40" s="2" t="str">
        <f>IF(O6&lt;10,10-O6,"")</f>
        <v/>
      </c>
      <c r="P40" s="2" t="str">
        <f>IF(P6&lt;10,10-P6,"")</f>
        <v/>
      </c>
      <c r="Q40" s="2" t="str">
        <f>IF(Q6&lt;10,10-Q6,"")</f>
        <v/>
      </c>
      <c r="R40" s="2" t="str">
        <f>IF(R6&lt;10,10-R6,"")</f>
        <v/>
      </c>
      <c r="S40" s="2" t="str">
        <f>IF(S6&lt;10,10-S6,"")</f>
        <v/>
      </c>
      <c r="U40" s="2" t="str">
        <v>ESFERA (+)</v>
      </c>
      <c r="V40" s="2" t="str">
        <v>+0.25</v>
      </c>
      <c r="W40" s="2" t="str">
        <f>IF(W6&lt;10,10-W6,"")</f>
        <v/>
      </c>
      <c r="X40" s="2" t="str">
        <f>IF(X6&lt;8,8-X6,"")</f>
        <v/>
      </c>
      <c r="Y40" s="2" t="str">
        <f>IF(Y6&lt;8,8-Y6,"")</f>
        <v/>
      </c>
      <c r="Z40" s="2" t="str">
        <f>IF(Z6&lt;8,8-Z6,"")</f>
        <v/>
      </c>
      <c r="AA40" s="2" t="str">
        <f>IF(AA6&lt;8,8-AA6,"")</f>
        <v/>
      </c>
      <c r="AB40" s="2" t="str">
        <f>IF(AB6&lt;8,8-AB6,"")</f>
        <v/>
      </c>
      <c r="AC40" s="2" t="str">
        <f>IF(AC6&lt;8,8-AC6,"")</f>
        <v/>
      </c>
      <c r="AD40" s="2" t="str">
        <f>IF(AD6&lt;8,8-AD6,"")</f>
        <v/>
      </c>
      <c r="AE40" s="2" t="str">
        <f>IF(AE6&lt;8,8-AE6,"")</f>
        <v/>
      </c>
      <c r="AF40" s="2" t="str">
        <f>IF(AF6&lt;3,3-AF6,"")</f>
        <v/>
      </c>
      <c r="AG40" s="2">
        <f>IF(AG6&lt;3,3-AG6,"")</f>
        <v>1</v>
      </c>
      <c r="AH40" s="2" t="str">
        <f>IF(AH6&lt;3,3-AH6,"")</f>
        <v/>
      </c>
      <c r="AI40" s="2" t="str">
        <f>IF(AI6&lt;3,3-AI6,"")</f>
        <v/>
      </c>
      <c r="AJ40" s="2" t="str">
        <f>IF(AJ6&lt;3,3-AJ6,"")</f>
        <v/>
      </c>
      <c r="AK40" s="2" t="str">
        <f>IF(AK6&lt;3,3-AK6,"")</f>
        <v/>
      </c>
      <c r="AL40" s="2" t="str">
        <f>IF(AL6&lt;3,3-AL6,"")</f>
        <v/>
      </c>
      <c r="AM40" s="2" t="str">
        <f>IF(AM6&lt;3,3-AM6,"")</f>
        <v/>
      </c>
    </row>
    <row r="41">
      <c r="B41" s="2" t="str">
        <v>-0.25</v>
      </c>
      <c r="C41" s="2" t="str">
        <f>IF(C7&lt;8,8-C7,"")</f>
        <v/>
      </c>
      <c r="D41" s="2" t="str">
        <f>IF(D7&lt;8,8-D7,"")</f>
        <v/>
      </c>
      <c r="E41" s="2">
        <f>IF(E7&lt;8,8-E7,"")</f>
        <v>3</v>
      </c>
      <c r="F41" s="2" t="str">
        <f>IF(F7&lt;8,8-F7,"")</f>
        <v/>
      </c>
      <c r="G41" s="2">
        <f>IF(G7&lt;8,8-G7,"")</f>
        <v>1</v>
      </c>
      <c r="H41" s="2" t="str">
        <f>IF(H7&lt;8,8-H7,"")</f>
        <v/>
      </c>
      <c r="I41" s="2" t="str">
        <f>IF(I7&lt;8,8-I7,"")</f>
        <v/>
      </c>
      <c r="J41" s="2" t="str">
        <f>IF(J7&lt;8,8-J7,"")</f>
        <v/>
      </c>
      <c r="K41" s="2" t="str">
        <f>IF(K7&lt;8,8-K7,"")</f>
        <v/>
      </c>
      <c r="L41" s="2" t="str">
        <f>IF(L7&lt;3,3-L7,"")</f>
        <v/>
      </c>
      <c r="M41" s="2" t="str">
        <f>IF(M7&lt;3,3-M7,"")</f>
        <v/>
      </c>
      <c r="N41" s="2" t="str">
        <f>IF(N7&lt;3,3-N7,"")</f>
        <v/>
      </c>
      <c r="O41" s="2" t="str">
        <f>IF(O7&lt;3,3-O7,"")</f>
        <v/>
      </c>
      <c r="P41" s="2" t="str">
        <f>IF(P7&lt;3,3-P7,"")</f>
        <v/>
      </c>
      <c r="Q41" s="2" t="str">
        <f>IF(Q7&lt;3,3-Q7,"")</f>
        <v/>
      </c>
      <c r="R41" s="2" t="str">
        <f>IF(R7&lt;3,3-R7,"")</f>
        <v/>
      </c>
      <c r="S41" s="2" t="str">
        <f>IF(S7&lt;3,3-S7,"")</f>
        <v/>
      </c>
      <c r="V41" s="2" t="str">
        <v>+0.50</v>
      </c>
      <c r="W41" s="2" t="str">
        <f>IF(W7&lt;10,10-W7,"")</f>
        <v/>
      </c>
      <c r="X41" s="2" t="str">
        <f>IF(X7&lt;8,8-X7,"")</f>
        <v/>
      </c>
      <c r="Y41" s="2">
        <f>IF(Y7&lt;8,8-Y7,"")</f>
        <v>2</v>
      </c>
      <c r="Z41" s="2" t="str">
        <f>IF(Z7&lt;8,8-Z7,"")</f>
        <v/>
      </c>
      <c r="AA41" s="2" t="str">
        <f>IF(AA7&lt;8,8-AA7,"")</f>
        <v/>
      </c>
      <c r="AB41" s="2" t="str">
        <f>IF(AB7&lt;8,8-AB7,"")</f>
        <v/>
      </c>
      <c r="AC41" s="2" t="str">
        <f>IF(AC7&lt;8,8-AC7,"")</f>
        <v/>
      </c>
      <c r="AD41" s="2" t="str">
        <f>IF(AD7&lt;8,8-AD7,"")</f>
        <v/>
      </c>
      <c r="AE41" s="2" t="str">
        <f>IF(AE7&lt;8,8-AE7,"")</f>
        <v/>
      </c>
      <c r="AF41" s="2" t="str">
        <f>IF(AF7&lt;3,3-AF7,"")</f>
        <v/>
      </c>
      <c r="AG41" s="2">
        <f>IF(AG7&lt;3,3-AG7,"")</f>
        <v>1</v>
      </c>
      <c r="AH41" s="2" t="str">
        <f>IF(AH7&lt;3,3-AH7,"")</f>
        <v/>
      </c>
      <c r="AI41" s="2" t="str">
        <f>IF(AI7&lt;3,3-AI7,"")</f>
        <v/>
      </c>
      <c r="AJ41" s="2" t="str">
        <f>IF(AJ7&lt;3,3-AJ7,"")</f>
        <v/>
      </c>
      <c r="AK41" s="2" t="str">
        <f>IF(AK7&lt;3,3-AK7,"")</f>
        <v/>
      </c>
      <c r="AL41" s="2" t="str">
        <f>IF(AL7&lt;3,3-AL7,"")</f>
        <v/>
      </c>
      <c r="AM41" s="2" t="str">
        <f>IF(AM7&lt;3,3-AM7,"")</f>
        <v/>
      </c>
    </row>
    <row r="42">
      <c r="B42" s="2" t="str">
        <v>-0.50</v>
      </c>
      <c r="C42" s="2" t="str">
        <f>IF(C8&lt;8,8-C8,"")</f>
        <v/>
      </c>
      <c r="D42" s="2" t="str">
        <f>IF(D8&lt;8,8-D8,"")</f>
        <v/>
      </c>
      <c r="E42" s="2">
        <f>IF(E8&lt;8,8-E8,"")</f>
        <v>1</v>
      </c>
      <c r="F42" s="2" t="str">
        <f>IF(F8&lt;8,8-F8,"")</f>
        <v/>
      </c>
      <c r="G42" s="2">
        <f>IF(G8&lt;8,8-G8,"")</f>
        <v>1</v>
      </c>
      <c r="H42" s="2" t="str">
        <f>IF(H8&lt;8,8-H8,"")</f>
        <v/>
      </c>
      <c r="I42" s="2" t="str">
        <f>IF(I8&lt;8,8-I8,"")</f>
        <v/>
      </c>
      <c r="J42" s="2" t="str">
        <f>IF(J8&lt;8,8-J8,"")</f>
        <v/>
      </c>
      <c r="K42" s="2" t="str">
        <f>IF(K8&lt;8,8-K8,"")</f>
        <v/>
      </c>
      <c r="L42" s="2" t="str">
        <f>IF(L8&lt;3,3-L8,"")</f>
        <v/>
      </c>
      <c r="M42" s="2" t="str">
        <f>IF(M8&lt;3,3-M8,"")</f>
        <v/>
      </c>
      <c r="N42" s="2" t="str">
        <f>IF(N8&lt;3,3-N8,"")</f>
        <v/>
      </c>
      <c r="O42" s="2" t="str">
        <f>IF(O8&lt;3,3-O8,"")</f>
        <v/>
      </c>
      <c r="P42" s="2" t="str">
        <f>IF(P8&lt;3,3-P8,"")</f>
        <v/>
      </c>
      <c r="Q42" s="2" t="str">
        <f>IF(Q8&lt;3,3-Q8,"")</f>
        <v/>
      </c>
      <c r="R42" s="2" t="str">
        <f>IF(R8&lt;3,3-R8,"")</f>
        <v/>
      </c>
      <c r="S42" s="2" t="str">
        <f>IF(S8&lt;3,3-S8,"")</f>
        <v/>
      </c>
      <c r="V42" s="2" t="str">
        <v>+0.75</v>
      </c>
      <c r="W42" s="2" t="str">
        <f>IF(W8&lt;10,10-W8,"")</f>
        <v/>
      </c>
      <c r="X42" s="2" t="str">
        <f>IF(X8&lt;8,8-X8,"")</f>
        <v/>
      </c>
      <c r="Y42" s="2" t="str">
        <f>IF(Y8&lt;8,8-Y8,"")</f>
        <v/>
      </c>
      <c r="Z42" s="2" t="str">
        <f>IF(Z8&lt;8,8-Z8,"")</f>
        <v/>
      </c>
      <c r="AA42" s="2">
        <f>IF(AA8&lt;8,8-AA8,"")</f>
        <v>1</v>
      </c>
      <c r="AB42" s="2" t="str">
        <f>IF(AB8&lt;8,8-AB8,"")</f>
        <v/>
      </c>
      <c r="AC42" s="2" t="str">
        <f>IF(AC8&lt;8,8-AC8,"")</f>
        <v/>
      </c>
      <c r="AD42" s="2" t="str">
        <f>IF(AD8&lt;8,8-AD8,"")</f>
        <v/>
      </c>
      <c r="AE42" s="2" t="str">
        <f>IF(AE8&lt;8,8-AE8,"")</f>
        <v/>
      </c>
      <c r="AF42" s="2" t="str">
        <f>IF(AF8&lt;3,3-AF8,"")</f>
        <v/>
      </c>
      <c r="AG42" s="2" t="str">
        <f>IF(AG8&lt;3,3-AG8,"")</f>
        <v/>
      </c>
      <c r="AH42" s="2" t="str">
        <f>IF(AH8&lt;3,3-AH8,"")</f>
        <v/>
      </c>
      <c r="AI42" s="2" t="str">
        <f>IF(AI8&lt;3,3-AI8,"")</f>
        <v/>
      </c>
      <c r="AJ42" s="2" t="str">
        <f>IF(AJ8&lt;3,3-AJ8,"")</f>
        <v/>
      </c>
      <c r="AK42" s="2" t="str">
        <f>IF(AK8&lt;3,3-AK8,"")</f>
        <v/>
      </c>
      <c r="AL42" s="2" t="str">
        <f>IF(AL8&lt;3,3-AL8,"")</f>
        <v/>
      </c>
      <c r="AM42" s="2" t="str">
        <f>IF(AM8&lt;3,3-AM8,"")</f>
        <v/>
      </c>
    </row>
    <row r="43">
      <c r="B43" s="2" t="str">
        <v>-0.75</v>
      </c>
      <c r="C43" s="2" t="str">
        <f>IF(C9&lt;8,8-C9,"")</f>
        <v/>
      </c>
      <c r="D43" s="2" t="str">
        <f>IF(D9&lt;8,8-D9,"")</f>
        <v/>
      </c>
      <c r="E43" s="2">
        <f>IF(E9&lt;8,8-E9,"")</f>
        <v>1</v>
      </c>
      <c r="F43" s="2" t="str">
        <f>IF(F9&lt;8,8-F9,"")</f>
        <v/>
      </c>
      <c r="G43" s="2" t="str">
        <f>IF(G9&lt;8,8-G9,"")</f>
        <v/>
      </c>
      <c r="H43" s="2" t="str">
        <f>IF(H9&lt;8,8-H9,"")</f>
        <v/>
      </c>
      <c r="I43" s="2" t="str">
        <f>IF(I9&lt;8,8-I9,"")</f>
        <v/>
      </c>
      <c r="J43" s="2" t="str">
        <f>IF(J9&lt;8,8-J9,"")</f>
        <v/>
      </c>
      <c r="K43" s="2" t="str">
        <f>IF(K9&lt;8,8-K9,"")</f>
        <v/>
      </c>
      <c r="L43" s="2" t="str">
        <f>IF(L9&lt;3,3-L9,"")</f>
        <v/>
      </c>
      <c r="M43" s="2" t="str">
        <f>IF(M9&lt;3,3-M9,"")</f>
        <v/>
      </c>
      <c r="N43" s="2" t="str">
        <f>IF(N9&lt;3,3-N9,"")</f>
        <v/>
      </c>
      <c r="O43" s="2" t="str">
        <f>IF(O9&lt;3,3-O9,"")</f>
        <v/>
      </c>
      <c r="P43" s="2" t="str">
        <f>IF(P9&lt;3,3-P9,"")</f>
        <v/>
      </c>
      <c r="Q43" s="2" t="str">
        <f>IF(Q9&lt;3,3-Q9,"")</f>
        <v/>
      </c>
      <c r="R43" s="2" t="str">
        <f>IF(R9&lt;3,3-R9,"")</f>
        <v/>
      </c>
      <c r="S43" s="2" t="str">
        <f>IF(S9&lt;3,3-S9,"")</f>
        <v/>
      </c>
      <c r="V43" s="2" t="str">
        <v>+1.00</v>
      </c>
      <c r="W43" s="2">
        <f>IF(W9&lt;10,10-W9,"")</f>
        <v>2</v>
      </c>
      <c r="X43" s="2" t="str">
        <f>IF(X9&lt;8,8-X9,"")</f>
        <v/>
      </c>
      <c r="Y43" s="2">
        <f>IF(Y9&lt;8,8-Y9,"")</f>
        <v>1</v>
      </c>
      <c r="Z43" s="2">
        <f>IF(Z9&lt;8,8-Z9,"")</f>
        <v>4</v>
      </c>
      <c r="AA43" s="2">
        <f>IF(AA9&lt;8,8-AA9,"")</f>
        <v>1</v>
      </c>
      <c r="AB43" s="2" t="str">
        <f>IF(AB9&lt;8,8-AB9,"")</f>
        <v/>
      </c>
      <c r="AC43" s="2" t="str">
        <f>IF(AC9&lt;8,8-AC9,"")</f>
        <v/>
      </c>
      <c r="AD43" s="2" t="str">
        <f>IF(AD9&lt;8,8-AD9,"")</f>
        <v/>
      </c>
      <c r="AE43" s="2" t="str">
        <f>IF(AE9&lt;8,8-AE9,"")</f>
        <v/>
      </c>
      <c r="AF43" s="2" t="str">
        <f>IF(AF9&lt;3,3-AF9,"")</f>
        <v/>
      </c>
      <c r="AG43" s="2" t="str">
        <f>IF(AG9&lt;3,3-AG9,"")</f>
        <v/>
      </c>
      <c r="AH43" s="2" t="str">
        <f>IF(AH9&lt;3,3-AH9,"")</f>
        <v/>
      </c>
      <c r="AI43" s="2" t="str">
        <f>IF(AI9&lt;3,3-AI9,"")</f>
        <v/>
      </c>
      <c r="AJ43" s="2">
        <f>IF(AJ9&lt;3,3-AJ9,"")</f>
        <v>1</v>
      </c>
      <c r="AK43" s="2" t="str">
        <f>IF(AK9&lt;3,3-AK9,"")</f>
        <v/>
      </c>
      <c r="AL43" s="2" t="str">
        <f>IF(AL9&lt;3,3-AL9,"")</f>
        <v/>
      </c>
      <c r="AM43" s="2" t="str">
        <f>IF(AM9&lt;3,3-AM9,"")</f>
        <v/>
      </c>
    </row>
    <row r="44">
      <c r="B44" s="2" t="str">
        <v>-1.00</v>
      </c>
      <c r="C44" s="2">
        <f>IF(C10&lt;8,8-C10,"")</f>
        <v>1</v>
      </c>
      <c r="D44" s="2" t="str">
        <f>IF(D10&lt;8,8-D10,"")</f>
        <v/>
      </c>
      <c r="E44" s="2" t="str">
        <f>IF(E10&lt;8,8-E10,"")</f>
        <v/>
      </c>
      <c r="F44" s="2" t="str">
        <f>IF(F10&lt;8,8-F10,"")</f>
        <v/>
      </c>
      <c r="G44" s="2" t="str">
        <f>IF(G10&lt;8,8-G10,"")</f>
        <v/>
      </c>
      <c r="H44" s="2" t="str">
        <f>IF(H10&lt;8,8-H10,"")</f>
        <v/>
      </c>
      <c r="I44" s="2" t="str">
        <f>IF(I10&lt;8,8-I10,"")</f>
        <v/>
      </c>
      <c r="J44" s="2" t="str">
        <f>IF(J10&lt;8,8-J10,"")</f>
        <v/>
      </c>
      <c r="K44" s="2" t="str">
        <f>IF(K10&lt;8,8-K10,"")</f>
        <v/>
      </c>
      <c r="L44" s="2" t="str">
        <f>IF(L10&lt;3,3-L10,"")</f>
        <v/>
      </c>
      <c r="M44" s="2" t="str">
        <f>IF(M10&lt;3,3-M10,"")</f>
        <v/>
      </c>
      <c r="N44" s="2" t="str">
        <f>IF(N10&lt;3,3-N10,"")</f>
        <v/>
      </c>
      <c r="O44" s="2" t="str">
        <f>IF(O10&lt;3,3-O10,"")</f>
        <v/>
      </c>
      <c r="P44" s="2" t="str">
        <f>IF(P10&lt;3,3-P10,"")</f>
        <v/>
      </c>
      <c r="Q44" s="2" t="str">
        <f>IF(Q10&lt;3,3-Q10,"")</f>
        <v/>
      </c>
      <c r="R44" s="2" t="str">
        <f>IF(R10&lt;3,3-R10,"")</f>
        <v/>
      </c>
      <c r="S44" s="2" t="str">
        <f>IF(S10&lt;3,3-S10,"")</f>
        <v/>
      </c>
      <c r="V44" s="2" t="str">
        <v>+1.25</v>
      </c>
      <c r="W44" s="2">
        <f>IF(W10&lt;10,10-W10,"")</f>
        <v>1</v>
      </c>
      <c r="X44" s="2" t="str">
        <f>IF(X10&lt;8,8-X10,"")</f>
        <v/>
      </c>
      <c r="Y44" s="2" t="str">
        <f>IF(Y10&lt;8,8-Y10,"")</f>
        <v/>
      </c>
      <c r="Z44" s="2" t="str">
        <f>IF(Z10&lt;8,8-Z10,"")</f>
        <v/>
      </c>
      <c r="AA44" s="2" t="str">
        <f>IF(AA10&lt;8,8-AA10,"")</f>
        <v/>
      </c>
      <c r="AB44" s="2" t="str">
        <f>IF(AB10&lt;8,8-AB10,"")</f>
        <v/>
      </c>
      <c r="AC44" s="2" t="str">
        <f>IF(AC10&lt;8,8-AC10,"")</f>
        <v/>
      </c>
      <c r="AD44" s="2" t="str">
        <f>IF(AD10&lt;8,8-AD10,"")</f>
        <v/>
      </c>
      <c r="AE44" s="2">
        <f>IF(AE10&lt;8,8-AE10,"")</f>
        <v>1</v>
      </c>
      <c r="AF44" s="2" t="str">
        <f>IF(AF10&lt;3,3-AF10,"")</f>
        <v/>
      </c>
      <c r="AG44" s="2" t="str">
        <f>IF(AG10&lt;3,3-AG10,"")</f>
        <v/>
      </c>
      <c r="AH44" s="2" t="str">
        <f>IF(AH10&lt;3,3-AH10,"")</f>
        <v/>
      </c>
      <c r="AI44" s="2" t="str">
        <f>IF(AI10&lt;3,3-AI10,"")</f>
        <v/>
      </c>
      <c r="AJ44" s="2" t="str">
        <f>IF(AJ10&lt;3,3-AJ10,"")</f>
        <v/>
      </c>
      <c r="AK44" s="2" t="str">
        <f>IF(AK10&lt;3,3-AK10,"")</f>
        <v/>
      </c>
      <c r="AL44" s="2" t="str">
        <f>IF(AL10&lt;3,3-AL10,"")</f>
        <v/>
      </c>
      <c r="AM44" s="2" t="str">
        <f>IF(AM10&lt;3,3-AM10,"")</f>
        <v/>
      </c>
    </row>
    <row r="45">
      <c r="B45" s="2" t="str">
        <v>-1.25</v>
      </c>
      <c r="C45" s="2">
        <f>IF(C11&lt;8,8-C11,"")</f>
        <v>2</v>
      </c>
      <c r="D45" s="2" t="str">
        <f>IF(D11&lt;8,8-D11,"")</f>
        <v/>
      </c>
      <c r="E45" s="2" t="str">
        <f>IF(E11&lt;8,8-E11,"")</f>
        <v/>
      </c>
      <c r="F45" s="2" t="str">
        <f>IF(F11&lt;8,8-F11,"")</f>
        <v/>
      </c>
      <c r="G45" s="2" t="str">
        <f>IF(G11&lt;8,8-G11,"")</f>
        <v/>
      </c>
      <c r="H45" s="2" t="str">
        <f>IF(H11&lt;8,8-H11,"")</f>
        <v/>
      </c>
      <c r="I45" s="2" t="str">
        <f>IF(I11&lt;8,8-I11,"")</f>
        <v/>
      </c>
      <c r="J45" s="2" t="str">
        <f>IF(J11&lt;8,8-J11,"")</f>
        <v/>
      </c>
      <c r="K45" s="2" t="str">
        <f>IF(K11&lt;8,8-K11,"")</f>
        <v/>
      </c>
      <c r="L45" s="2" t="str">
        <f>IF(L11&lt;3,3-L11,"")</f>
        <v/>
      </c>
      <c r="M45" s="2" t="str">
        <f>IF(M11&lt;3,3-M11,"")</f>
        <v/>
      </c>
      <c r="N45" s="2" t="str">
        <f>IF(N11&lt;3,3-N11,"")</f>
        <v/>
      </c>
      <c r="O45" s="2" t="str">
        <f>IF(O11&lt;3,3-O11,"")</f>
        <v/>
      </c>
      <c r="P45" s="2" t="str">
        <f>IF(P11&lt;3,3-P11,"")</f>
        <v/>
      </c>
      <c r="Q45" s="2" t="str">
        <f>IF(Q11&lt;3,3-Q11,"")</f>
        <v/>
      </c>
      <c r="R45" s="2" t="str">
        <f>IF(R11&lt;3,3-R11,"")</f>
        <v/>
      </c>
      <c r="S45" s="2" t="str">
        <f>IF(S11&lt;3,3-S11,"")</f>
        <v/>
      </c>
      <c r="V45" s="2" t="str">
        <v>+1.50</v>
      </c>
      <c r="W45" s="2">
        <f>IF(W11&lt;10,10-W11,"")</f>
        <v>4</v>
      </c>
      <c r="X45" s="2" t="str">
        <f>IF(X11&lt;8,8-X11,"")</f>
        <v/>
      </c>
      <c r="Y45" s="2" t="str">
        <f>IF(Y11&lt;8,8-Y11,"")</f>
        <v/>
      </c>
      <c r="Z45" s="2">
        <f>IF(Z11&lt;8,8-Z11,"")</f>
        <v>1</v>
      </c>
      <c r="AA45" s="2" t="str">
        <f>IF(AA11&lt;8,8-AA11,"")</f>
        <v/>
      </c>
      <c r="AB45" s="2" t="str">
        <f>IF(AB11&lt;8,8-AB11,"")</f>
        <v/>
      </c>
      <c r="AC45" s="2" t="str">
        <f>IF(AC11&lt;8,8-AC11,"")</f>
        <v/>
      </c>
      <c r="AD45" s="2">
        <f>IF(AD11&lt;8,8-AD11,"")</f>
        <v>1</v>
      </c>
      <c r="AE45" s="2" t="str">
        <f>IF(AE11&lt;8,8-AE11,"")</f>
        <v/>
      </c>
      <c r="AF45" s="2" t="str">
        <f>IF(AF11&lt;3,3-AF11,"")</f>
        <v/>
      </c>
      <c r="AG45" s="2" t="str">
        <f>IF(AG11&lt;3,3-AG11,"")</f>
        <v/>
      </c>
      <c r="AH45" s="2" t="str">
        <f>IF(AH11&lt;3,3-AH11,"")</f>
        <v/>
      </c>
      <c r="AI45" s="2" t="str">
        <f>IF(AI11&lt;3,3-AI11,"")</f>
        <v/>
      </c>
      <c r="AJ45" s="2" t="str">
        <f>IF(AJ11&lt;3,3-AJ11,"")</f>
        <v/>
      </c>
      <c r="AK45" s="2" t="str">
        <f>IF(AK11&lt;3,3-AK11,"")</f>
        <v/>
      </c>
      <c r="AL45" s="2" t="str">
        <f>IF(AL11&lt;3,3-AL11,"")</f>
        <v/>
      </c>
      <c r="AM45" s="2" t="str">
        <f>IF(AM11&lt;3,3-AM11,"")</f>
        <v/>
      </c>
    </row>
    <row r="46">
      <c r="B46" s="2" t="str">
        <v>-1.50</v>
      </c>
      <c r="C46" s="2" t="str">
        <f>IF(C12&lt;8,8-C12,"")</f>
        <v/>
      </c>
      <c r="D46" s="2" t="str">
        <f>IF(D12&lt;8,8-D12,"")</f>
        <v/>
      </c>
      <c r="E46" s="2">
        <f>IF(E12&lt;8,8-E12,"")</f>
        <v>1</v>
      </c>
      <c r="F46" s="2" t="str">
        <f>IF(F12&lt;8,8-F12,"")</f>
        <v/>
      </c>
      <c r="G46" s="2" t="str">
        <f>IF(G12&lt;8,8-G12,"")</f>
        <v/>
      </c>
      <c r="H46" s="2">
        <f>IF(H12&lt;8,8-H12,"")</f>
        <v>1</v>
      </c>
      <c r="I46" s="2" t="str">
        <f>IF(I12&lt;8,8-I12,"")</f>
        <v/>
      </c>
      <c r="J46" s="2" t="str">
        <f>IF(J12&lt;8,8-J12,"")</f>
        <v/>
      </c>
      <c r="K46" s="2" t="str">
        <f>IF(K12&lt;8,8-K12,"")</f>
        <v/>
      </c>
      <c r="L46" s="2" t="str">
        <f>IF(L12&lt;3,3-L12,"")</f>
        <v/>
      </c>
      <c r="M46" s="2" t="str">
        <f>IF(M12&lt;3,3-M12,"")</f>
        <v/>
      </c>
      <c r="N46" s="2" t="str">
        <f>IF(N12&lt;3,3-N12,"")</f>
        <v/>
      </c>
      <c r="O46" s="2" t="str">
        <f>IF(O12&lt;3,3-O12,"")</f>
        <v/>
      </c>
      <c r="P46" s="2" t="str">
        <f>IF(P12&lt;3,3-P12,"")</f>
        <v/>
      </c>
      <c r="Q46" s="2" t="str">
        <f>IF(Q12&lt;3,3-Q12,"")</f>
        <v/>
      </c>
      <c r="R46" s="2" t="str">
        <f>IF(R12&lt;3,3-R12,"")</f>
        <v/>
      </c>
      <c r="S46" s="2" t="str">
        <f>IF(S12&lt;3,3-S12,"")</f>
        <v/>
      </c>
      <c r="V46" s="2" t="str">
        <v>+1.75</v>
      </c>
      <c r="W46" s="2" t="str">
        <f>IF(W12&lt;10,10-W12,"")</f>
        <v/>
      </c>
      <c r="X46" s="2">
        <f>IF(X12&lt;8,8-X12,"")</f>
        <v>1</v>
      </c>
      <c r="Y46" s="2">
        <f>IF(Y12&lt;8,8-Y12,"")</f>
        <v>4</v>
      </c>
      <c r="Z46" s="2">
        <f>IF(Z12&lt;8,8-Z12,"")</f>
        <v>1</v>
      </c>
      <c r="AA46" s="2">
        <f>IF(AA12&lt;8,8-AA12,"")</f>
        <v>1</v>
      </c>
      <c r="AB46" s="2" t="str">
        <f>IF(AB12&lt;8,8-AB12,"")</f>
        <v/>
      </c>
      <c r="AC46" s="2" t="str">
        <f>IF(AC12&lt;8,8-AC12,"")</f>
        <v/>
      </c>
      <c r="AD46" s="2" t="str">
        <f>IF(AD12&lt;8,8-AD12,"")</f>
        <v/>
      </c>
      <c r="AE46" s="2" t="str">
        <f>IF(AE12&lt;8,8-AE12,"")</f>
        <v/>
      </c>
      <c r="AF46" s="2" t="str">
        <f>IF(AF12&lt;3,3-AF12,"")</f>
        <v/>
      </c>
      <c r="AG46" s="2" t="str">
        <f>IF(AG12&lt;3,3-AG12,"")</f>
        <v/>
      </c>
      <c r="AH46" s="2" t="str">
        <f>IF(AH12&lt;3,3-AH12,"")</f>
        <v/>
      </c>
      <c r="AI46" s="2" t="str">
        <f>IF(AI12&lt;3,3-AI12,"")</f>
        <v/>
      </c>
      <c r="AJ46" s="2" t="str">
        <f>IF(AJ12&lt;3,3-AJ12,"")</f>
        <v/>
      </c>
      <c r="AK46" s="2" t="str">
        <f>IF(AK12&lt;3,3-AK12,"")</f>
        <v/>
      </c>
      <c r="AL46" s="2" t="str">
        <f>IF(AL12&lt;3,3-AL12,"")</f>
        <v/>
      </c>
      <c r="AM46" s="2" t="str">
        <f>IF(AM12&lt;3,3-AM12,"")</f>
        <v/>
      </c>
    </row>
    <row r="47">
      <c r="B47" s="2" t="str">
        <v>-1.75</v>
      </c>
      <c r="C47" s="2">
        <f>IF(C13&lt;8,8-C13,"")</f>
        <v>1</v>
      </c>
      <c r="D47" s="2" t="str">
        <f>IF(D13&lt;8,8-D13,"")</f>
        <v/>
      </c>
      <c r="E47" s="2" t="str">
        <f>IF(E13&lt;8,8-E13,"")</f>
        <v/>
      </c>
      <c r="F47" s="2" t="str">
        <f>IF(F13&lt;8,8-F13,"")</f>
        <v/>
      </c>
      <c r="G47" s="2" t="str">
        <f>IF(G13&lt;8,8-G13,"")</f>
        <v/>
      </c>
      <c r="H47" s="2" t="str">
        <f>IF(H13&lt;8,8-H13,"")</f>
        <v/>
      </c>
      <c r="I47" s="2" t="str">
        <f>IF(I13&lt;8,8-I13,"")</f>
        <v/>
      </c>
      <c r="J47" s="2" t="str">
        <f>IF(J13&lt;8,8-J13,"")</f>
        <v/>
      </c>
      <c r="K47" s="2" t="str">
        <f>IF(K13&lt;8,8-K13,"")</f>
        <v/>
      </c>
      <c r="L47" s="2" t="str">
        <f>IF(L13&lt;3,3-L13,"")</f>
        <v/>
      </c>
      <c r="M47" s="2" t="str">
        <f>IF(M13&lt;3,3-M13,"")</f>
        <v/>
      </c>
      <c r="N47" s="2" t="str">
        <f>IF(N13&lt;3,3-N13,"")</f>
        <v/>
      </c>
      <c r="O47" s="2" t="str">
        <f>IF(O13&lt;3,3-O13,"")</f>
        <v/>
      </c>
      <c r="P47" s="2" t="str">
        <f>IF(P13&lt;3,3-P13,"")</f>
        <v/>
      </c>
      <c r="Q47" s="2" t="str">
        <f>IF(Q13&lt;3,3-Q13,"")</f>
        <v/>
      </c>
      <c r="R47" s="2" t="str">
        <f>IF(R13&lt;3,3-R13,"")</f>
        <v/>
      </c>
      <c r="S47" s="2" t="str">
        <f>IF(S13&lt;3,3-S13,"")</f>
        <v/>
      </c>
      <c r="V47" s="2" t="str">
        <v>+2.00</v>
      </c>
      <c r="W47" s="2">
        <f>IF(W13&lt;10,10-W13,"")</f>
        <v>2</v>
      </c>
      <c r="X47" s="2" t="str">
        <f>IF(X13&lt;8,8-X13,"")</f>
        <v/>
      </c>
      <c r="Y47" s="2">
        <f>IF(Y13&lt;8,8-Y13,"")</f>
        <v>1</v>
      </c>
      <c r="Z47" s="2" t="str">
        <f>IF(Z13&lt;8,8-Z13,"")</f>
        <v/>
      </c>
      <c r="AA47" s="2">
        <f>IF(AA13&lt;8,8-AA13,"")</f>
        <v>1</v>
      </c>
      <c r="AB47" s="2" t="str">
        <f>IF(AB13&lt;8,8-AB13,"")</f>
        <v/>
      </c>
      <c r="AC47" s="2" t="str">
        <f>IF(AC13&lt;8,8-AC13,"")</f>
        <v/>
      </c>
      <c r="AD47" s="2">
        <f>IF(AD13&lt;8,8-AD13,"")</f>
        <v>1</v>
      </c>
      <c r="AE47" s="2" t="str">
        <f>IF(AE13&lt;8,8-AE13,"")</f>
        <v/>
      </c>
      <c r="AF47" s="2" t="str">
        <f>IF(AF13&lt;3,3-AF13,"")</f>
        <v/>
      </c>
      <c r="AG47" s="2" t="str">
        <f>IF(AG13&lt;3,3-AG13,"")</f>
        <v/>
      </c>
      <c r="AH47" s="2" t="str">
        <f>IF(AH13&lt;3,3-AH13,"")</f>
        <v/>
      </c>
      <c r="AI47" s="2" t="str">
        <f>IF(AI13&lt;3,3-AI13,"")</f>
        <v/>
      </c>
      <c r="AJ47" s="2">
        <f>IF(AJ13&lt;3,3-AJ13,"")</f>
        <v>1</v>
      </c>
      <c r="AK47" s="2">
        <f>IF(AK13&lt;3,3-AK13,"")</f>
        <v>3</v>
      </c>
      <c r="AL47" s="2" t="str">
        <f>IF(AL13&lt;3,3-AL13,"")</f>
        <v/>
      </c>
      <c r="AM47" s="2" t="str">
        <f>IF(AM13&lt;3,3-AM13,"")</f>
        <v/>
      </c>
    </row>
    <row r="48">
      <c r="B48" s="2" t="str">
        <v>-2.00</v>
      </c>
      <c r="C48" s="2">
        <f>IF(C14&lt;8,8-C14,"")</f>
        <v>2</v>
      </c>
      <c r="D48" s="2" t="str">
        <f>IF(D14&lt;8,8-D14,"")</f>
        <v/>
      </c>
      <c r="E48" s="2">
        <f>IF(E14&lt;8,8-E14,"")</f>
        <v>2</v>
      </c>
      <c r="F48" s="2">
        <f>IF(F14&lt;8,8-F14,"")</f>
        <v>1</v>
      </c>
      <c r="G48" s="2" t="str">
        <f>IF(G14&lt;8,8-G14,"")</f>
        <v/>
      </c>
      <c r="H48" s="2" t="str">
        <f>IF(H14&lt;8,8-H14,"")</f>
        <v/>
      </c>
      <c r="I48" s="2">
        <f>IF(I14&lt;8,8-I14,"")</f>
        <v>1</v>
      </c>
      <c r="J48" s="2">
        <f>IF(J14&lt;8,8-J14,"")</f>
        <v>1</v>
      </c>
      <c r="K48" s="2" t="str">
        <f>IF(K14&lt;8,8-K14,"")</f>
        <v/>
      </c>
      <c r="L48" s="2" t="str">
        <f>IF(L14&lt;3,3-L14,"")</f>
        <v/>
      </c>
      <c r="M48" s="2" t="str">
        <f>IF(M14&lt;3,3-M14,"")</f>
        <v/>
      </c>
      <c r="N48" s="2" t="str">
        <f>IF(N14&lt;3,3-N14,"")</f>
        <v/>
      </c>
      <c r="O48" s="2" t="str">
        <f>IF(O14&lt;3,3-O14,"")</f>
        <v/>
      </c>
      <c r="P48" s="2" t="str">
        <f>IF(P14&lt;3,3-P14,"")</f>
        <v/>
      </c>
      <c r="Q48" s="2" t="str">
        <f>IF(Q14&lt;3,3-Q14,"")</f>
        <v/>
      </c>
      <c r="R48" s="2" t="str">
        <f>IF(R14&lt;3,3-R14,"")</f>
        <v/>
      </c>
      <c r="S48" s="2" t="str">
        <f>IF(S14&lt;3,3-S14,"")</f>
        <v/>
      </c>
      <c r="V48" s="2" t="str">
        <v>+2.25</v>
      </c>
      <c r="W48" s="2" t="str">
        <f>IF(W14&lt;10,10-W14,"")</f>
        <v/>
      </c>
      <c r="X48" s="2" t="str">
        <f>IF(X14&lt;8,8-X14,"")</f>
        <v/>
      </c>
      <c r="Y48" s="2" t="str">
        <f>IF(Y14&lt;8,8-Y14,"")</f>
        <v/>
      </c>
      <c r="Z48" s="2" t="str">
        <f>IF(Z14&lt;8,8-Z14,"")</f>
        <v/>
      </c>
      <c r="AA48" s="2">
        <f>IF(AA14&lt;8,8-AA14,"")</f>
        <v>1</v>
      </c>
      <c r="AB48" s="2" t="str">
        <f>IF(AB14&lt;8,8-AB14,"")</f>
        <v/>
      </c>
      <c r="AC48" s="2" t="str">
        <f>IF(AC14&lt;8,8-AC14,"")</f>
        <v/>
      </c>
      <c r="AD48" s="2" t="str">
        <f>IF(AD14&lt;8,8-AD14,"")</f>
        <v/>
      </c>
      <c r="AE48" s="2" t="str">
        <f>IF(AE14&lt;8,8-AE14,"")</f>
        <v/>
      </c>
      <c r="AF48" s="2" t="str">
        <f>IF(AF14&lt;3,3-AF14,"")</f>
        <v/>
      </c>
      <c r="AG48" s="2" t="str">
        <f>IF(AG14&lt;3,3-AG14,"")</f>
        <v/>
      </c>
      <c r="AH48" s="2" t="str">
        <f>IF(AH14&lt;3,3-AH14,"")</f>
        <v/>
      </c>
      <c r="AI48" s="2" t="str">
        <f>IF(AI14&lt;3,3-AI14,"")</f>
        <v/>
      </c>
      <c r="AJ48" s="2" t="str">
        <f>IF(AJ14&lt;3,3-AJ14,"")</f>
        <v/>
      </c>
      <c r="AK48" s="2" t="str">
        <f>IF(AK14&lt;3,3-AK14,"")</f>
        <v/>
      </c>
      <c r="AL48" s="2" t="str">
        <f>IF(AL14&lt;3,3-AL14,"")</f>
        <v/>
      </c>
      <c r="AM48" s="2" t="str">
        <f>IF(AM14&lt;3,3-AM14,"")</f>
        <v/>
      </c>
    </row>
    <row r="49">
      <c r="B49" s="2" t="str">
        <v>-2.25</v>
      </c>
      <c r="C49" s="2" t="str">
        <f>IF(C15&lt;8,8-C15,"")</f>
        <v/>
      </c>
      <c r="D49" s="2" t="str">
        <f>IF(D15&lt;8,8-D15,"")</f>
        <v/>
      </c>
      <c r="E49" s="2">
        <f>IF(E15&lt;8,8-E15,"")</f>
        <v>1</v>
      </c>
      <c r="F49" s="2" t="str">
        <f>IF(F15&lt;8,8-F15,"")</f>
        <v/>
      </c>
      <c r="G49" s="2" t="str">
        <f>IF(G15&lt;8,8-G15,"")</f>
        <v/>
      </c>
      <c r="H49" s="2" t="str">
        <f>IF(H15&lt;8,8-H15,"")</f>
        <v/>
      </c>
      <c r="I49" s="2" t="str">
        <f>IF(I15&lt;8,8-I15,"")</f>
        <v/>
      </c>
      <c r="J49" s="2" t="str">
        <f>IF(J15&lt;8,8-J15,"")</f>
        <v/>
      </c>
      <c r="K49" s="2" t="str">
        <f>IF(K15&lt;8,8-K15,"")</f>
        <v/>
      </c>
      <c r="L49" s="2" t="str">
        <f>IF(L15&lt;3,3-L15,"")</f>
        <v/>
      </c>
      <c r="M49" s="2" t="str">
        <f>IF(M15&lt;3,3-M15,"")</f>
        <v/>
      </c>
      <c r="N49" s="2" t="str">
        <f>IF(N15&lt;3,3-N15,"")</f>
        <v/>
      </c>
      <c r="O49" s="2" t="str">
        <f>IF(O15&lt;3,3-O15,"")</f>
        <v/>
      </c>
      <c r="P49" s="2" t="str">
        <f>IF(P15&lt;3,3-P15,"")</f>
        <v/>
      </c>
      <c r="Q49" s="2" t="str">
        <f>IF(Q15&lt;3,3-Q15,"")</f>
        <v/>
      </c>
      <c r="R49" s="2" t="str">
        <f>IF(R15&lt;3,3-R15,"")</f>
        <v/>
      </c>
      <c r="S49" s="2" t="str">
        <f>IF(S15&lt;3,3-S15,"")</f>
        <v/>
      </c>
      <c r="V49" s="2" t="str">
        <v>+2.50</v>
      </c>
      <c r="W49" s="2">
        <f>IF(W15&lt;10,10-W15,"")</f>
        <v>2</v>
      </c>
      <c r="X49" s="2" t="str">
        <f>IF(X15&lt;2,2-X15,"")</f>
        <v/>
      </c>
      <c r="Y49" s="2" t="str">
        <f>IF(Y15&lt;8,8-Y15,"")</f>
        <v/>
      </c>
      <c r="Z49" s="2" t="str">
        <f>IF(Z15&lt;8,8-Z15,"")</f>
        <v/>
      </c>
      <c r="AA49" s="2">
        <f>IF(AA15&lt;8,8-AA15,"")</f>
        <v>1</v>
      </c>
      <c r="AB49" s="2" t="str">
        <f>IF(AB15&lt;8,8-AB15,"")</f>
        <v/>
      </c>
      <c r="AC49" s="2" t="str">
        <f>IF(AC15&lt;8,8-AC15,"")</f>
        <v/>
      </c>
      <c r="AD49" s="2" t="str">
        <f>IF(AD15&lt;8,8-AD15,"")</f>
        <v/>
      </c>
      <c r="AE49" s="2" t="str">
        <f>IF(AE15&lt;8,8-AE15,"")</f>
        <v/>
      </c>
      <c r="AF49" s="2" t="str">
        <f>IF(AF15&lt;3,3-AF15,"")</f>
        <v/>
      </c>
      <c r="AG49" s="2" t="str">
        <f>IF(AG15&lt;3,3-AG15,"")</f>
        <v/>
      </c>
      <c r="AH49" s="2" t="str">
        <f>IF(AH15&lt;3,3-AH15,"")</f>
        <v/>
      </c>
      <c r="AI49" s="2" t="str">
        <f>IF(AI15&lt;3,3-AI15,"")</f>
        <v/>
      </c>
      <c r="AJ49" s="2" t="str">
        <f>IF(AJ15&lt;3,3-AJ15,"")</f>
        <v/>
      </c>
      <c r="AK49" s="2">
        <f>IF(AK15&lt;3,3-AK15,"")</f>
        <v>1</v>
      </c>
      <c r="AL49" s="2" t="str">
        <f>IF(AL15&lt;3,3-AL15,"")</f>
        <v/>
      </c>
      <c r="AM49" s="2" t="str">
        <f>IF(AM15&lt;3,3-AM15,"")</f>
        <v/>
      </c>
    </row>
    <row r="50">
      <c r="B50" s="2" t="str">
        <v>-2.50</v>
      </c>
      <c r="C50" s="2" t="str">
        <f>IF(C16&lt;8,8-C16,"")</f>
        <v/>
      </c>
      <c r="D50" s="2" t="str">
        <f>IF(D16&lt;8,8-D16,"")</f>
        <v/>
      </c>
      <c r="E50" s="2" t="str">
        <f>IF(E16&lt;8,8-E16,"")</f>
        <v/>
      </c>
      <c r="F50" s="2" t="str">
        <f>IF(F16&lt;8,8-F16,"")</f>
        <v/>
      </c>
      <c r="G50" s="2" t="str">
        <f>IF(G16&lt;8,8-G16,"")</f>
        <v/>
      </c>
      <c r="H50" s="2" t="str">
        <f>IF(H16&lt;8,8-H16,"")</f>
        <v/>
      </c>
      <c r="I50" s="2" t="str">
        <f>IF(I16&lt;8,8-I16,"")</f>
        <v/>
      </c>
      <c r="J50" s="2" t="str">
        <f>IF(J16&lt;8,8-J16,"")</f>
        <v/>
      </c>
      <c r="K50" s="2" t="str">
        <f>IF(K16&lt;8,8-K16,"")</f>
        <v/>
      </c>
      <c r="L50" s="2" t="str">
        <f>IF(L16&lt;3,3-L16,"")</f>
        <v/>
      </c>
      <c r="M50" s="2" t="str">
        <f>IF(M16&lt;3,3-M16,"")</f>
        <v/>
      </c>
      <c r="N50" s="2" t="str">
        <f>IF(N16&lt;3,3-N16,"")</f>
        <v/>
      </c>
      <c r="O50" s="2" t="str">
        <f>IF(O16&lt;3,3-O16,"")</f>
        <v/>
      </c>
      <c r="P50" s="2" t="str">
        <f>IF(P16&lt;3,3-P16,"")</f>
        <v/>
      </c>
      <c r="Q50" s="2" t="str">
        <f>IF(Q16&lt;3,3-Q16,"")</f>
        <v/>
      </c>
      <c r="R50" s="2" t="str">
        <f>IF(R16&lt;3,3-R16,"")</f>
        <v/>
      </c>
      <c r="S50" s="2" t="str">
        <f>IF(S16&lt;3,3-S16,"")</f>
        <v/>
      </c>
      <c r="V50" s="2" t="str">
        <v>+2.75</v>
      </c>
      <c r="W50" s="2">
        <f>IF(W16&lt;10,10-W16,"")</f>
        <v>3</v>
      </c>
      <c r="X50" s="2" t="str">
        <f>IF(X16&lt;2,2-X16,"")</f>
        <v/>
      </c>
      <c r="Y50" s="2">
        <f>IF(Y16&lt;8,8-Y16,"")</f>
        <v>1</v>
      </c>
      <c r="Z50" s="2">
        <f>IF(Z16&lt;8,8-Z16,"")</f>
        <v>1</v>
      </c>
      <c r="AA50" s="2" t="str">
        <f>IF(AA16&lt;8,8-AA16,"")</f>
        <v/>
      </c>
      <c r="AB50" s="2" t="str">
        <f>IF(AB16&lt;8,8-AB16,"")</f>
        <v/>
      </c>
      <c r="AC50" s="2" t="str">
        <f>IF(AC16&lt;8,8-AC16,"")</f>
        <v/>
      </c>
      <c r="AD50" s="2" t="str">
        <f>IF(AD16&lt;8,8-AD16,"")</f>
        <v/>
      </c>
      <c r="AE50" s="2" t="str">
        <f>IF(AE16&lt;8,8-AE16,"")</f>
        <v/>
      </c>
      <c r="AF50" s="2" t="str">
        <f>IF(AF16&lt;3,3-AF16,"")</f>
        <v/>
      </c>
      <c r="AG50" s="2" t="str">
        <f>IF(AG16&lt;3,3-AG16,"")</f>
        <v/>
      </c>
      <c r="AH50" s="2" t="str">
        <f>IF(AH16&lt;3,3-AH16,"")</f>
        <v/>
      </c>
      <c r="AI50" s="2" t="str">
        <f>IF(AI16&lt;3,3-AI16,"")</f>
        <v/>
      </c>
      <c r="AJ50" s="2" t="str">
        <f>IF(AJ16&lt;3,3-AJ16,"")</f>
        <v/>
      </c>
      <c r="AK50" s="2" t="str">
        <f>IF(AK16&lt;3,3-AK16,"")</f>
        <v/>
      </c>
      <c r="AL50" s="2" t="str">
        <f>IF(AL16&lt;3,3-AL16,"")</f>
        <v/>
      </c>
      <c r="AM50" s="2" t="str">
        <f>IF(AM16&lt;3,3-AM16,"")</f>
        <v/>
      </c>
    </row>
    <row r="51">
      <c r="B51" s="2" t="str">
        <v>-2.75</v>
      </c>
      <c r="C51" s="2" t="str">
        <f>IF(C17&lt;8,8-C17,"")</f>
        <v/>
      </c>
      <c r="D51" s="2" t="str">
        <f>IF(D17&lt;4,4-D17,"")</f>
        <v/>
      </c>
      <c r="E51" s="2" t="str">
        <f>IF(E17&lt;4,4-E17,"")</f>
        <v/>
      </c>
      <c r="F51" s="2" t="str">
        <f>IF(F17&lt;4,4-F17,"")</f>
        <v/>
      </c>
      <c r="G51" s="2" t="str">
        <f>IF(G17&lt;4,4-G17,"")</f>
        <v/>
      </c>
      <c r="H51" s="2" t="str">
        <f>IF(H17&lt;4,4-H17,"")</f>
        <v/>
      </c>
      <c r="I51" s="2" t="str">
        <f>IF(I17&lt;4,4-I17,"")</f>
        <v/>
      </c>
      <c r="J51" s="2" t="str">
        <f>IF(J17&lt;4,4-J17,"")</f>
        <v/>
      </c>
      <c r="K51" s="2" t="str">
        <f>IF(K17&lt;4,4-K17,"")</f>
        <v/>
      </c>
      <c r="L51" s="2" t="str">
        <f>IF(L17&lt;3,3-L17,"")</f>
        <v/>
      </c>
      <c r="M51" s="2" t="str">
        <f>IF(M17&lt;3,3-M17,"")</f>
        <v/>
      </c>
      <c r="N51" s="2" t="str">
        <f>IF(N17&lt;3,3-N17,"")</f>
        <v/>
      </c>
      <c r="O51" s="2" t="str">
        <f>IF(O17&lt;3,3-O17,"")</f>
        <v/>
      </c>
      <c r="P51" s="2" t="str">
        <f>IF(P17&lt;3,3-P17,"")</f>
        <v/>
      </c>
      <c r="Q51" s="2" t="str">
        <f>IF(Q17&lt;3,3-Q17,"")</f>
        <v/>
      </c>
      <c r="R51" s="2" t="str">
        <f>IF(R17&lt;3,3-R17,"")</f>
        <v/>
      </c>
      <c r="S51" s="2" t="str">
        <f>IF(S17&lt;3,3-S17,"")</f>
        <v/>
      </c>
      <c r="V51" s="2" t="str">
        <v>+3.00</v>
      </c>
      <c r="W51" s="2">
        <f>IF(W17&lt;10,10-W17,"")</f>
        <v>2</v>
      </c>
      <c r="X51" s="2" t="str">
        <f>IF(X17&lt;2,2-X17,"")</f>
        <v/>
      </c>
      <c r="Y51" s="2">
        <f>IF(Y17&lt;8,8-Y17,"")</f>
        <v>1</v>
      </c>
      <c r="Z51" s="2" t="str">
        <f>IF(Z17&lt;8,8-Z17,"")</f>
        <v/>
      </c>
      <c r="AA51" s="2" t="str">
        <f>IF(AA17&lt;8,8-AA17,"")</f>
        <v/>
      </c>
      <c r="AB51" s="2" t="str">
        <f>IF(AB17&lt;8,8-AB17,"")</f>
        <v/>
      </c>
      <c r="AC51" s="2" t="str">
        <f>IF(AC17&lt;8,8-AC17,"")</f>
        <v/>
      </c>
      <c r="AD51" s="2" t="str">
        <f>IF(AD17&lt;8,8-AD17,"")</f>
        <v/>
      </c>
      <c r="AE51" s="2" t="str">
        <f>IF(AE17&lt;8,8-AE17,"")</f>
        <v/>
      </c>
      <c r="AF51" s="2" t="str">
        <f>IF(AF17&lt;3,3-AF17,"")</f>
        <v/>
      </c>
      <c r="AG51" s="2" t="str">
        <f>IF(AG17&lt;3,3-AG17,"")</f>
        <v/>
      </c>
      <c r="AH51" s="2" t="str">
        <f>IF(AH17&lt;3,3-AH17,"")</f>
        <v/>
      </c>
      <c r="AI51" s="2" t="str">
        <f>IF(AI17&lt;3,3-AI17,"")</f>
        <v/>
      </c>
      <c r="AJ51" s="2" t="str">
        <f>IF(AJ17&lt;3,3-AJ17,"")</f>
        <v/>
      </c>
      <c r="AK51" s="2" t="str">
        <f>IF(AK17&lt;3,3-AK17,"")</f>
        <v/>
      </c>
      <c r="AL51" s="2" t="str">
        <f>IF(AL17&lt;3,3-AL17,"")</f>
        <v/>
      </c>
      <c r="AM51" s="2" t="str">
        <f>IF(AM17&lt;3,3-AM17,"")</f>
        <v/>
      </c>
    </row>
    <row r="52">
      <c r="B52" s="2" t="str">
        <v>-3.00</v>
      </c>
      <c r="C52" s="2" t="str">
        <f>IF(C18&lt;8,8-C18,"")</f>
        <v/>
      </c>
      <c r="D52" s="2" t="str">
        <f>IF(D18&lt;4,4-D18,"")</f>
        <v/>
      </c>
      <c r="E52" s="2" t="str">
        <f>IF(E18&lt;4,4-E18,"")</f>
        <v/>
      </c>
      <c r="F52" s="2" t="str">
        <f>IF(F18&lt;4,4-F18,"")</f>
        <v/>
      </c>
      <c r="G52" s="2" t="str">
        <f>IF(G18&lt;4,4-G18,"")</f>
        <v/>
      </c>
      <c r="H52" s="2" t="str">
        <f>IF(H18&lt;4,4-H18,"")</f>
        <v/>
      </c>
      <c r="I52" s="2" t="str">
        <f>IF(I18&lt;4,4-I18,"")</f>
        <v/>
      </c>
      <c r="J52" s="2" t="str">
        <f>IF(J18&lt;4,4-J18,"")</f>
        <v/>
      </c>
      <c r="K52" s="2" t="str">
        <f>IF(K18&lt;4,4-K18,"")</f>
        <v/>
      </c>
      <c r="L52" s="2" t="str">
        <f>IF(L18&lt;3,3-L18,"")</f>
        <v/>
      </c>
      <c r="M52" s="2" t="str">
        <f>IF(M18&lt;3,3-M18,"")</f>
        <v/>
      </c>
      <c r="N52" s="2" t="str">
        <f>IF(N18&lt;3,3-N18,"")</f>
        <v/>
      </c>
      <c r="O52" s="2" t="str">
        <f>IF(O18&lt;3,3-O18,"")</f>
        <v/>
      </c>
      <c r="P52" s="2" t="str">
        <f>IF(P18&lt;3,3-P18,"")</f>
        <v/>
      </c>
      <c r="Q52" s="2" t="str">
        <f>IF(Q18&lt;3,3-Q18,"")</f>
        <v/>
      </c>
      <c r="R52" s="2" t="str">
        <f>IF(R18&lt;3,3-R18,"")</f>
        <v/>
      </c>
      <c r="S52" s="2" t="str">
        <f>IF(S18&lt;3,3-S18,"")</f>
        <v/>
      </c>
      <c r="V52" s="2" t="str">
        <v>+3.25</v>
      </c>
      <c r="W52" s="2" t="str">
        <f>IF(W18&lt;10,10-W18,"")</f>
        <v/>
      </c>
      <c r="X52" s="2" t="str">
        <f>IF(X18&lt;2,2-X18,"")</f>
        <v/>
      </c>
      <c r="Y52" s="2" t="str">
        <f>IF(Y18&lt;3,3-Y18,"")</f>
        <v/>
      </c>
      <c r="Z52" s="2" t="str">
        <f>IF(Z18&lt;3,3-Z18,"")</f>
        <v/>
      </c>
      <c r="AA52" s="2" t="str">
        <f>IF(AA18&lt;3,3-AA18,"")</f>
        <v/>
      </c>
      <c r="AB52" s="2" t="str">
        <f>IF(AB18&lt;3,3-AB18,"")</f>
        <v/>
      </c>
      <c r="AC52" s="2" t="str">
        <f>IF(AC18&lt;3,3-AC18,"")</f>
        <v/>
      </c>
      <c r="AD52" s="2" t="str">
        <f>IF(AD18&lt;3,3-AD18,"")</f>
        <v/>
      </c>
      <c r="AE52" s="2" t="str">
        <f>IF(AE18&lt;3,3-AE18,"")</f>
        <v/>
      </c>
      <c r="AF52" s="2" t="str">
        <f>IF(AF18&lt;3,3-AF18,"")</f>
        <v/>
      </c>
      <c r="AG52" s="2" t="str">
        <f>IF(AG18&lt;3,3-AG18,"")</f>
        <v/>
      </c>
      <c r="AH52" s="2" t="str">
        <f>IF(AH18&lt;3,3-AH18,"")</f>
        <v/>
      </c>
      <c r="AI52" s="2" t="str">
        <f>IF(AI18&lt;3,3-AI18,"")</f>
        <v/>
      </c>
      <c r="AJ52" s="2" t="str">
        <f>IF(AJ18&lt;3,3-AJ18,"")</f>
        <v/>
      </c>
      <c r="AK52" s="2" t="str">
        <f>IF(AK18&lt;3,3-AK18,"")</f>
        <v/>
      </c>
      <c r="AL52" s="2" t="str">
        <f>IF(AL18&lt;3,3-AL18,"")</f>
        <v/>
      </c>
      <c r="AM52" s="2" t="str">
        <f>IF(AM18&lt;3,3-AM18,"")</f>
        <v/>
      </c>
    </row>
    <row r="53">
      <c r="B53" s="2" t="str">
        <v>-3.25</v>
      </c>
      <c r="C53" s="2" t="str">
        <f>IF(C19&lt;8,8-C19,"")</f>
        <v/>
      </c>
      <c r="D53" s="2" t="str">
        <f>IF(D19&lt;3,3-D19,"")</f>
        <v/>
      </c>
      <c r="E53" s="2" t="str">
        <f>IF(E19&lt;3,3-E19,"")</f>
        <v/>
      </c>
      <c r="F53" s="2" t="str">
        <f>IF(F19&lt;3,3-F19,"")</f>
        <v/>
      </c>
      <c r="G53" s="2" t="str">
        <f>IF(G19&lt;3,3-G19,"")</f>
        <v/>
      </c>
      <c r="H53" s="2" t="str">
        <f>IF(H19&lt;3,3-H19,"")</f>
        <v/>
      </c>
      <c r="I53" s="2" t="str">
        <f>IF(I19&lt;3,3-I19,"")</f>
        <v/>
      </c>
      <c r="J53" s="2" t="str">
        <f>IF(J19&lt;3,3-J19,"")</f>
        <v/>
      </c>
      <c r="K53" s="2" t="str">
        <f>IF(K19&lt;3,3-K19,"")</f>
        <v/>
      </c>
      <c r="L53" s="2" t="str">
        <f>IF(L19&lt;3,3-L19,"")</f>
        <v/>
      </c>
      <c r="M53" s="2" t="str">
        <f>IF(M19&lt;3,3-M19,"")</f>
        <v/>
      </c>
      <c r="N53" s="2" t="str">
        <f>IF(N19&lt;3,3-N19,"")</f>
        <v/>
      </c>
      <c r="O53" s="2" t="str">
        <f>IF(O19&lt;3,3-O19,"")</f>
        <v/>
      </c>
      <c r="P53" s="2" t="str">
        <f>IF(P19&lt;3,3-P19,"")</f>
        <v/>
      </c>
      <c r="Q53" s="2" t="str">
        <f>IF(Q19&lt;3,3-Q19,"")</f>
        <v/>
      </c>
      <c r="R53" s="2" t="str">
        <f>IF(R19&lt;3,3-R19,"")</f>
        <v/>
      </c>
      <c r="S53" s="2" t="str">
        <f>IF(S19&lt;3,3-S19,"")</f>
        <v/>
      </c>
      <c r="V53" s="2" t="str">
        <v>+3.50</v>
      </c>
      <c r="W53" s="2" t="str">
        <f>IF(W19&lt;10,10-W19,"")</f>
        <v/>
      </c>
      <c r="X53" s="2" t="str">
        <f>IF(X19&lt;2,2-X19,"")</f>
        <v/>
      </c>
      <c r="Y53" s="2">
        <f>IF(Y19&lt;3,3-Y19,"")</f>
        <v>1</v>
      </c>
      <c r="Z53" s="2" t="str">
        <f>IF(Z19&lt;3,3-Z19,"")</f>
        <v/>
      </c>
      <c r="AA53" s="2" t="str">
        <f>IF(AA19&lt;3,3-AA19,"")</f>
        <v/>
      </c>
      <c r="AB53" s="2" t="str">
        <f>IF(AB19&lt;3,3-AB19,"")</f>
        <v/>
      </c>
      <c r="AC53" s="2" t="str">
        <f>IF(AC19&lt;3,3-AC19,"")</f>
        <v/>
      </c>
      <c r="AD53" s="2" t="str">
        <f>IF(AD19&lt;3,3-AD19,"")</f>
        <v/>
      </c>
      <c r="AE53" s="2" t="str">
        <f>IF(AE19&lt;3,3-AE19,"")</f>
        <v/>
      </c>
      <c r="AF53" s="2" t="str">
        <f>IF(AF19&lt;3,3-AF19,"")</f>
        <v/>
      </c>
      <c r="AG53" s="2" t="str">
        <f>IF(AG19&lt;3,3-AG19,"")</f>
        <v/>
      </c>
      <c r="AH53" s="2" t="str">
        <f>IF(AH19&lt;3,3-AH19,"")</f>
        <v/>
      </c>
      <c r="AI53" s="2" t="str">
        <f>IF(AI19&lt;3,3-AI19,"")</f>
        <v/>
      </c>
      <c r="AJ53" s="2" t="str">
        <f>IF(AJ19&lt;3,3-AJ19,"")</f>
        <v/>
      </c>
      <c r="AK53" s="2" t="str">
        <f>IF(AK19&lt;3,3-AK19,"")</f>
        <v/>
      </c>
      <c r="AL53" s="2" t="str">
        <f>IF(AL19&lt;3,3-AL19,"")</f>
        <v/>
      </c>
      <c r="AM53" s="2" t="str">
        <f>IF(AM19&lt;3,3-AM19,"")</f>
        <v/>
      </c>
    </row>
    <row r="54">
      <c r="B54" s="2" t="str">
        <v>-3.50</v>
      </c>
      <c r="C54" s="2" t="str">
        <f>IF(C20&lt;8,8-C20,"")</f>
        <v/>
      </c>
      <c r="D54" s="2" t="str">
        <f>IF(D20&lt;3,3-D20,"")</f>
        <v/>
      </c>
      <c r="E54" s="2" t="str">
        <f>IF(E20&lt;3,3-E20,"")</f>
        <v/>
      </c>
      <c r="F54" s="2" t="str">
        <f>IF(F20&lt;3,3-F20,"")</f>
        <v/>
      </c>
      <c r="G54" s="2" t="str">
        <f>IF(G20&lt;3,3-G20,"")</f>
        <v/>
      </c>
      <c r="H54" s="2" t="str">
        <f>IF(H20&lt;3,3-H20,"")</f>
        <v/>
      </c>
      <c r="I54" s="2" t="str">
        <f>IF(I20&lt;3,3-I20,"")</f>
        <v/>
      </c>
      <c r="J54" s="2" t="str">
        <f>IF(J20&lt;3,3-J20,"")</f>
        <v/>
      </c>
      <c r="K54" s="2" t="str">
        <f>IF(K20&lt;3,3-K20,"")</f>
        <v/>
      </c>
      <c r="L54" s="2" t="str">
        <f>IF(L20&lt;3,3-L20,"")</f>
        <v/>
      </c>
      <c r="M54" s="2" t="str">
        <f>IF(M20&lt;3,3-M20,"")</f>
        <v/>
      </c>
      <c r="N54" s="2" t="str">
        <f>IF(N20&lt;3,3-N20,"")</f>
        <v/>
      </c>
      <c r="O54" s="2" t="str">
        <f>IF(O20&lt;3,3-O20,"")</f>
        <v/>
      </c>
      <c r="P54" s="2" t="str">
        <f>IF(P20&lt;3,3-P20,"")</f>
        <v/>
      </c>
      <c r="Q54" s="2" t="str">
        <f>IF(Q20&lt;3,3-Q20,"")</f>
        <v/>
      </c>
      <c r="R54" s="2" t="str">
        <f>IF(R20&lt;3,3-R20,"")</f>
        <v/>
      </c>
      <c r="S54" s="2" t="str">
        <f>IF(S20&lt;3,3-S20,"")</f>
        <v/>
      </c>
      <c r="V54" s="2" t="str">
        <v>+3.75</v>
      </c>
      <c r="W54" s="2">
        <f>IF(W20&lt;10,10-W20,"")</f>
        <v>2</v>
      </c>
      <c r="X54" s="2" t="str">
        <f>IF(X20&lt;2,2-X20,"")</f>
        <v/>
      </c>
      <c r="Y54" s="2">
        <f>IF(Y20&lt;3,3-Y20,"")</f>
        <v>1</v>
      </c>
      <c r="Z54" s="2" t="str">
        <f>IF(Z20&lt;3,3-Z20,"")</f>
        <v/>
      </c>
      <c r="AA54" s="2" t="str">
        <f>IF(AA20&lt;3,3-AA20,"")</f>
        <v/>
      </c>
      <c r="AB54" s="2" t="str">
        <f>IF(AB20&lt;3,3-AB20,"")</f>
        <v/>
      </c>
      <c r="AC54" s="2" t="str">
        <f>IF(AC20&lt;3,3-AC20,"")</f>
        <v/>
      </c>
      <c r="AD54" s="2" t="str">
        <f>IF(AD20&lt;3,3-AD20,"")</f>
        <v/>
      </c>
      <c r="AE54" s="2" t="str">
        <f>IF(AE20&lt;3,3-AE20,"")</f>
        <v/>
      </c>
      <c r="AF54" s="2" t="str">
        <f>IF(AF20&lt;3,3-AF20,"")</f>
        <v/>
      </c>
      <c r="AG54" s="2" t="str">
        <f>IF(AG20&lt;3,3-AG20,"")</f>
        <v/>
      </c>
      <c r="AH54" s="2" t="str">
        <f>IF(AH20&lt;3,3-AH20,"")</f>
        <v/>
      </c>
      <c r="AI54" s="2" t="str">
        <f>IF(AI20&lt;3,3-AI20,"")</f>
        <v/>
      </c>
      <c r="AJ54" s="2" t="str">
        <f>IF(AJ20&lt;3,3-AJ20,"")</f>
        <v/>
      </c>
      <c r="AK54" s="2" t="str">
        <f>IF(AK20&lt;3,3-AK20,"")</f>
        <v/>
      </c>
      <c r="AL54" s="2" t="str">
        <f>IF(AL20&lt;3,3-AL20,"")</f>
        <v/>
      </c>
      <c r="AM54" s="2" t="str">
        <f>IF(AM20&lt;3,3-AM20,"")</f>
        <v/>
      </c>
    </row>
    <row r="55">
      <c r="B55" s="2" t="str">
        <v>-3.75</v>
      </c>
      <c r="C55" s="2" t="str">
        <f>IF(C21&lt;8,8-C21,"")</f>
        <v/>
      </c>
      <c r="D55" s="2" t="str">
        <f>IF(D21&lt;3,3-D21,"")</f>
        <v/>
      </c>
      <c r="E55" s="2" t="str">
        <f>IF(E21&lt;3,3-E21,"")</f>
        <v/>
      </c>
      <c r="F55" s="2" t="str">
        <f>IF(F21&lt;3,3-F21,"")</f>
        <v/>
      </c>
      <c r="G55" s="2" t="str">
        <f>IF(G21&lt;3,3-G21,"")</f>
        <v/>
      </c>
      <c r="H55" s="2" t="str">
        <f>IF(H21&lt;3,3-H21,"")</f>
        <v/>
      </c>
      <c r="I55" s="2" t="str">
        <f>IF(I21&lt;3,3-I21,"")</f>
        <v/>
      </c>
      <c r="J55" s="2" t="str">
        <f>IF(J21&lt;3,3-J21,"")</f>
        <v/>
      </c>
      <c r="K55" s="2" t="str">
        <f>IF(K21&lt;3,3-K21,"")</f>
        <v/>
      </c>
      <c r="L55" s="2" t="str">
        <f>IF(L21&lt;3,3-L21,"")</f>
        <v/>
      </c>
      <c r="M55" s="2" t="str">
        <f>IF(M21&lt;3,3-M21,"")</f>
        <v/>
      </c>
      <c r="N55" s="2" t="str">
        <f>IF(N21&lt;3,3-N21,"")</f>
        <v/>
      </c>
      <c r="O55" s="2" t="str">
        <f>IF(O21&lt;3,3-O21,"")</f>
        <v/>
      </c>
      <c r="P55" s="2" t="str">
        <f>IF(P21&lt;3,3-P21,"")</f>
        <v/>
      </c>
      <c r="Q55" s="2" t="str">
        <f>IF(Q21&lt;3,3-Q21,"")</f>
        <v/>
      </c>
      <c r="R55" s="2" t="str">
        <f>IF(R21&lt;3,3-R21,"")</f>
        <v/>
      </c>
      <c r="S55" s="2" t="str">
        <f>IF(S21&lt;3,3-S21,"")</f>
        <v/>
      </c>
      <c r="V55" s="2" t="str">
        <v>+4.00</v>
      </c>
      <c r="W55" s="2">
        <f>IF(W21&lt;10,10-W21,"")</f>
        <v>4</v>
      </c>
      <c r="X55" s="2" t="str">
        <f>IF(X21&lt;2,2-X21,"")</f>
        <v/>
      </c>
      <c r="Y55" s="2" t="str">
        <f>IF(Y21&lt;3,3-Y21,"")</f>
        <v/>
      </c>
      <c r="Z55" s="2" t="str">
        <f>IF(Z21&lt;3,3-Z21,"")</f>
        <v/>
      </c>
      <c r="AA55" s="2" t="str">
        <f>IF(AA21&lt;3,3-AA21,"")</f>
        <v/>
      </c>
      <c r="AB55" s="2" t="str">
        <f>IF(AB21&lt;3,3-AB21,"")</f>
        <v/>
      </c>
      <c r="AC55" s="2" t="str">
        <f>IF(AC21&lt;3,3-AC21,"")</f>
        <v/>
      </c>
      <c r="AD55" s="2" t="str">
        <f>IF(AD21&lt;3,3-AD21,"")</f>
        <v/>
      </c>
      <c r="AE55" s="2" t="str">
        <f>IF(AE21&lt;3,3-AE21,"")</f>
        <v/>
      </c>
      <c r="AF55" s="2" t="str">
        <f>IF(AF21&lt;3,3-AF21,"")</f>
        <v/>
      </c>
      <c r="AG55" s="2" t="str">
        <f>IF(AG21&lt;3,3-AG21,"")</f>
        <v/>
      </c>
      <c r="AH55" s="2" t="str">
        <f>IF(AH21&lt;3,3-AH21,"")</f>
        <v/>
      </c>
      <c r="AI55" s="2" t="str">
        <f>IF(AI21&lt;3,3-AI21,"")</f>
        <v/>
      </c>
      <c r="AJ55" s="2" t="str">
        <f>IF(AJ21&lt;3,3-AJ21,"")</f>
        <v/>
      </c>
      <c r="AK55" s="2" t="str">
        <f>IF(AK21&lt;3,3-AK21,"")</f>
        <v/>
      </c>
      <c r="AL55" s="2" t="str">
        <f>IF(AL21&lt;3,3-AL21,"")</f>
        <v/>
      </c>
      <c r="AM55" s="2" t="str">
        <f>IF(AM21&lt;3,3-AM21,"")</f>
        <v/>
      </c>
    </row>
    <row r="56">
      <c r="B56" s="2" t="str">
        <v>-4.00</v>
      </c>
      <c r="C56" s="2" t="str">
        <f>IF(C22&lt;8,8-C22,"")</f>
        <v/>
      </c>
      <c r="D56" s="2" t="str">
        <f>IF(D22&lt;3,3-D22,"")</f>
        <v/>
      </c>
      <c r="E56" s="2" t="str">
        <f>IF(E22&lt;3,3-E22,"")</f>
        <v/>
      </c>
      <c r="F56" s="2" t="str">
        <f>IF(F22&lt;3,3-F22,"")</f>
        <v/>
      </c>
      <c r="G56" s="2" t="str">
        <f>IF(G22&lt;3,3-G22,"")</f>
        <v/>
      </c>
      <c r="H56" s="2" t="str">
        <f>IF(H22&lt;3,3-H22,"")</f>
        <v/>
      </c>
      <c r="I56" s="2" t="str">
        <f>IF(I22&lt;3,3-I22,"")</f>
        <v/>
      </c>
      <c r="J56" s="2" t="str">
        <f>IF(J22&lt;3,3-J22,"")</f>
        <v/>
      </c>
      <c r="K56" s="2" t="str">
        <f>IF(K22&lt;3,3-K22,"")</f>
        <v/>
      </c>
      <c r="L56" s="2" t="str">
        <f>IF(L22&lt;3,3-L22,"")</f>
        <v/>
      </c>
      <c r="M56" s="2" t="str">
        <f>IF(M22&lt;3,3-M22,"")</f>
        <v/>
      </c>
      <c r="N56" s="2" t="str">
        <f>IF(N22&lt;3,3-N22,"")</f>
        <v/>
      </c>
      <c r="O56" s="2" t="str">
        <f>IF(O22&lt;3,3-O22,"")</f>
        <v/>
      </c>
      <c r="P56" s="2" t="str">
        <f>IF(P22&lt;3,3-P22,"")</f>
        <v/>
      </c>
      <c r="Q56" s="2" t="str">
        <f>IF(Q22&lt;3,3-Q22,"")</f>
        <v/>
      </c>
      <c r="R56" s="2" t="str">
        <f>IF(R22&lt;3,3-R22,"")</f>
        <v/>
      </c>
      <c r="S56" s="2" t="str">
        <f>IF(S22&lt;3,3-S22,"")</f>
        <v/>
      </c>
      <c r="V56" s="2" t="str">
        <v>+4.25</v>
      </c>
    </row>
    <row r="57">
      <c r="B57" s="2" t="str">
        <v>-4.25</v>
      </c>
      <c r="V57" s="2" t="str">
        <v>+4.50</v>
      </c>
    </row>
    <row r="58">
      <c r="B58" s="2" t="str">
        <v>-4.50</v>
      </c>
      <c r="V58" s="2" t="str">
        <v>+4.75</v>
      </c>
    </row>
    <row r="59">
      <c r="B59" s="2" t="str">
        <v>-4.75</v>
      </c>
      <c r="V59" s="2" t="str">
        <v>+5.00</v>
      </c>
    </row>
    <row r="60">
      <c r="B60" s="2" t="str">
        <v>-5.00</v>
      </c>
      <c r="V60" s="2" t="str">
        <v>+5.25</v>
      </c>
    </row>
    <row r="61">
      <c r="B61" s="2" t="str">
        <v>-5.25</v>
      </c>
      <c r="V61" s="2" t="str">
        <v>+5.50</v>
      </c>
    </row>
    <row r="62">
      <c r="B62" s="2" t="str">
        <v>-5.50</v>
      </c>
      <c r="V62" s="2" t="str">
        <v>+5.75</v>
      </c>
    </row>
    <row r="63">
      <c r="B63" s="2" t="str">
        <v>-5.75</v>
      </c>
      <c r="V63" s="2" t="str">
        <v>+6.00</v>
      </c>
    </row>
    <row r="64">
      <c r="B64" s="2" t="str">
        <v>-6.00</v>
      </c>
    </row>
    <row r="66">
      <c r="E66" s="2" t="str">
        <v>PIEZAS</v>
      </c>
      <c r="Y66" s="2" t="str">
        <v>PIEZAS</v>
      </c>
    </row>
    <row r="67">
      <c r="C67" s="2" t="str">
        <v>1RA SERIE</v>
      </c>
      <c r="E67" s="2">
        <f>SUM(C40:K64)</f>
        <v>36</v>
      </c>
      <c r="G67" s="2" t="str">
        <v>COSTO</v>
      </c>
      <c r="I67" s="2">
        <f>6.75*E67</f>
        <v>243</v>
      </c>
      <c r="W67" s="2" t="str">
        <v>1RA SERIE</v>
      </c>
      <c r="Y67" s="2">
        <f>SUM(W40:AE63)</f>
        <v>51</v>
      </c>
      <c r="AA67" s="2" t="str">
        <v>COSTO</v>
      </c>
      <c r="AC67" s="2">
        <f>6.75*Y67</f>
        <v>344.25</v>
      </c>
    </row>
    <row r="68">
      <c r="C68" s="2" t="str">
        <v>2DA SERIE</v>
      </c>
      <c r="E68" s="2">
        <f>SUM(L40:S64)</f>
        <v>0</v>
      </c>
      <c r="G68" s="2" t="str">
        <v>COSTO</v>
      </c>
      <c r="I68" s="2">
        <f>15.5*E68</f>
        <v>0</v>
      </c>
      <c r="W68" s="2" t="str">
        <v>2DA SERIE</v>
      </c>
      <c r="Y68" s="2">
        <f>SUM(AF40:AM63)</f>
        <v>8</v>
      </c>
      <c r="AA68" s="2" t="str">
        <v>COSTO</v>
      </c>
      <c r="AC68" s="2">
        <f>15.5*Y68</f>
        <v>124</v>
      </c>
    </row>
    <row r="70">
      <c r="E70" s="2">
        <f>E67+E68</f>
        <v>36</v>
      </c>
      <c r="I70" s="2">
        <f>I67+I68</f>
        <v>243</v>
      </c>
      <c r="Y70" s="2">
        <f>Y67+Y68</f>
        <v>59</v>
      </c>
      <c r="AC70" s="2">
        <f>AC67+AC68</f>
        <v>468.25</v>
      </c>
    </row>
    <row r="75">
      <c r="D75" s="2" t="str">
        <v>PROGRESIVO FOTO AR</v>
      </c>
      <c r="K75" s="2" t="str">
        <v>PROGRESIVO AR</v>
      </c>
    </row>
    <row r="76">
      <c r="D76" s="2" t="str">
        <v>BASE 4</v>
      </c>
      <c r="E76" s="2" t="str">
        <v>+1.75</v>
      </c>
      <c r="F76" s="2" t="str">
        <v>6</v>
      </c>
      <c r="G76" s="2" t="str">
        <v>BASE 6</v>
      </c>
      <c r="H76" s="2" t="str">
        <v>+2.00</v>
      </c>
      <c r="I76" s="2" t="str">
        <v>6</v>
      </c>
      <c r="K76" s="2" t="str">
        <v>BASE 4</v>
      </c>
      <c r="L76" s="2" t="str">
        <v>+2.00</v>
      </c>
      <c r="M76" s="2" t="str">
        <v>7</v>
      </c>
      <c r="N76" s="2" t="str">
        <v>BASE 6</v>
      </c>
      <c r="O76" s="2" t="str">
        <v>+2.25</v>
      </c>
      <c r="P76" s="2" t="str">
        <v>6</v>
      </c>
    </row>
    <row r="77">
      <c r="E77" s="2" t="str">
        <v>+2.50</v>
      </c>
      <c r="F77" s="2" t="str">
        <v>6</v>
      </c>
      <c r="H77" s="2" t="str">
        <v>+2.50</v>
      </c>
      <c r="I77" s="2" t="str">
        <v>8</v>
      </c>
      <c r="O77" s="2" t="str">
        <v>+2.50</v>
      </c>
      <c r="P77" s="2" t="str">
        <v>8</v>
      </c>
    </row>
    <row r="78">
      <c r="H78" s="2" t="str">
        <v>+2.75</v>
      </c>
      <c r="I78" s="2" t="str">
        <v>6</v>
      </c>
      <c r="O78" s="2" t="str">
        <v>+2.75</v>
      </c>
      <c r="P78" s="2" t="str">
        <v>8</v>
      </c>
    </row>
    <row r="86">
      <c r="D86" s="2" t="str">
        <v>BIFOCAL FT-L28 FOTO AR</v>
      </c>
      <c r="K86" s="2" t="str">
        <v>BIFOCAL FT-L28 AR</v>
      </c>
    </row>
    <row r="87">
      <c r="D87" s="2" t="str">
        <v>BASE 4</v>
      </c>
      <c r="G87" s="2" t="str">
        <v>BASE 6</v>
      </c>
      <c r="H87" s="2" t="str">
        <v>+2.50</v>
      </c>
      <c r="I87" s="2" t="str">
        <v>7</v>
      </c>
      <c r="N87" s="2" t="str">
        <v>BASE 6</v>
      </c>
      <c r="O87" s="2" t="str">
        <v>+2.00</v>
      </c>
      <c r="P87" s="2" t="str">
        <v>6</v>
      </c>
    </row>
    <row r="88">
      <c r="O88" s="2" t="str">
        <v>+2.75</v>
      </c>
      <c r="P88" s="2" t="str">
        <v>8</v>
      </c>
    </row>
    <row r="96">
      <c r="D96" s="2" t="str">
        <v>PROGRESIVO BLUEBLOCK</v>
      </c>
      <c r="K96" s="2" t="str">
        <v>PROGRESIVO FOTO BLUEBLOCK</v>
      </c>
    </row>
    <row r="97">
      <c r="D97" s="2" t="str">
        <v>BASE 4</v>
      </c>
      <c r="G97" s="2" t="str">
        <v>BASE 6</v>
      </c>
      <c r="K97" s="2" t="str">
        <v>BASE 4</v>
      </c>
      <c r="L97" s="2" t="str">
        <v>+1.25</v>
      </c>
      <c r="M97" s="2" t="str">
        <v>4</v>
      </c>
      <c r="N97" s="2" t="str">
        <v>BASE 6</v>
      </c>
      <c r="O97" s="2" t="str">
        <v>+1.25</v>
      </c>
      <c r="P97" s="2" t="str">
        <v>5</v>
      </c>
    </row>
    <row r="98">
      <c r="L98" s="2" t="str">
        <v>+1.50</v>
      </c>
      <c r="M98" s="2" t="str">
        <v>4</v>
      </c>
      <c r="O98" s="2" t="str">
        <v>+1.75</v>
      </c>
      <c r="P98" s="2" t="str">
        <v>4</v>
      </c>
    </row>
    <row r="99">
      <c r="L99" s="2" t="str">
        <v>+1.75</v>
      </c>
      <c r="M99" s="2" t="str">
        <v>4</v>
      </c>
      <c r="O99" s="2" t="str">
        <v>+2.00</v>
      </c>
      <c r="P99" s="2" t="str">
        <v>7</v>
      </c>
    </row>
    <row r="100">
      <c r="L100" s="2" t="str">
        <v>+2.00</v>
      </c>
      <c r="M100" s="2" t="str">
        <v>4</v>
      </c>
      <c r="O100" s="2" t="str">
        <v>+2.25</v>
      </c>
      <c r="P100" s="2" t="str">
        <v>7</v>
      </c>
    </row>
    <row r="101">
      <c r="L101" s="2" t="str">
        <v>+2.25</v>
      </c>
      <c r="M101" s="2" t="str">
        <v>4</v>
      </c>
      <c r="O101" s="2" t="str">
        <v>+2.50</v>
      </c>
      <c r="P101" s="2" t="str">
        <v>7</v>
      </c>
    </row>
    <row r="102">
      <c r="L102" s="2" t="str">
        <v>+2.50</v>
      </c>
      <c r="M102" s="2" t="str">
        <v>4</v>
      </c>
      <c r="O102" s="2" t="str">
        <v>+2.75</v>
      </c>
      <c r="P102" s="2" t="str">
        <v>3</v>
      </c>
    </row>
    <row r="103">
      <c r="O103" s="2" t="str">
        <v>+3.00</v>
      </c>
      <c r="P103" s="2" t="str">
        <v>4</v>
      </c>
    </row>
    <row r="106">
      <c r="D106" s="2" t="str">
        <v>MONOFOCAL BLUEBLOCK *VERDE</v>
      </c>
      <c r="K106" s="2" t="str">
        <v>MONFOCAL FOTOCROMATICO BLUEBLOCK</v>
      </c>
    </row>
    <row r="107">
      <c r="D107" s="2" t="str">
        <v>B2</v>
      </c>
      <c r="K107" s="2" t="str">
        <v>B2</v>
      </c>
      <c r="L107" s="2" t="str">
        <v>3</v>
      </c>
    </row>
    <row r="108">
      <c r="D108" s="2" t="str">
        <v>B4</v>
      </c>
      <c r="K108" s="2" t="str">
        <v>B4</v>
      </c>
      <c r="L108" s="2" t="str">
        <v>5</v>
      </c>
    </row>
    <row r="109">
      <c r="D109" s="2" t="str">
        <v>B6</v>
      </c>
      <c r="E109" s="2" t="str">
        <v>6</v>
      </c>
      <c r="K109" s="2" t="str">
        <v>B6</v>
      </c>
      <c r="L109" s="2" t="str">
        <v>7</v>
      </c>
    </row>
    <row r="110">
      <c r="D110" s="2" t="str">
        <v>B8</v>
      </c>
    </row>
    <row r="112">
      <c r="D112" s="2" t="str">
        <v>MONOFOCAL POLARIZADO GRIS</v>
      </c>
      <c r="J112" s="2" t="str">
        <v>MONOFOCAL POLARIZADO CAFÉ</v>
      </c>
    </row>
    <row r="113">
      <c r="D113" s="2" t="str">
        <v>B4</v>
      </c>
      <c r="J113" s="2" t="str">
        <v>B4</v>
      </c>
    </row>
    <row r="114">
      <c r="D114" s="2" t="str">
        <v>B6</v>
      </c>
      <c r="J114" s="2" t="str">
        <v>B6</v>
      </c>
    </row>
    <row r="116">
      <c r="D116" s="2" t="str">
        <v>MONFOCOCAL 1.67 FOTO AR</v>
      </c>
    </row>
    <row r="117">
      <c r="D117" s="2" t="str">
        <v>B0</v>
      </c>
    </row>
    <row r="118">
      <c r="D118" s="2" t="str">
        <v>B2</v>
      </c>
    </row>
  </sheetData>
  <mergeCells count="37">
    <mergeCell ref="D87:D94"/>
    <mergeCell ref="D97:D104"/>
    <mergeCell ref="G87:G94"/>
    <mergeCell ref="G97:G104"/>
    <mergeCell ref="F107:F111"/>
    <mergeCell ref="H107:H111"/>
    <mergeCell ref="G76:G83"/>
    <mergeCell ref="N76:N83"/>
    <mergeCell ref="N113:N120"/>
    <mergeCell ref="K87:K94"/>
    <mergeCell ref="K97:K104"/>
    <mergeCell ref="N87:N94"/>
    <mergeCell ref="N97:N104"/>
    <mergeCell ref="M107:M111"/>
    <mergeCell ref="C1:AJ1"/>
    <mergeCell ref="A6:A30"/>
    <mergeCell ref="U6:U30"/>
    <mergeCell ref="W3:AM3"/>
    <mergeCell ref="W4:AM4"/>
    <mergeCell ref="C3:S3"/>
    <mergeCell ref="C4:S4"/>
    <mergeCell ref="O107:O111"/>
    <mergeCell ref="A40:A64"/>
    <mergeCell ref="U40:U64"/>
    <mergeCell ref="A35:AI35"/>
    <mergeCell ref="W37:AM37"/>
    <mergeCell ref="W38:AM38"/>
    <mergeCell ref="C37:S37"/>
    <mergeCell ref="C38:S38"/>
    <mergeCell ref="D76:D83"/>
    <mergeCell ref="I67:J67"/>
    <mergeCell ref="I68:J68"/>
    <mergeCell ref="I70:J70"/>
    <mergeCell ref="AC67:AD67"/>
    <mergeCell ref="AC68:AD68"/>
    <mergeCell ref="AC70:AD70"/>
    <mergeCell ref="K76:K83"/>
  </mergeCells>
  <pageMargins left="0.25" right="0.25" top="0.75" bottom="0.75" header="0.3" footer="0.3"/>
  <ignoredErrors>
    <ignoredError numberStoredAsText="1" sqref="A1:AM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74"/>
  <sheetViews>
    <sheetView workbookViewId="0" rightToLeft="0"/>
  </sheetViews>
  <sheetData>
    <row r="1">
      <c r="C1" s="2" t="str">
        <v>MONOFOCAL AR</v>
      </c>
    </row>
    <row r="3">
      <c r="C3" s="2" t="str">
        <v>CILINDRO</v>
      </c>
      <c r="W3" s="2" t="str">
        <v>CILINDRO</v>
      </c>
    </row>
    <row r="4">
      <c r="C4" s="2" t="str">
        <v>(-)</v>
      </c>
      <c r="W4" s="2" t="str">
        <v>(-)</v>
      </c>
    </row>
    <row r="5">
      <c r="A5" s="2" t="str">
        <v>(-)</v>
      </c>
      <c r="C5" s="2" t="str">
        <v>0.00</v>
      </c>
      <c r="D5" s="2" t="str">
        <v>-0.25</v>
      </c>
      <c r="E5" s="2" t="str">
        <v>-0.50</v>
      </c>
      <c r="F5" s="2" t="str">
        <v>-0.75</v>
      </c>
      <c r="G5" s="2" t="str">
        <v>-1.00</v>
      </c>
      <c r="H5" s="2" t="str">
        <v>-1.25</v>
      </c>
      <c r="I5" s="2" t="str">
        <v>-1.50</v>
      </c>
      <c r="J5" s="2" t="str">
        <v>-1.75</v>
      </c>
      <c r="K5" s="2" t="str">
        <v>-2.00</v>
      </c>
      <c r="L5" s="2" t="str">
        <v>-2.25</v>
      </c>
      <c r="M5" s="2" t="str">
        <v>-2.50</v>
      </c>
      <c r="N5" s="2" t="str">
        <v>-2.75</v>
      </c>
      <c r="O5" s="2" t="str">
        <v>-3.00</v>
      </c>
      <c r="P5" s="2" t="str">
        <v>-3.25</v>
      </c>
      <c r="Q5" s="2" t="str">
        <v>-3.50</v>
      </c>
      <c r="R5" s="2" t="str">
        <v>-3.75</v>
      </c>
      <c r="S5" s="2" t="str">
        <v>-4.00</v>
      </c>
      <c r="U5" s="2" t="str">
        <v>(+)</v>
      </c>
      <c r="W5" s="2" t="str">
        <v>0.00</v>
      </c>
      <c r="X5" s="2" t="str">
        <v>-0.25</v>
      </c>
      <c r="Y5" s="2" t="str">
        <v>-0.50</v>
      </c>
      <c r="Z5" s="2" t="str">
        <v>-0.75</v>
      </c>
      <c r="AA5" s="2" t="str">
        <v>-1.00</v>
      </c>
      <c r="AB5" s="2" t="str">
        <v>-1.25</v>
      </c>
      <c r="AC5" s="2" t="str">
        <v>-1.50</v>
      </c>
      <c r="AD5" s="2" t="str">
        <v>-1.75</v>
      </c>
      <c r="AE5" s="2" t="str">
        <v>-2.00</v>
      </c>
      <c r="AF5" s="2" t="str">
        <v>-2.25</v>
      </c>
      <c r="AG5" s="2" t="str">
        <v>-2.50</v>
      </c>
      <c r="AH5" s="2" t="str">
        <v>-2.75</v>
      </c>
      <c r="AI5" s="2" t="str">
        <v>-3.00</v>
      </c>
      <c r="AJ5" s="2" t="str">
        <v>-3.25</v>
      </c>
      <c r="AK5" s="2" t="str">
        <v>-3.50</v>
      </c>
      <c r="AL5" s="2" t="str">
        <v>-3.75</v>
      </c>
      <c r="AM5" s="2" t="str">
        <v>-4.00</v>
      </c>
    </row>
    <row r="6">
      <c r="A6" s="2" t="str">
        <v>ESFERA</v>
      </c>
      <c r="B6" s="2" t="str">
        <v>0.00</v>
      </c>
      <c r="C6" s="2">
        <v>12</v>
      </c>
      <c r="D6" s="2">
        <v>14</v>
      </c>
      <c r="E6" s="2">
        <v>13</v>
      </c>
      <c r="F6" s="2">
        <v>12</v>
      </c>
      <c r="G6" s="2">
        <v>15</v>
      </c>
      <c r="H6" s="2">
        <v>7</v>
      </c>
      <c r="I6" s="2">
        <v>7</v>
      </c>
      <c r="J6" s="2">
        <v>7</v>
      </c>
      <c r="K6" s="2">
        <v>7</v>
      </c>
      <c r="L6" s="2">
        <v>8</v>
      </c>
      <c r="M6" s="2">
        <v>8</v>
      </c>
      <c r="N6" s="2">
        <v>8</v>
      </c>
      <c r="O6" s="2">
        <v>8</v>
      </c>
      <c r="P6" s="2">
        <v>8</v>
      </c>
      <c r="Q6" s="2">
        <v>8</v>
      </c>
      <c r="R6" s="2">
        <v>8</v>
      </c>
      <c r="S6" s="2">
        <v>6</v>
      </c>
      <c r="U6" s="2" t="str">
        <v>ESFERA</v>
      </c>
      <c r="V6" s="2" t="str">
        <v>+0.25</v>
      </c>
      <c r="W6" s="2">
        <v>5</v>
      </c>
      <c r="X6" s="2">
        <v>3</v>
      </c>
      <c r="Y6" s="2">
        <v>5</v>
      </c>
      <c r="Z6" s="2">
        <v>5</v>
      </c>
      <c r="AA6" s="2">
        <v>5</v>
      </c>
      <c r="AB6" s="2">
        <v>5</v>
      </c>
      <c r="AC6" s="2">
        <v>5</v>
      </c>
      <c r="AD6" s="2">
        <v>5</v>
      </c>
      <c r="AE6" s="2">
        <v>5</v>
      </c>
      <c r="AF6" s="2">
        <v>4</v>
      </c>
      <c r="AG6" s="2">
        <v>3</v>
      </c>
      <c r="AH6" s="2">
        <v>3</v>
      </c>
      <c r="AI6" s="2">
        <v>3</v>
      </c>
      <c r="AJ6" s="2">
        <v>3</v>
      </c>
      <c r="AK6" s="2">
        <v>3</v>
      </c>
      <c r="AL6" s="2">
        <v>3</v>
      </c>
      <c r="AM6" s="2">
        <v>3</v>
      </c>
    </row>
    <row r="7">
      <c r="B7" s="2" t="str">
        <v>-0.25</v>
      </c>
      <c r="C7" s="2">
        <v>14</v>
      </c>
      <c r="D7" s="2">
        <v>14</v>
      </c>
      <c r="E7" s="2">
        <v>12</v>
      </c>
      <c r="F7" s="2">
        <v>13</v>
      </c>
      <c r="G7" s="2">
        <v>16</v>
      </c>
      <c r="H7" s="2">
        <v>8</v>
      </c>
      <c r="I7" s="2">
        <v>6</v>
      </c>
      <c r="J7" s="2">
        <v>6</v>
      </c>
      <c r="K7" s="2">
        <v>6</v>
      </c>
      <c r="L7" s="2">
        <v>4</v>
      </c>
      <c r="M7" s="2">
        <v>4</v>
      </c>
      <c r="N7" s="2">
        <v>4</v>
      </c>
      <c r="O7" s="2">
        <v>4</v>
      </c>
      <c r="P7" s="2">
        <v>4</v>
      </c>
      <c r="Q7" s="2">
        <v>4</v>
      </c>
      <c r="R7" s="2">
        <v>4</v>
      </c>
      <c r="S7" s="2">
        <v>4</v>
      </c>
      <c r="V7" s="2" t="str">
        <v>+0.50</v>
      </c>
      <c r="W7" s="2">
        <v>6</v>
      </c>
      <c r="X7" s="2">
        <v>3</v>
      </c>
      <c r="Z7" s="2">
        <v>5</v>
      </c>
      <c r="AA7" s="2">
        <v>5</v>
      </c>
      <c r="AB7" s="2">
        <v>5</v>
      </c>
      <c r="AC7" s="2">
        <v>5</v>
      </c>
      <c r="AD7" s="2">
        <v>5</v>
      </c>
      <c r="AE7" s="2">
        <v>5</v>
      </c>
      <c r="AF7" s="2">
        <v>3</v>
      </c>
      <c r="AG7" s="2">
        <v>3</v>
      </c>
      <c r="AH7" s="2">
        <v>3</v>
      </c>
      <c r="AI7" s="2">
        <v>3</v>
      </c>
      <c r="AJ7" s="2">
        <v>3</v>
      </c>
      <c r="AK7" s="2">
        <v>3</v>
      </c>
      <c r="AL7" s="2">
        <v>3</v>
      </c>
      <c r="AM7" s="2">
        <v>2</v>
      </c>
    </row>
    <row r="8">
      <c r="B8" s="2" t="str">
        <v>-0.50</v>
      </c>
      <c r="C8" s="2">
        <v>15</v>
      </c>
      <c r="D8" s="2">
        <v>16</v>
      </c>
      <c r="E8" s="2">
        <v>11</v>
      </c>
      <c r="F8" s="2">
        <v>16</v>
      </c>
      <c r="G8" s="2">
        <v>16</v>
      </c>
      <c r="H8" s="2">
        <v>6</v>
      </c>
      <c r="I8" s="2">
        <v>5</v>
      </c>
      <c r="J8" s="2">
        <v>6</v>
      </c>
      <c r="K8" s="2">
        <v>7</v>
      </c>
      <c r="L8" s="2">
        <v>4</v>
      </c>
      <c r="M8" s="2">
        <v>4</v>
      </c>
      <c r="N8" s="2">
        <v>4</v>
      </c>
      <c r="O8" s="2">
        <v>4</v>
      </c>
      <c r="P8" s="2">
        <v>4</v>
      </c>
      <c r="Q8" s="2">
        <v>4</v>
      </c>
      <c r="R8" s="2">
        <v>4</v>
      </c>
      <c r="S8" s="2">
        <v>4</v>
      </c>
      <c r="V8" s="2" t="str">
        <v>+0.75</v>
      </c>
      <c r="W8" s="2">
        <v>5</v>
      </c>
      <c r="X8" s="2">
        <v>5</v>
      </c>
      <c r="Y8" s="2">
        <v>5</v>
      </c>
      <c r="Z8" s="2">
        <v>6</v>
      </c>
      <c r="AA8" s="2">
        <v>3</v>
      </c>
      <c r="AB8" s="2">
        <v>5</v>
      </c>
      <c r="AC8" s="2">
        <v>6</v>
      </c>
      <c r="AD8" s="2">
        <v>5</v>
      </c>
      <c r="AE8" s="2">
        <v>4</v>
      </c>
      <c r="AF8" s="2">
        <v>3</v>
      </c>
      <c r="AG8" s="2">
        <v>1</v>
      </c>
      <c r="AH8" s="2">
        <v>3</v>
      </c>
      <c r="AI8" s="2">
        <v>3</v>
      </c>
      <c r="AJ8" s="2">
        <v>3</v>
      </c>
      <c r="AK8" s="2">
        <v>2</v>
      </c>
      <c r="AL8" s="2">
        <v>3</v>
      </c>
      <c r="AM8" s="2">
        <v>3</v>
      </c>
    </row>
    <row r="9">
      <c r="B9" s="2" t="str">
        <v>-0.75</v>
      </c>
      <c r="C9" s="2">
        <v>13</v>
      </c>
      <c r="D9" s="2">
        <v>16</v>
      </c>
      <c r="E9" s="2">
        <v>15</v>
      </c>
      <c r="F9" s="2">
        <v>13</v>
      </c>
      <c r="G9" s="2">
        <v>16</v>
      </c>
      <c r="H9" s="2">
        <v>6</v>
      </c>
      <c r="I9" s="2">
        <v>6</v>
      </c>
      <c r="J9" s="2">
        <v>6</v>
      </c>
      <c r="K9" s="2">
        <v>5</v>
      </c>
      <c r="L9" s="2">
        <v>4</v>
      </c>
      <c r="M9" s="2">
        <v>5</v>
      </c>
      <c r="N9" s="2">
        <v>4</v>
      </c>
      <c r="O9" s="2">
        <v>5</v>
      </c>
      <c r="P9" s="2">
        <v>4</v>
      </c>
      <c r="Q9" s="2">
        <v>4</v>
      </c>
      <c r="R9" s="2">
        <v>4</v>
      </c>
      <c r="S9" s="2">
        <v>4</v>
      </c>
      <c r="V9" s="2" t="str">
        <v>+1.00</v>
      </c>
      <c r="W9" s="2">
        <v>8</v>
      </c>
      <c r="X9" s="2">
        <v>5</v>
      </c>
      <c r="Y9" s="2">
        <v>5</v>
      </c>
      <c r="Z9" s="2">
        <v>3</v>
      </c>
      <c r="AA9" s="2">
        <v>5</v>
      </c>
      <c r="AB9" s="2">
        <v>5</v>
      </c>
      <c r="AC9" s="2">
        <v>5</v>
      </c>
      <c r="AD9" s="2">
        <v>5</v>
      </c>
      <c r="AE9" s="2">
        <v>5</v>
      </c>
      <c r="AF9" s="2">
        <v>3</v>
      </c>
      <c r="AG9" s="2">
        <v>3</v>
      </c>
      <c r="AH9" s="2">
        <v>3</v>
      </c>
      <c r="AI9" s="2">
        <v>3</v>
      </c>
      <c r="AJ9" s="2">
        <v>3</v>
      </c>
      <c r="AK9" s="2">
        <v>3</v>
      </c>
      <c r="AL9" s="2">
        <v>3</v>
      </c>
      <c r="AM9" s="2">
        <v>2</v>
      </c>
    </row>
    <row r="10">
      <c r="B10" s="2" t="str">
        <v>-1.00</v>
      </c>
      <c r="C10" s="2">
        <v>13</v>
      </c>
      <c r="D10" s="2">
        <v>16</v>
      </c>
      <c r="E10" s="2">
        <v>15</v>
      </c>
      <c r="F10" s="2">
        <v>13</v>
      </c>
      <c r="G10" s="2">
        <v>16</v>
      </c>
      <c r="H10" s="2">
        <v>6</v>
      </c>
      <c r="I10" s="2">
        <v>6</v>
      </c>
      <c r="J10" s="2">
        <v>6</v>
      </c>
      <c r="K10" s="2">
        <v>5</v>
      </c>
      <c r="L10" s="2">
        <v>4</v>
      </c>
      <c r="M10" s="2">
        <v>3</v>
      </c>
      <c r="N10" s="2">
        <v>4</v>
      </c>
      <c r="O10" s="2">
        <v>4</v>
      </c>
      <c r="P10" s="2">
        <v>4</v>
      </c>
      <c r="Q10" s="2">
        <v>4</v>
      </c>
      <c r="R10" s="2">
        <v>3</v>
      </c>
      <c r="S10" s="2">
        <v>4</v>
      </c>
      <c r="V10" s="2" t="str">
        <v>+1.25</v>
      </c>
      <c r="W10" s="2">
        <v>1</v>
      </c>
      <c r="X10" s="2">
        <v>5</v>
      </c>
      <c r="Y10" s="2">
        <v>5</v>
      </c>
      <c r="Z10" s="2">
        <v>5</v>
      </c>
      <c r="AA10" s="2">
        <v>6</v>
      </c>
      <c r="AB10" s="2">
        <v>4</v>
      </c>
      <c r="AC10" s="2">
        <v>3</v>
      </c>
      <c r="AD10" s="2">
        <v>5</v>
      </c>
      <c r="AE10" s="2">
        <v>5</v>
      </c>
      <c r="AF10" s="2">
        <v>3</v>
      </c>
      <c r="AG10" s="2">
        <v>3</v>
      </c>
      <c r="AH10" s="2">
        <v>3</v>
      </c>
      <c r="AI10" s="2">
        <v>3</v>
      </c>
      <c r="AJ10" s="2">
        <v>3</v>
      </c>
      <c r="AK10" s="2">
        <v>3</v>
      </c>
      <c r="AL10" s="2">
        <v>3</v>
      </c>
      <c r="AM10" s="2">
        <v>3</v>
      </c>
    </row>
    <row r="11">
      <c r="B11" s="2" t="str">
        <v>-1.25</v>
      </c>
      <c r="C11" s="2">
        <v>8</v>
      </c>
      <c r="D11" s="2">
        <v>6</v>
      </c>
      <c r="E11" s="2">
        <v>6</v>
      </c>
      <c r="F11" s="2">
        <v>5</v>
      </c>
      <c r="G11" s="2">
        <v>6</v>
      </c>
      <c r="H11" s="2">
        <v>5</v>
      </c>
      <c r="I11" s="2">
        <v>5</v>
      </c>
      <c r="J11" s="2">
        <v>6</v>
      </c>
      <c r="K11" s="2">
        <v>6</v>
      </c>
      <c r="L11" s="2">
        <v>4</v>
      </c>
      <c r="M11" s="2">
        <v>4</v>
      </c>
      <c r="N11" s="2">
        <v>5</v>
      </c>
      <c r="O11" s="2">
        <v>4</v>
      </c>
      <c r="P11" s="2">
        <v>4</v>
      </c>
      <c r="Q11" s="2">
        <v>3</v>
      </c>
      <c r="R11" s="2">
        <v>4</v>
      </c>
      <c r="S11" s="2">
        <v>4</v>
      </c>
      <c r="V11" s="2" t="str">
        <v>+1.50</v>
      </c>
      <c r="W11" s="2">
        <v>1</v>
      </c>
      <c r="X11" s="2">
        <v>5</v>
      </c>
      <c r="Y11" s="2">
        <v>3</v>
      </c>
      <c r="Z11" s="2">
        <v>5</v>
      </c>
      <c r="AA11" s="2">
        <v>2</v>
      </c>
      <c r="AB11" s="2">
        <v>4</v>
      </c>
      <c r="AC11" s="2">
        <v>4</v>
      </c>
      <c r="AD11" s="2">
        <v>5</v>
      </c>
      <c r="AE11" s="2">
        <v>5</v>
      </c>
      <c r="AF11" s="2">
        <v>3</v>
      </c>
      <c r="AG11" s="2">
        <v>3</v>
      </c>
      <c r="AH11" s="2">
        <v>3</v>
      </c>
      <c r="AI11" s="2">
        <v>3</v>
      </c>
      <c r="AJ11" s="2">
        <v>3</v>
      </c>
      <c r="AK11" s="2">
        <v>3</v>
      </c>
      <c r="AL11" s="2">
        <v>3</v>
      </c>
      <c r="AM11" s="2">
        <v>3</v>
      </c>
    </row>
    <row r="12">
      <c r="B12" s="2" t="str">
        <v>-1.50</v>
      </c>
      <c r="C12" s="2">
        <v>5</v>
      </c>
      <c r="D12" s="2">
        <v>6</v>
      </c>
      <c r="E12" s="2">
        <v>5</v>
      </c>
      <c r="F12" s="2">
        <v>6</v>
      </c>
      <c r="G12" s="2">
        <v>6</v>
      </c>
      <c r="H12" s="2">
        <v>6</v>
      </c>
      <c r="I12" s="2">
        <v>5</v>
      </c>
      <c r="J12" s="2">
        <v>7</v>
      </c>
      <c r="K12" s="2">
        <v>6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V12" s="2" t="str">
        <v>+1.75</v>
      </c>
      <c r="X12" s="2">
        <v>4</v>
      </c>
      <c r="Y12" s="2">
        <v>5</v>
      </c>
      <c r="Z12" s="2">
        <v>4</v>
      </c>
      <c r="AA12" s="2">
        <v>5</v>
      </c>
      <c r="AB12" s="2">
        <v>7</v>
      </c>
      <c r="AC12" s="2">
        <v>5</v>
      </c>
      <c r="AD12" s="2">
        <v>5</v>
      </c>
      <c r="AE12" s="2">
        <v>6</v>
      </c>
      <c r="AF12" s="2">
        <v>2</v>
      </c>
      <c r="AG12" s="2">
        <v>3</v>
      </c>
      <c r="AH12" s="2">
        <v>3</v>
      </c>
      <c r="AI12" s="2">
        <v>3</v>
      </c>
      <c r="AJ12" s="2">
        <v>4</v>
      </c>
      <c r="AK12" s="2">
        <v>3</v>
      </c>
      <c r="AL12" s="2">
        <v>3</v>
      </c>
      <c r="AM12" s="2">
        <v>3</v>
      </c>
    </row>
    <row r="13">
      <c r="B13" s="2" t="str">
        <v>-1.75</v>
      </c>
      <c r="C13" s="2">
        <v>7</v>
      </c>
      <c r="D13" s="2">
        <v>6</v>
      </c>
      <c r="E13" s="2">
        <v>6</v>
      </c>
      <c r="F13" s="2">
        <v>6</v>
      </c>
      <c r="G13" s="2">
        <v>6</v>
      </c>
      <c r="H13" s="2">
        <v>6</v>
      </c>
      <c r="I13" s="2">
        <v>6</v>
      </c>
      <c r="J13" s="2">
        <v>-1</v>
      </c>
      <c r="K13" s="2">
        <v>6</v>
      </c>
      <c r="L13" s="2">
        <v>4</v>
      </c>
      <c r="M13" s="2">
        <v>4</v>
      </c>
      <c r="N13" s="2">
        <v>324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V13" s="2" t="str">
        <v>+2.00</v>
      </c>
      <c r="W13" s="2">
        <v>5</v>
      </c>
      <c r="X13" s="2">
        <v>5</v>
      </c>
      <c r="Y13" s="2">
        <v>4</v>
      </c>
      <c r="Z13" s="2">
        <v>5</v>
      </c>
      <c r="AA13" s="2">
        <v>4</v>
      </c>
      <c r="AB13" s="2">
        <v>3</v>
      </c>
      <c r="AC13" s="2">
        <v>5</v>
      </c>
      <c r="AD13" s="2">
        <v>6</v>
      </c>
      <c r="AE13" s="2">
        <v>5</v>
      </c>
      <c r="AF13" s="2">
        <v>2</v>
      </c>
      <c r="AG13" s="2">
        <v>3</v>
      </c>
      <c r="AH13" s="2">
        <v>3</v>
      </c>
      <c r="AI13" s="2">
        <v>3</v>
      </c>
      <c r="AJ13" s="2">
        <v>3</v>
      </c>
      <c r="AK13" s="2">
        <v>2</v>
      </c>
      <c r="AL13" s="2">
        <v>1</v>
      </c>
      <c r="AM13" s="2">
        <v>3</v>
      </c>
    </row>
    <row r="14">
      <c r="B14" s="2" t="str">
        <v>-2.00</v>
      </c>
      <c r="C14" s="2">
        <v>7</v>
      </c>
      <c r="D14" s="2">
        <v>6</v>
      </c>
      <c r="E14" s="2">
        <v>4</v>
      </c>
      <c r="F14" s="2">
        <v>6</v>
      </c>
      <c r="G14" s="2">
        <v>6</v>
      </c>
      <c r="H14" s="2">
        <v>7</v>
      </c>
      <c r="I14" s="2">
        <v>5</v>
      </c>
      <c r="J14" s="2">
        <v>6</v>
      </c>
      <c r="K14" s="2">
        <v>6</v>
      </c>
      <c r="L14" s="2">
        <v>4</v>
      </c>
      <c r="M14" s="2">
        <v>3</v>
      </c>
      <c r="N14" s="2">
        <v>4</v>
      </c>
      <c r="O14" s="2">
        <v>4</v>
      </c>
      <c r="P14" s="2">
        <v>4</v>
      </c>
      <c r="Q14" s="2">
        <v>4</v>
      </c>
      <c r="R14" s="2">
        <v>2</v>
      </c>
      <c r="S14" s="2">
        <v>4</v>
      </c>
      <c r="V14" s="2" t="str">
        <v>+2.25</v>
      </c>
      <c r="W14" s="2">
        <v>3</v>
      </c>
      <c r="X14" s="2">
        <v>3</v>
      </c>
      <c r="Y14" s="2">
        <v>2</v>
      </c>
      <c r="Z14" s="2">
        <v>2</v>
      </c>
      <c r="AA14" s="2">
        <v>3</v>
      </c>
      <c r="AB14" s="2">
        <v>3</v>
      </c>
      <c r="AC14" s="2">
        <v>3</v>
      </c>
      <c r="AD14" s="2">
        <v>2</v>
      </c>
      <c r="AE14" s="2">
        <v>2</v>
      </c>
      <c r="AF14" s="2">
        <v>3</v>
      </c>
      <c r="AG14" s="2">
        <v>3</v>
      </c>
      <c r="AH14" s="2">
        <v>3</v>
      </c>
      <c r="AI14" s="2">
        <v>3</v>
      </c>
      <c r="AJ14" s="2">
        <v>3</v>
      </c>
      <c r="AK14" s="2">
        <v>3</v>
      </c>
      <c r="AL14" s="2">
        <v>3</v>
      </c>
      <c r="AM14" s="2">
        <v>3</v>
      </c>
    </row>
    <row r="15">
      <c r="B15" s="2" t="str">
        <v>-2.25</v>
      </c>
      <c r="C15" s="2">
        <v>7</v>
      </c>
      <c r="D15" s="2">
        <v>3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v>4</v>
      </c>
      <c r="P15" s="2">
        <v>4</v>
      </c>
      <c r="Q15" s="2">
        <v>4</v>
      </c>
      <c r="R15" s="2">
        <v>4</v>
      </c>
      <c r="S15" s="2">
        <v>4</v>
      </c>
      <c r="V15" s="2" t="str">
        <v>+2.50</v>
      </c>
      <c r="W15" s="2">
        <v>1</v>
      </c>
      <c r="X15" s="2">
        <v>3</v>
      </c>
      <c r="Y15" s="2">
        <v>1</v>
      </c>
      <c r="Z15" s="2">
        <v>3</v>
      </c>
      <c r="AA15" s="2">
        <v>3</v>
      </c>
      <c r="AB15" s="2">
        <v>3</v>
      </c>
      <c r="AC15" s="2">
        <v>3</v>
      </c>
      <c r="AD15" s="2">
        <v>3</v>
      </c>
      <c r="AE15" s="2">
        <v>2</v>
      </c>
      <c r="AF15" s="2">
        <v>3</v>
      </c>
      <c r="AG15" s="2">
        <v>3</v>
      </c>
      <c r="AH15" s="2">
        <v>3</v>
      </c>
      <c r="AI15" s="2">
        <v>3</v>
      </c>
      <c r="AJ15" s="2">
        <v>3</v>
      </c>
      <c r="AK15" s="2">
        <v>3</v>
      </c>
      <c r="AL15" s="2">
        <v>3</v>
      </c>
      <c r="AM15" s="2">
        <v>3</v>
      </c>
    </row>
    <row r="16">
      <c r="B16" s="2" t="str">
        <v>-2.50</v>
      </c>
      <c r="C16" s="2">
        <v>8</v>
      </c>
      <c r="D16" s="2">
        <v>3</v>
      </c>
      <c r="E16" s="2">
        <v>1</v>
      </c>
      <c r="F16" s="2">
        <v>4</v>
      </c>
      <c r="G16" s="2">
        <v>4</v>
      </c>
      <c r="H16" s="2">
        <v>4</v>
      </c>
      <c r="I16" s="2">
        <v>4</v>
      </c>
      <c r="J16" s="2">
        <v>5</v>
      </c>
      <c r="K16" s="2">
        <v>4</v>
      </c>
      <c r="L16" s="2">
        <v>4</v>
      </c>
      <c r="M16" s="2">
        <v>4</v>
      </c>
      <c r="N16" s="2">
        <v>4</v>
      </c>
      <c r="O16" s="2">
        <v>4</v>
      </c>
      <c r="P16" s="2">
        <v>5</v>
      </c>
      <c r="Q16" s="2">
        <v>4</v>
      </c>
      <c r="R16" s="2">
        <v>4</v>
      </c>
      <c r="S16" s="2">
        <v>4</v>
      </c>
      <c r="V16" s="2" t="str">
        <v>+2.75</v>
      </c>
      <c r="X16" s="2">
        <v>3</v>
      </c>
      <c r="Y16" s="2">
        <v>3</v>
      </c>
      <c r="Z16" s="2">
        <v>4</v>
      </c>
      <c r="AA16" s="2">
        <v>3</v>
      </c>
      <c r="AB16" s="2">
        <v>3</v>
      </c>
      <c r="AC16" s="2">
        <v>4</v>
      </c>
      <c r="AD16" s="2">
        <v>3</v>
      </c>
      <c r="AE16" s="2">
        <v>3</v>
      </c>
      <c r="AF16" s="2">
        <v>3</v>
      </c>
      <c r="AG16" s="2">
        <v>3</v>
      </c>
      <c r="AH16" s="2">
        <v>3</v>
      </c>
      <c r="AI16" s="2">
        <v>3</v>
      </c>
      <c r="AJ16" s="2">
        <v>3</v>
      </c>
      <c r="AK16" s="2">
        <v>3</v>
      </c>
      <c r="AL16" s="2">
        <v>3</v>
      </c>
      <c r="AM16" s="2">
        <v>3</v>
      </c>
    </row>
    <row r="17">
      <c r="B17" s="2" t="str">
        <v>-2.75</v>
      </c>
      <c r="C17" s="2">
        <v>8</v>
      </c>
      <c r="D17" s="2">
        <v>4</v>
      </c>
      <c r="E17" s="2">
        <v>4</v>
      </c>
      <c r="F17" s="2">
        <v>4</v>
      </c>
      <c r="G17" s="2">
        <v>3</v>
      </c>
      <c r="H17" s="2">
        <v>4</v>
      </c>
      <c r="I17" s="2">
        <v>4</v>
      </c>
      <c r="J17" s="2">
        <v>5</v>
      </c>
      <c r="K17" s="2">
        <v>4</v>
      </c>
      <c r="L17" s="2">
        <v>4</v>
      </c>
      <c r="M17" s="2">
        <v>3</v>
      </c>
      <c r="N17" s="2">
        <v>5</v>
      </c>
      <c r="O17" s="2">
        <v>4</v>
      </c>
      <c r="P17" s="2">
        <v>4</v>
      </c>
      <c r="Q17" s="2">
        <v>4</v>
      </c>
      <c r="R17" s="2">
        <v>4</v>
      </c>
      <c r="S17" s="2">
        <v>4</v>
      </c>
      <c r="V17" s="2" t="str">
        <v>+3.00</v>
      </c>
      <c r="W17" s="2">
        <v>6</v>
      </c>
      <c r="X17" s="2">
        <v>3</v>
      </c>
      <c r="Y17" s="2">
        <v>2</v>
      </c>
      <c r="Z17" s="2">
        <v>3</v>
      </c>
      <c r="AA17" s="2">
        <v>3</v>
      </c>
      <c r="AB17" s="2">
        <v>3</v>
      </c>
      <c r="AC17" s="2">
        <v>3</v>
      </c>
      <c r="AD17" s="2">
        <v>3</v>
      </c>
      <c r="AE17" s="2">
        <v>3</v>
      </c>
      <c r="AF17" s="2">
        <v>4</v>
      </c>
      <c r="AG17" s="2">
        <v>3</v>
      </c>
      <c r="AH17" s="2">
        <v>2</v>
      </c>
      <c r="AI17" s="2">
        <v>3</v>
      </c>
      <c r="AJ17" s="2">
        <v>3</v>
      </c>
      <c r="AK17" s="2">
        <v>3</v>
      </c>
      <c r="AL17" s="2">
        <v>3</v>
      </c>
      <c r="AM17" s="2">
        <v>3</v>
      </c>
    </row>
    <row r="18">
      <c r="B18" s="2" t="str">
        <v>-3.00</v>
      </c>
      <c r="C18" s="2">
        <v>8</v>
      </c>
      <c r="D18" s="2">
        <v>3</v>
      </c>
      <c r="E18" s="2">
        <v>3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4</v>
      </c>
      <c r="M18" s="2">
        <v>4</v>
      </c>
      <c r="N18" s="2">
        <v>4</v>
      </c>
      <c r="O18" s="2">
        <v>4</v>
      </c>
      <c r="P18" s="2">
        <v>4</v>
      </c>
      <c r="Q18" s="2">
        <v>4</v>
      </c>
      <c r="R18" s="2">
        <v>4</v>
      </c>
      <c r="S18" s="2">
        <v>4</v>
      </c>
      <c r="V18" s="2" t="str">
        <v>+3.25</v>
      </c>
      <c r="W18" s="2">
        <v>8</v>
      </c>
      <c r="X18" s="2">
        <v>3</v>
      </c>
      <c r="Y18" s="2">
        <v>2</v>
      </c>
      <c r="Z18" s="2">
        <v>3</v>
      </c>
      <c r="AA18" s="2">
        <v>3</v>
      </c>
      <c r="AB18" s="2">
        <v>3</v>
      </c>
      <c r="AC18" s="2">
        <v>3</v>
      </c>
      <c r="AD18" s="2">
        <v>3</v>
      </c>
      <c r="AE18" s="2">
        <v>3</v>
      </c>
      <c r="AF18" s="2">
        <v>3</v>
      </c>
      <c r="AG18" s="2">
        <v>1</v>
      </c>
      <c r="AH18" s="2">
        <v>3</v>
      </c>
      <c r="AI18" s="2">
        <v>3</v>
      </c>
      <c r="AJ18" s="2">
        <v>3</v>
      </c>
      <c r="AK18" s="2">
        <v>4</v>
      </c>
      <c r="AL18" s="2">
        <v>3</v>
      </c>
      <c r="AM18" s="2">
        <v>3</v>
      </c>
    </row>
    <row r="19">
      <c r="B19" s="2" t="str">
        <v>-3.25</v>
      </c>
      <c r="C19" s="2">
        <v>8</v>
      </c>
      <c r="D19" s="2">
        <v>4</v>
      </c>
      <c r="E19" s="2">
        <v>3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3</v>
      </c>
      <c r="L19" s="2">
        <v>5</v>
      </c>
      <c r="M19" s="2">
        <v>4</v>
      </c>
      <c r="N19" s="2">
        <v>4</v>
      </c>
      <c r="O19" s="2">
        <v>4</v>
      </c>
      <c r="P19" s="2">
        <v>4</v>
      </c>
      <c r="Q19" s="2">
        <v>4</v>
      </c>
      <c r="R19" s="2">
        <v>4</v>
      </c>
      <c r="S19" s="2">
        <v>4</v>
      </c>
      <c r="V19" s="2" t="str">
        <v>+3.50</v>
      </c>
      <c r="W19" s="2">
        <v>8</v>
      </c>
      <c r="X19" s="2">
        <v>3</v>
      </c>
      <c r="Y19" s="2">
        <v>3</v>
      </c>
      <c r="Z19" s="2">
        <v>3</v>
      </c>
      <c r="AA19" s="2">
        <v>3</v>
      </c>
      <c r="AB19" s="2">
        <v>3</v>
      </c>
      <c r="AC19" s="2">
        <v>3</v>
      </c>
      <c r="AD19" s="2">
        <v>3</v>
      </c>
      <c r="AE19" s="2">
        <v>3</v>
      </c>
      <c r="AF19" s="2">
        <v>2</v>
      </c>
      <c r="AG19" s="2">
        <v>3</v>
      </c>
      <c r="AH19" s="2">
        <v>3</v>
      </c>
      <c r="AI19" s="2">
        <v>2</v>
      </c>
      <c r="AJ19" s="2">
        <v>3</v>
      </c>
      <c r="AK19" s="2">
        <v>3</v>
      </c>
      <c r="AL19" s="2">
        <v>3</v>
      </c>
      <c r="AM19" s="2">
        <v>2</v>
      </c>
    </row>
    <row r="20">
      <c r="B20" s="2" t="str">
        <v>-3.50</v>
      </c>
      <c r="C20" s="2">
        <v>8</v>
      </c>
      <c r="D20" s="2">
        <v>4</v>
      </c>
      <c r="E20" s="2">
        <v>4</v>
      </c>
      <c r="F20" s="2">
        <v>5</v>
      </c>
      <c r="G20" s="2">
        <v>3</v>
      </c>
      <c r="H20" s="2">
        <v>4</v>
      </c>
      <c r="I20" s="2">
        <v>4</v>
      </c>
      <c r="J20" s="2">
        <v>4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4</v>
      </c>
      <c r="R20" s="2">
        <v>4</v>
      </c>
      <c r="S20" s="2">
        <v>4</v>
      </c>
      <c r="V20" s="2" t="str">
        <v>+3.75</v>
      </c>
      <c r="W20" s="2">
        <v>7</v>
      </c>
      <c r="X20" s="2">
        <v>3</v>
      </c>
      <c r="Y20" s="2">
        <v>3</v>
      </c>
      <c r="Z20" s="2">
        <v>3</v>
      </c>
      <c r="AA20" s="2">
        <v>3</v>
      </c>
      <c r="AB20" s="2">
        <v>3</v>
      </c>
      <c r="AC20" s="2">
        <v>3</v>
      </c>
      <c r="AD20" s="2">
        <v>4</v>
      </c>
      <c r="AE20" s="2">
        <v>3</v>
      </c>
      <c r="AF20" s="2">
        <v>3</v>
      </c>
      <c r="AG20" s="2">
        <v>3</v>
      </c>
      <c r="AH20" s="2">
        <v>2</v>
      </c>
      <c r="AI20" s="2">
        <v>3</v>
      </c>
      <c r="AJ20" s="2">
        <v>3</v>
      </c>
      <c r="AK20" s="2">
        <v>3</v>
      </c>
      <c r="AL20" s="2">
        <v>3</v>
      </c>
      <c r="AM20" s="2">
        <v>3</v>
      </c>
    </row>
    <row r="21">
      <c r="B21" s="2" t="str">
        <v>-3.75</v>
      </c>
      <c r="C21" s="2">
        <v>8</v>
      </c>
      <c r="D21" s="2">
        <v>4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5</v>
      </c>
      <c r="K21" s="2">
        <v>6</v>
      </c>
      <c r="L21" s="2">
        <v>4</v>
      </c>
      <c r="M21" s="2">
        <v>4</v>
      </c>
      <c r="N21" s="2">
        <v>4</v>
      </c>
      <c r="O21" s="2">
        <v>4</v>
      </c>
      <c r="P21" s="2">
        <v>4</v>
      </c>
      <c r="Q21" s="2">
        <v>4</v>
      </c>
      <c r="R21" s="2">
        <v>4</v>
      </c>
      <c r="S21" s="2">
        <v>3</v>
      </c>
      <c r="V21" s="2" t="str">
        <v>+4.00</v>
      </c>
      <c r="W21" s="2">
        <v>8</v>
      </c>
      <c r="X21" s="2">
        <v>3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2">
        <v>3</v>
      </c>
      <c r="AE21" s="2">
        <v>3</v>
      </c>
      <c r="AF21" s="2">
        <v>3</v>
      </c>
      <c r="AG21" s="2">
        <v>3</v>
      </c>
      <c r="AH21" s="2">
        <v>3</v>
      </c>
      <c r="AI21" s="2">
        <v>3</v>
      </c>
      <c r="AJ21" s="2">
        <v>3</v>
      </c>
      <c r="AK21" s="2">
        <v>3</v>
      </c>
      <c r="AL21" s="2">
        <v>3</v>
      </c>
      <c r="AM21" s="2">
        <v>3</v>
      </c>
    </row>
    <row r="22">
      <c r="B22" s="2" t="str">
        <v>-4.00</v>
      </c>
      <c r="C22" s="2">
        <v>8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5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V22" s="2" t="str">
        <v>+4.25</v>
      </c>
      <c r="W22" s="2">
        <v>7</v>
      </c>
      <c r="X22" s="2">
        <v>3</v>
      </c>
      <c r="Y22" s="2">
        <v>3</v>
      </c>
      <c r="Z22" s="2">
        <v>3</v>
      </c>
      <c r="AA22" s="2">
        <v>4</v>
      </c>
      <c r="AB22" s="2">
        <v>3</v>
      </c>
      <c r="AC22" s="2">
        <v>4</v>
      </c>
      <c r="AD22" s="2">
        <v>3</v>
      </c>
      <c r="AE22" s="2">
        <v>3</v>
      </c>
      <c r="AF22" s="2">
        <v>3</v>
      </c>
      <c r="AG22" s="2">
        <v>3</v>
      </c>
      <c r="AH22" s="2">
        <v>3</v>
      </c>
      <c r="AI22" s="2">
        <v>3</v>
      </c>
      <c r="AJ22" s="2">
        <v>3</v>
      </c>
      <c r="AK22" s="2">
        <v>3</v>
      </c>
      <c r="AL22" s="2">
        <v>3</v>
      </c>
      <c r="AM22" s="2">
        <v>2</v>
      </c>
    </row>
    <row r="23">
      <c r="B23" s="2" t="str">
        <v>-4.25</v>
      </c>
      <c r="C23" s="2">
        <v>8</v>
      </c>
      <c r="D23" s="2">
        <v>4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4</v>
      </c>
      <c r="K23" s="2">
        <v>4</v>
      </c>
      <c r="L23" s="2">
        <v>4</v>
      </c>
      <c r="M23" s="2">
        <v>4</v>
      </c>
      <c r="N23" s="2">
        <v>4</v>
      </c>
      <c r="O23" s="2">
        <v>4</v>
      </c>
      <c r="P23" s="2">
        <v>4</v>
      </c>
      <c r="Q23" s="2">
        <v>4</v>
      </c>
      <c r="R23" s="2">
        <v>4</v>
      </c>
      <c r="S23" s="2">
        <v>4</v>
      </c>
      <c r="V23" s="2" t="str">
        <v>+4.50</v>
      </c>
      <c r="W23" s="2">
        <v>8</v>
      </c>
      <c r="X23" s="2">
        <v>3</v>
      </c>
      <c r="Y23" s="2">
        <v>3</v>
      </c>
      <c r="Z23" s="2">
        <v>3</v>
      </c>
      <c r="AA23" s="2">
        <v>3</v>
      </c>
      <c r="AB23" s="2">
        <v>3</v>
      </c>
      <c r="AC23" s="2">
        <v>3</v>
      </c>
      <c r="AD23" s="2">
        <v>3</v>
      </c>
      <c r="AE23" s="2">
        <v>3</v>
      </c>
      <c r="AF23" s="2">
        <v>3</v>
      </c>
      <c r="AG23" s="2">
        <v>3</v>
      </c>
      <c r="AH23" s="2">
        <v>3</v>
      </c>
      <c r="AI23" s="2">
        <v>3</v>
      </c>
      <c r="AJ23" s="2">
        <v>3</v>
      </c>
      <c r="AK23" s="2">
        <v>3</v>
      </c>
      <c r="AL23" s="2">
        <v>3</v>
      </c>
      <c r="AM23" s="2">
        <v>3</v>
      </c>
    </row>
    <row r="24">
      <c r="B24" s="2" t="str">
        <v>-4.50</v>
      </c>
      <c r="C24" s="2">
        <v>7</v>
      </c>
      <c r="D24" s="2">
        <v>4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3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6</v>
      </c>
      <c r="S24" s="2">
        <v>4</v>
      </c>
      <c r="V24" s="2" t="str">
        <v>+4.75</v>
      </c>
      <c r="W24" s="2">
        <v>8</v>
      </c>
      <c r="X24" s="2">
        <v>3</v>
      </c>
      <c r="Y24" s="2">
        <v>3</v>
      </c>
      <c r="Z24" s="2">
        <v>3</v>
      </c>
      <c r="AA24" s="2">
        <v>3</v>
      </c>
      <c r="AB24" s="2">
        <v>3</v>
      </c>
      <c r="AC24" s="2">
        <v>3</v>
      </c>
      <c r="AD24" s="2">
        <v>3</v>
      </c>
      <c r="AE24" s="2">
        <v>3</v>
      </c>
      <c r="AF24" s="2">
        <v>4</v>
      </c>
      <c r="AG24" s="2">
        <v>3</v>
      </c>
      <c r="AH24" s="2">
        <v>3</v>
      </c>
      <c r="AI24" s="2">
        <v>3</v>
      </c>
      <c r="AJ24" s="2">
        <v>3</v>
      </c>
      <c r="AK24" s="2">
        <v>3</v>
      </c>
      <c r="AL24" s="2">
        <v>3</v>
      </c>
      <c r="AM24" s="2">
        <v>3</v>
      </c>
    </row>
    <row r="25">
      <c r="B25" s="2" t="str">
        <v>-4.75</v>
      </c>
      <c r="C25" s="2">
        <v>8</v>
      </c>
      <c r="D25" s="2">
        <v>6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7</v>
      </c>
      <c r="L25" s="2">
        <v>4</v>
      </c>
      <c r="M25" s="2">
        <v>4</v>
      </c>
      <c r="N25" s="2">
        <v>4</v>
      </c>
      <c r="O25" s="2">
        <v>4</v>
      </c>
      <c r="P25" s="2">
        <v>4</v>
      </c>
      <c r="Q25" s="2">
        <v>4</v>
      </c>
      <c r="R25" s="2">
        <v>4</v>
      </c>
      <c r="S25" s="2">
        <v>4</v>
      </c>
      <c r="V25" s="2" t="str">
        <v>+5.00</v>
      </c>
      <c r="W25" s="2">
        <v>8</v>
      </c>
      <c r="X25" s="2">
        <v>1</v>
      </c>
      <c r="Y25" s="2">
        <v>3</v>
      </c>
      <c r="Z25" s="2">
        <v>3</v>
      </c>
      <c r="AA25" s="2">
        <v>3</v>
      </c>
      <c r="AB25" s="2">
        <v>3</v>
      </c>
      <c r="AC25" s="2">
        <v>3</v>
      </c>
      <c r="AD25" s="2">
        <v>3</v>
      </c>
      <c r="AE25" s="2">
        <v>3</v>
      </c>
      <c r="AF25" s="2">
        <v>3</v>
      </c>
      <c r="AG25" s="2">
        <v>3</v>
      </c>
      <c r="AH25" s="2">
        <v>3</v>
      </c>
      <c r="AI25" s="2">
        <v>3</v>
      </c>
      <c r="AJ25" s="2">
        <v>3</v>
      </c>
      <c r="AK25" s="2">
        <v>3</v>
      </c>
      <c r="AL25" s="2">
        <v>3</v>
      </c>
      <c r="AM25" s="2">
        <v>3</v>
      </c>
    </row>
    <row r="26">
      <c r="B26" s="2" t="str">
        <v>-5.00</v>
      </c>
      <c r="C26" s="2">
        <v>8</v>
      </c>
      <c r="D26" s="2">
        <v>4</v>
      </c>
      <c r="E26" s="2">
        <v>4</v>
      </c>
      <c r="F26" s="2">
        <v>2</v>
      </c>
      <c r="G26" s="2">
        <v>4</v>
      </c>
      <c r="H26" s="2">
        <v>4</v>
      </c>
      <c r="I26" s="2">
        <v>4</v>
      </c>
      <c r="J26" s="2">
        <v>4</v>
      </c>
      <c r="K26" s="2">
        <v>3</v>
      </c>
      <c r="L26" s="2">
        <v>4</v>
      </c>
      <c r="M26" s="2">
        <v>4</v>
      </c>
      <c r="N26" s="2">
        <v>4</v>
      </c>
      <c r="O26" s="2">
        <v>4</v>
      </c>
      <c r="P26" s="2">
        <v>4</v>
      </c>
      <c r="Q26" s="2">
        <v>3</v>
      </c>
      <c r="R26" s="2">
        <v>4</v>
      </c>
      <c r="S26" s="2">
        <v>4</v>
      </c>
      <c r="V26" s="2" t="str">
        <v>+5.25</v>
      </c>
    </row>
    <row r="27">
      <c r="B27" s="2" t="str">
        <v>-5.25</v>
      </c>
      <c r="C27" s="2">
        <v>8</v>
      </c>
      <c r="D27" s="2">
        <v>4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3</v>
      </c>
      <c r="M27" s="2">
        <v>4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V27" s="2" t="str">
        <v>+5.50</v>
      </c>
    </row>
    <row r="28">
      <c r="B28" s="2" t="str">
        <v>-5.50</v>
      </c>
      <c r="C28" s="2">
        <v>8</v>
      </c>
      <c r="D28" s="2">
        <v>4</v>
      </c>
      <c r="E28" s="2">
        <v>3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V28" s="2" t="str">
        <v>+5.75</v>
      </c>
    </row>
    <row r="29">
      <c r="B29" s="2" t="str">
        <v>-5.75</v>
      </c>
      <c r="C29" s="2">
        <v>8</v>
      </c>
      <c r="D29" s="2">
        <v>4</v>
      </c>
      <c r="E29" s="2">
        <v>4</v>
      </c>
      <c r="F29" s="2">
        <v>4</v>
      </c>
      <c r="G29" s="2">
        <v>3</v>
      </c>
      <c r="H29" s="2">
        <v>4</v>
      </c>
      <c r="I29" s="2">
        <v>4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  <c r="S29" s="2">
        <v>4</v>
      </c>
      <c r="V29" s="2" t="str">
        <v>+6.00</v>
      </c>
      <c r="AD29" s="2">
        <v>1</v>
      </c>
    </row>
    <row r="30">
      <c r="B30" s="2" t="str">
        <v>-6.00</v>
      </c>
      <c r="C30" s="2">
        <v>8</v>
      </c>
      <c r="D30" s="2">
        <v>4</v>
      </c>
      <c r="E30" s="2">
        <v>4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4</v>
      </c>
      <c r="R30" s="2">
        <v>4</v>
      </c>
      <c r="S30" s="2">
        <v>4</v>
      </c>
    </row>
    <row r="31">
      <c r="C31" s="2" t="str">
        <v>1RA SERIE</v>
      </c>
      <c r="E31" s="2">
        <f>SUM(C6:K30)</f>
        <v>1325</v>
      </c>
      <c r="W31" s="2" t="str">
        <v>1RA SERIE</v>
      </c>
      <c r="Y31" s="2">
        <f>SUM(W6:AE29)</f>
        <v>683</v>
      </c>
    </row>
    <row r="32">
      <c r="C32" s="2" t="str">
        <v>2DA SERIE</v>
      </c>
      <c r="E32" s="2">
        <f>SUM(L6:S30)</f>
        <v>1157</v>
      </c>
      <c r="W32" s="2" t="str">
        <v>2DA SERIE</v>
      </c>
      <c r="Y32" s="2">
        <f>SUM(AF6:AM29)</f>
        <v>467</v>
      </c>
    </row>
    <row r="34">
      <c r="B34" s="2" t="str">
        <v>PEDIDO SUGERIDO MONOFOCAL 1.56 AR (PIEZAS)</v>
      </c>
    </row>
    <row r="36">
      <c r="B36" s="2" t="str">
        <v>PEDIDO SUGERIDO MONOFOCAL 1.56 AR(PIEZAS)</v>
      </c>
      <c r="W36" s="2" t="str">
        <v>PEDIDO SUGERIDO MONOFOCAL 1.56 AR(PIEZAS)</v>
      </c>
    </row>
    <row r="37">
      <c r="C37" s="2" t="str">
        <v>CILINDRO</v>
      </c>
      <c r="W37" s="2" t="str">
        <v>CILINDRO</v>
      </c>
    </row>
    <row r="39">
      <c r="A39" s="2" t="str">
        <v>(-)</v>
      </c>
      <c r="C39" s="2" t="str">
        <v>0.00</v>
      </c>
      <c r="D39" s="2" t="str">
        <v>-0.25</v>
      </c>
      <c r="E39" s="2" t="str">
        <v>-0.50</v>
      </c>
      <c r="F39" s="2" t="str">
        <v>-0.75</v>
      </c>
      <c r="G39" s="2" t="str">
        <v>-1.00</v>
      </c>
      <c r="H39" s="2" t="str">
        <v>-1.25</v>
      </c>
      <c r="I39" s="2" t="str">
        <v>-1.50</v>
      </c>
      <c r="J39" s="2" t="str">
        <v>-1.75</v>
      </c>
      <c r="K39" s="2" t="str">
        <v>-2.00</v>
      </c>
      <c r="L39" s="2" t="str">
        <v>-2.25</v>
      </c>
      <c r="M39" s="2" t="str">
        <v>-2.50</v>
      </c>
      <c r="N39" s="2" t="str">
        <v>-2.75</v>
      </c>
      <c r="O39" s="2" t="str">
        <v>-3.00</v>
      </c>
      <c r="P39" s="2" t="str">
        <v>-3.25</v>
      </c>
      <c r="Q39" s="2" t="str">
        <v>-3.50</v>
      </c>
      <c r="R39" s="2" t="str">
        <v>-3.75</v>
      </c>
      <c r="S39" s="2" t="str">
        <v>-4.00</v>
      </c>
      <c r="U39" s="2" t="str">
        <v>(+)</v>
      </c>
      <c r="W39" s="2" t="str">
        <v>0.00</v>
      </c>
      <c r="X39" s="2" t="str">
        <v>-0.25</v>
      </c>
      <c r="Y39" s="2" t="str">
        <v>-0.50</v>
      </c>
      <c r="Z39" s="2" t="str">
        <v>-0.75</v>
      </c>
      <c r="AA39" s="2" t="str">
        <v>-1.00</v>
      </c>
      <c r="AB39" s="2" t="str">
        <v>-1.25</v>
      </c>
      <c r="AC39" s="2" t="str">
        <v>-1.50</v>
      </c>
      <c r="AD39" s="2" t="str">
        <v>-1.75</v>
      </c>
      <c r="AE39" s="2" t="str">
        <v>-2.00</v>
      </c>
      <c r="AF39" s="2" t="str">
        <v>-2.25</v>
      </c>
      <c r="AG39" s="2" t="str">
        <v>-2.50</v>
      </c>
      <c r="AH39" s="2" t="str">
        <v>-2.75</v>
      </c>
      <c r="AI39" s="2" t="str">
        <v>-3.00</v>
      </c>
      <c r="AJ39" s="2" t="str">
        <v>-3.25</v>
      </c>
      <c r="AK39" s="2" t="str">
        <v>-3.50</v>
      </c>
      <c r="AL39" s="2" t="str">
        <v>-3.75</v>
      </c>
      <c r="AM39" s="2" t="str">
        <v>-4.00</v>
      </c>
    </row>
    <row r="40">
      <c r="A40" s="2" t="str">
        <v>ESFERA</v>
      </c>
      <c r="B40" s="2" t="str">
        <v>0.00</v>
      </c>
      <c r="C40" s="2">
        <f>IF(C6&lt;16,16-C6,"")</f>
        <v>4</v>
      </c>
      <c r="D40" s="2">
        <f>IF(D6&lt;16,16-D6,"")</f>
        <v>2</v>
      </c>
      <c r="E40" s="2">
        <f>IF(E6&lt;16,16-E6,"")</f>
        <v>3</v>
      </c>
      <c r="F40" s="2">
        <f>IF(F6&lt;16,16-F6,"")</f>
        <v>4</v>
      </c>
      <c r="G40" s="2">
        <f>IF(G6&lt;16,16-G6,"")</f>
        <v>1</v>
      </c>
      <c r="H40" s="2">
        <f>IF(H6&lt;8,8-H6,"")</f>
        <v>1</v>
      </c>
      <c r="I40" s="2">
        <f>IF(I6&lt;8,8-I6,"")</f>
        <v>1</v>
      </c>
      <c r="J40" s="2">
        <f>IF(J6&lt;8,8-J6,"")</f>
        <v>1</v>
      </c>
      <c r="K40" s="2">
        <f>IF(K6&lt;8,8-K6,"")</f>
        <v>1</v>
      </c>
      <c r="L40" s="2" t="str">
        <f>IF(L6&lt;8,8-L6,"")</f>
        <v/>
      </c>
      <c r="M40" s="2" t="str">
        <f>IF(M6&lt;8,8-M6,"")</f>
        <v/>
      </c>
      <c r="N40" s="2" t="str">
        <f>IF(N6&lt;8,8-N6,"")</f>
        <v/>
      </c>
      <c r="O40" s="2" t="str">
        <f>IF(O6&lt;8,8-O6,"")</f>
        <v/>
      </c>
      <c r="P40" s="2" t="str">
        <f>IF(P6&lt;8,8-P6,"")</f>
        <v/>
      </c>
      <c r="Q40" s="2" t="str">
        <f>IF(Q6&lt;8,8-Q6,"")</f>
        <v/>
      </c>
      <c r="R40" s="2" t="str">
        <f>IF(R6&lt;8,8-R6,"")</f>
        <v/>
      </c>
      <c r="S40" s="2">
        <f>IF(S6&lt;8,8-S6,"")</f>
        <v>2</v>
      </c>
      <c r="U40" s="2" t="str">
        <v>ESFERA</v>
      </c>
      <c r="V40" s="2" t="str">
        <v>+0.25</v>
      </c>
      <c r="W40" s="2" t="str">
        <f>IF(W6&lt;5, 5-W6,"")</f>
        <v/>
      </c>
      <c r="X40" s="2">
        <f>IF(X6&lt;5, 5-X6,"")</f>
        <v>2</v>
      </c>
      <c r="Y40" s="2" t="str">
        <f>IF(Y6&lt;5, 5-Y6,"")</f>
        <v/>
      </c>
      <c r="Z40" s="2" t="str">
        <f>IF(Z6&lt;5, 5-Z6,"")</f>
        <v/>
      </c>
      <c r="AA40" s="2" t="str">
        <f>IF(AA6&lt;5, 5-AA6,"")</f>
        <v/>
      </c>
      <c r="AB40" s="2" t="str">
        <f>IF(AB6&lt;5, 5-AB6,"")</f>
        <v/>
      </c>
      <c r="AC40" s="2" t="str">
        <f>IF(AC6&lt;5, 5-AC6,"")</f>
        <v/>
      </c>
      <c r="AD40" s="2" t="str">
        <f>IF(AD6&lt;5, 5-AD6,"")</f>
        <v/>
      </c>
      <c r="AE40" s="2" t="str">
        <f>IF(AE6&lt;5, 5-AE6,"")</f>
        <v/>
      </c>
      <c r="AF40" s="2" t="str">
        <f>IF(AF6&lt;3, 3-AF6,"")</f>
        <v/>
      </c>
      <c r="AG40" s="2" t="str">
        <f>IF(AG6&lt;3, 3-AG6,"")</f>
        <v/>
      </c>
      <c r="AH40" s="2" t="str">
        <f>IF(AH6&lt;3, 3-AH6,"")</f>
        <v/>
      </c>
      <c r="AI40" s="2" t="str">
        <f>IF(AI6&lt;3, 3-AI6,"")</f>
        <v/>
      </c>
      <c r="AJ40" s="2" t="str">
        <f>IF(AJ6&lt;3, 3-AJ6,"")</f>
        <v/>
      </c>
      <c r="AK40" s="2" t="str">
        <f>IF(AK6&lt;3, 3-AK6,"")</f>
        <v/>
      </c>
      <c r="AL40" s="2" t="str">
        <f>IF(AL6&lt;3, 3-AL6,"")</f>
        <v/>
      </c>
      <c r="AM40" s="2" t="str">
        <f>IF(AM6&lt;3, 3-AM6,"")</f>
        <v/>
      </c>
    </row>
    <row r="41">
      <c r="B41" s="2" t="str">
        <v>-0.25</v>
      </c>
      <c r="C41" s="2">
        <f>IF(C7&lt;16,16-C7,"")</f>
        <v>2</v>
      </c>
      <c r="D41" s="2">
        <f>IF(D7&lt;16,16-D7,"")</f>
        <v>2</v>
      </c>
      <c r="E41" s="2">
        <f>IF(E7&lt;16,16-E7,"")</f>
        <v>4</v>
      </c>
      <c r="F41" s="2">
        <f>IF(F7&lt;16,16-F7,"")</f>
        <v>3</v>
      </c>
      <c r="G41" s="2" t="str">
        <f>IF(G7&lt;16,16-G7,"")</f>
        <v/>
      </c>
      <c r="H41" s="2" t="str">
        <f>IF(H7&lt;6,6-H7,"")</f>
        <v/>
      </c>
      <c r="I41" s="2" t="str">
        <f>IF(I7&lt;6,6-I7,"")</f>
        <v/>
      </c>
      <c r="J41" s="2" t="str">
        <f>IF(J7&lt;6,6-J7,"")</f>
        <v/>
      </c>
      <c r="K41" s="2" t="str">
        <f>IF(K7&lt;6,6-K7,"")</f>
        <v/>
      </c>
      <c r="L41" s="2" t="str">
        <f>IF(L7&lt;4,4-L7,"")</f>
        <v/>
      </c>
      <c r="M41" s="2" t="str">
        <f>IF(M7&lt;4,4-M7,"")</f>
        <v/>
      </c>
      <c r="N41" s="2" t="str">
        <f>IF(N7&lt;4,4-N7,"")</f>
        <v/>
      </c>
      <c r="O41" s="2" t="str">
        <f>IF(O7&lt;4,4-O7,"")</f>
        <v/>
      </c>
      <c r="P41" s="2" t="str">
        <f>IF(P7&lt;4,4-P7,"")</f>
        <v/>
      </c>
      <c r="Q41" s="2" t="str">
        <f>IF(Q7&lt;4,4-Q7,"")</f>
        <v/>
      </c>
      <c r="R41" s="2" t="str">
        <f>IF(R7&lt;4,4-R7,"")</f>
        <v/>
      </c>
      <c r="S41" s="2" t="str">
        <f>IF(S7&lt;4,4-S7,"")</f>
        <v/>
      </c>
      <c r="V41" s="2" t="str">
        <v>+0.50</v>
      </c>
      <c r="W41" s="2">
        <f>IF(W7&lt;8, 8-W7,"")</f>
        <v>2</v>
      </c>
      <c r="X41" s="2">
        <f>IF(X7&lt;5,5-X7,"")</f>
        <v>2</v>
      </c>
      <c r="Y41" s="2">
        <f>IF(Y7&lt;5,5-Y7,"")</f>
        <v>5</v>
      </c>
      <c r="Z41" s="2" t="str">
        <f>IF(Z7&lt;5,5-Z7,"")</f>
        <v/>
      </c>
      <c r="AA41" s="2" t="str">
        <f>IF(AA7&lt;5,5-AA7,"")</f>
        <v/>
      </c>
      <c r="AB41" s="2" t="str">
        <f>IF(AB7&lt;5,5-AB7,"")</f>
        <v/>
      </c>
      <c r="AC41" s="2" t="str">
        <f>IF(AC7&lt;5,5-AC7,"")</f>
        <v/>
      </c>
      <c r="AD41" s="2" t="str">
        <f>IF(AD7&lt;5,5-AD7,"")</f>
        <v/>
      </c>
      <c r="AE41" s="2" t="str">
        <f>IF(AE7&lt;5,5-AE7,"")</f>
        <v/>
      </c>
      <c r="AF41" s="2" t="str">
        <f>IF(AF7&lt;3,3-AF7,"")</f>
        <v/>
      </c>
      <c r="AG41" s="2" t="str">
        <f>IF(AG7&lt;3,3-AG7,"")</f>
        <v/>
      </c>
      <c r="AH41" s="2" t="str">
        <f>IF(AH7&lt;3,3-AH7,"")</f>
        <v/>
      </c>
      <c r="AI41" s="2" t="str">
        <f>IF(AI7&lt;3,3-AI7,"")</f>
        <v/>
      </c>
      <c r="AJ41" s="2" t="str">
        <f>IF(AJ7&lt;3,3-AJ7,"")</f>
        <v/>
      </c>
      <c r="AK41" s="2" t="str">
        <f>IF(AK7&lt;3,3-AK7,"")</f>
        <v/>
      </c>
      <c r="AL41" s="2" t="str">
        <f>IF(AL7&lt;3,3-AL7,"")</f>
        <v/>
      </c>
      <c r="AM41" s="2">
        <f>IF(AM7&lt;3,3-AM7,"")</f>
        <v>1</v>
      </c>
    </row>
    <row r="42">
      <c r="B42" s="2" t="str">
        <v>-0.50</v>
      </c>
      <c r="C42" s="2">
        <f>IF(C8&lt;16,16-C8,"")</f>
        <v>1</v>
      </c>
      <c r="D42" s="2" t="str">
        <f>IF(D8&lt;16,16-D8,"")</f>
        <v/>
      </c>
      <c r="E42" s="2">
        <f>IF(E8&lt;16,16-E8,"")</f>
        <v>5</v>
      </c>
      <c r="F42" s="2" t="str">
        <f>IF(F8&lt;16,16-F8,"")</f>
        <v/>
      </c>
      <c r="G42" s="2" t="str">
        <f>IF(G8&lt;16,16-G8,"")</f>
        <v/>
      </c>
      <c r="H42" s="2" t="str">
        <f>IF(H8&lt;6,6-H8,"")</f>
        <v/>
      </c>
      <c r="I42" s="2">
        <f>IF(I8&lt;6,6-I8,"")</f>
        <v>1</v>
      </c>
      <c r="J42" s="2" t="str">
        <f>IF(J8&lt;6,6-J8,"")</f>
        <v/>
      </c>
      <c r="K42" s="2" t="str">
        <f>IF(K8&lt;6,6-K8,"")</f>
        <v/>
      </c>
      <c r="L42" s="2" t="str">
        <f>IF(L8&lt;4,4-L8,"")</f>
        <v/>
      </c>
      <c r="M42" s="2" t="str">
        <f>IF(M8&lt;4,4-M8,"")</f>
        <v/>
      </c>
      <c r="N42" s="2" t="str">
        <f>IF(N8&lt;4,4-N8,"")</f>
        <v/>
      </c>
      <c r="O42" s="2" t="str">
        <f>IF(O8&lt;4,4-O8,"")</f>
        <v/>
      </c>
      <c r="P42" s="2" t="str">
        <f>IF(P8&lt;4,4-P8,"")</f>
        <v/>
      </c>
      <c r="Q42" s="2" t="str">
        <f>IF(Q8&lt;4,4-Q8,"")</f>
        <v/>
      </c>
      <c r="R42" s="2" t="str">
        <f>IF(R8&lt;4,4-R8,"")</f>
        <v/>
      </c>
      <c r="S42" s="2" t="str">
        <f>IF(S8&lt;4,4-S8,"")</f>
        <v/>
      </c>
      <c r="V42" s="2" t="str">
        <v>+0.75</v>
      </c>
      <c r="W42" s="2">
        <f>IF(W8&lt;8, 8-W8,"")</f>
        <v>3</v>
      </c>
      <c r="X42" s="2" t="str">
        <f>IF(X8&lt;5, 5-X8,"")</f>
        <v/>
      </c>
      <c r="Y42" s="2" t="str">
        <f>IF(Y8&lt;5, 5-Y8,"")</f>
        <v/>
      </c>
      <c r="Z42" s="2" t="str">
        <f>IF(Z8&lt;5, 5-Z8,"")</f>
        <v/>
      </c>
      <c r="AA42" s="2">
        <f>IF(AA8&lt;5, 5-AA8,"")</f>
        <v>2</v>
      </c>
      <c r="AB42" s="2" t="str">
        <f>IF(AB8&lt;5, 5-AB8,"")</f>
        <v/>
      </c>
      <c r="AC42" s="2" t="str">
        <f>IF(AC8&lt;5, 5-AC8,"")</f>
        <v/>
      </c>
      <c r="AD42" s="2" t="str">
        <f>IF(AD8&lt;5, 5-AD8,"")</f>
        <v/>
      </c>
      <c r="AE42" s="2">
        <f>IF(AE8&lt;5, 5-AE8,"")</f>
        <v>1</v>
      </c>
      <c r="AF42" s="2" t="str">
        <f>IF(AF8&lt;3, 3-AF8,"")</f>
        <v/>
      </c>
      <c r="AG42" s="2">
        <f>IF(AG8&lt;3, 3-AG8,"")</f>
        <v>2</v>
      </c>
      <c r="AH42" s="2" t="str">
        <f>IF(AH8&lt;3, 3-AH8,"")</f>
        <v/>
      </c>
      <c r="AI42" s="2" t="str">
        <f>IF(AI8&lt;3, 3-AI8,"")</f>
        <v/>
      </c>
      <c r="AJ42" s="2" t="str">
        <f>IF(AJ8&lt;3, 3-AJ8,"")</f>
        <v/>
      </c>
      <c r="AK42" s="2">
        <f>IF(AK8&lt;3, 3-AK8,"")</f>
        <v>1</v>
      </c>
      <c r="AL42" s="2" t="str">
        <f>IF(AL8&lt;3, 3-AL8,"")</f>
        <v/>
      </c>
      <c r="AM42" s="2" t="str">
        <f>IF(AM8&lt;3, 3-AM8,"")</f>
        <v/>
      </c>
    </row>
    <row r="43">
      <c r="B43" s="2" t="str">
        <v>-0.75</v>
      </c>
      <c r="C43" s="2">
        <f>IF(C9&lt;16,16-C9,"")</f>
        <v>3</v>
      </c>
      <c r="D43" s="2" t="str">
        <f>IF(D9&lt;16,16-D9,"")</f>
        <v/>
      </c>
      <c r="E43" s="2">
        <f>IF(E9&lt;16,16-E9,"")</f>
        <v>1</v>
      </c>
      <c r="F43" s="2">
        <f>IF(F9&lt;16,16-F9,"")</f>
        <v>3</v>
      </c>
      <c r="G43" s="2" t="str">
        <f>IF(G9&lt;16,16-G9,"")</f>
        <v/>
      </c>
      <c r="H43" s="2" t="str">
        <f>IF(H9&lt;6,6-H9,"")</f>
        <v/>
      </c>
      <c r="I43" s="2" t="str">
        <f>IF(I9&lt;6,6-I9,"")</f>
        <v/>
      </c>
      <c r="J43" s="2" t="str">
        <f>IF(J9&lt;6,6-J9,"")</f>
        <v/>
      </c>
      <c r="K43" s="2">
        <f>IF(K9&lt;6,6-K9,"")</f>
        <v>1</v>
      </c>
      <c r="L43" s="2" t="str">
        <f>IF(L9&lt;4,4-L9,"")</f>
        <v/>
      </c>
      <c r="M43" s="2" t="str">
        <f>IF(M9&lt;4,4-M9,"")</f>
        <v/>
      </c>
      <c r="N43" s="2" t="str">
        <f>IF(N9&lt;4,4-N9,"")</f>
        <v/>
      </c>
      <c r="O43" s="2" t="str">
        <f>IF(O9&lt;4,4-O9,"")</f>
        <v/>
      </c>
      <c r="P43" s="2" t="str">
        <f>IF(P9&lt;4,4-P9,"")</f>
        <v/>
      </c>
      <c r="Q43" s="2" t="str">
        <f>IF(Q9&lt;4,4-Q9,"")</f>
        <v/>
      </c>
      <c r="R43" s="2" t="str">
        <f>IF(R9&lt;4,4-R9,"")</f>
        <v/>
      </c>
      <c r="S43" s="2" t="str">
        <f>IF(S9&lt;4,4-S9,"")</f>
        <v/>
      </c>
      <c r="V43" s="2" t="str">
        <v>+1.00</v>
      </c>
      <c r="W43" s="2" t="str">
        <f>IF(W9&lt;8, 8-W9,"")</f>
        <v/>
      </c>
      <c r="X43" s="2" t="str">
        <f>IF(X9&lt;5,5-X9,"")</f>
        <v/>
      </c>
      <c r="Y43" s="2" t="str">
        <f>IF(Y9&lt;5,5-Y9,"")</f>
        <v/>
      </c>
      <c r="Z43" s="2">
        <f>IF(Z9&lt;5,5-Z9,"")</f>
        <v>2</v>
      </c>
      <c r="AA43" s="2" t="str">
        <f>IF(AA9&lt;5,5-AA9,"")</f>
        <v/>
      </c>
      <c r="AB43" s="2" t="str">
        <f>IF(AB9&lt;5,5-AB9,"")</f>
        <v/>
      </c>
      <c r="AC43" s="2" t="str">
        <f>IF(AC9&lt;5,5-AC9,"")</f>
        <v/>
      </c>
      <c r="AD43" s="2" t="str">
        <f>IF(AD9&lt;5,5-AD9,"")</f>
        <v/>
      </c>
      <c r="AE43" s="2" t="str">
        <f>IF(AE9&lt;5,5-AE9,"")</f>
        <v/>
      </c>
      <c r="AF43" s="2" t="str">
        <f>IF(AF9&lt;3,3-AF9,"")</f>
        <v/>
      </c>
      <c r="AG43" s="2" t="str">
        <f>IF(AG9&lt;3,3-AG9,"")</f>
        <v/>
      </c>
      <c r="AH43" s="2" t="str">
        <f>IF(AH9&lt;3,3-AH9,"")</f>
        <v/>
      </c>
      <c r="AI43" s="2" t="str">
        <f>IF(AI9&lt;3,3-AI9,"")</f>
        <v/>
      </c>
      <c r="AJ43" s="2" t="str">
        <f>IF(AJ9&lt;3,3-AJ9,"")</f>
        <v/>
      </c>
      <c r="AK43" s="2" t="str">
        <f>IF(AK9&lt;3,3-AK9,"")</f>
        <v/>
      </c>
      <c r="AL43" s="2" t="str">
        <f>IF(AL9&lt;3,3-AL9,"")</f>
        <v/>
      </c>
      <c r="AM43" s="2">
        <f>IF(AM9&lt;3,3-AM9,"")</f>
        <v>1</v>
      </c>
    </row>
    <row r="44">
      <c r="B44" s="2" t="str">
        <v>-1.00</v>
      </c>
      <c r="C44" s="2">
        <f>IF(C10&lt;16,16-C10,"")</f>
        <v>3</v>
      </c>
      <c r="D44" s="2" t="str">
        <f>IF(D10&lt;16,16-D10,"")</f>
        <v/>
      </c>
      <c r="E44" s="2">
        <f>IF(E10&lt;16,16-E10,"")</f>
        <v>1</v>
      </c>
      <c r="F44" s="2">
        <f>IF(F10&lt;16,16-F10,"")</f>
        <v>3</v>
      </c>
      <c r="G44" s="2" t="str">
        <f>IF(G10&lt;16,16-G10,"")</f>
        <v/>
      </c>
      <c r="H44" s="2" t="str">
        <f>IF(H10&lt;6,6-H10,"")</f>
        <v/>
      </c>
      <c r="I44" s="2" t="str">
        <f>IF(I10&lt;6,6-I10,"")</f>
        <v/>
      </c>
      <c r="J44" s="2" t="str">
        <f>IF(J10&lt;6,6-J10,"")</f>
        <v/>
      </c>
      <c r="K44" s="2">
        <f>IF(K10&lt;6,6-K10,"")</f>
        <v>1</v>
      </c>
      <c r="L44" s="2" t="str">
        <f>IF(L10&lt;4,4-L10,"")</f>
        <v/>
      </c>
      <c r="M44" s="2">
        <f>IF(M10&lt;4,4-M10,"")</f>
        <v>1</v>
      </c>
      <c r="N44" s="2" t="str">
        <f>IF(N10&lt;4,4-N10,"")</f>
        <v/>
      </c>
      <c r="O44" s="2" t="str">
        <f>IF(O10&lt;4,4-O10,"")</f>
        <v/>
      </c>
      <c r="P44" s="2" t="str">
        <f>IF(P10&lt;4,4-P10,"")</f>
        <v/>
      </c>
      <c r="Q44" s="2" t="str">
        <f>IF(Q10&lt;4,4-Q10,"")</f>
        <v/>
      </c>
      <c r="R44" s="2">
        <f>IF(R10&lt;4,4-R10,"")</f>
        <v>1</v>
      </c>
      <c r="S44" s="2" t="str">
        <f>IF(S10&lt;4,4-S10,"")</f>
        <v/>
      </c>
      <c r="V44" s="2" t="str">
        <v>+1.25</v>
      </c>
      <c r="W44" s="2">
        <f>IF(W10&lt;8, 8-W10,"")</f>
        <v>7</v>
      </c>
      <c r="X44" s="2" t="str">
        <f>IF(X10&lt;5, 5-X10,"")</f>
        <v/>
      </c>
      <c r="Y44" s="2" t="str">
        <f>IF(Y10&lt;5, 5-Y10,"")</f>
        <v/>
      </c>
      <c r="Z44" s="2" t="str">
        <f>IF(Z10&lt;5, 5-Z10,"")</f>
        <v/>
      </c>
      <c r="AA44" s="2" t="str">
        <f>IF(AA10&lt;5, 5-AA10,"")</f>
        <v/>
      </c>
      <c r="AB44" s="2">
        <f>IF(AB10&lt;5, 5-AB10,"")</f>
        <v>1</v>
      </c>
      <c r="AC44" s="2">
        <f>IF(AC10&lt;5, 5-AC10,"")</f>
        <v>2</v>
      </c>
      <c r="AD44" s="2" t="str">
        <f>IF(AD10&lt;5, 5-AD10,"")</f>
        <v/>
      </c>
      <c r="AE44" s="2" t="str">
        <f>IF(AE10&lt;5, 5-AE10,"")</f>
        <v/>
      </c>
      <c r="AF44" s="2" t="str">
        <f>IF(AF10&lt;3, 3-AF10,"")</f>
        <v/>
      </c>
      <c r="AG44" s="2" t="str">
        <f>IF(AG10&lt;3, 3-AG10,"")</f>
        <v/>
      </c>
      <c r="AH44" s="2" t="str">
        <f>IF(AH10&lt;3, 3-AH10,"")</f>
        <v/>
      </c>
      <c r="AI44" s="2" t="str">
        <f>IF(AI10&lt;3, 3-AI10,"")</f>
        <v/>
      </c>
      <c r="AJ44" s="2" t="str">
        <f>IF(AJ10&lt;3, 3-AJ10,"")</f>
        <v/>
      </c>
      <c r="AK44" s="2" t="str">
        <f>IF(AK10&lt;3, 3-AK10,"")</f>
        <v/>
      </c>
      <c r="AL44" s="2" t="str">
        <f>IF(AL10&lt;3, 3-AL10,"")</f>
        <v/>
      </c>
      <c r="AM44" s="2" t="str">
        <f>IF(AM10&lt;3, 3-AM10,"")</f>
        <v/>
      </c>
    </row>
    <row r="45">
      <c r="B45" s="2" t="str">
        <v>-1.25</v>
      </c>
      <c r="C45" s="2" t="str">
        <f>IF(C11&lt;8,8-C11,"")</f>
        <v/>
      </c>
      <c r="D45" s="2" t="str">
        <f>IF(D11&lt;6,6-D11,"")</f>
        <v/>
      </c>
      <c r="E45" s="2" t="str">
        <f>IF(E11&lt;6,6-E11,"")</f>
        <v/>
      </c>
      <c r="F45" s="2">
        <f>IF(F11&lt;6,6-F11,"")</f>
        <v>1</v>
      </c>
      <c r="G45" s="2" t="str">
        <f>IF(G11&lt;6,6-G11,"")</f>
        <v/>
      </c>
      <c r="H45" s="2">
        <f>IF(H11&lt;6,6-H11,"")</f>
        <v>1</v>
      </c>
      <c r="I45" s="2">
        <f>IF(I11&lt;6,6-I11,"")</f>
        <v>1</v>
      </c>
      <c r="J45" s="2" t="str">
        <f>IF(J11&lt;6,6-J11,"")</f>
        <v/>
      </c>
      <c r="K45" s="2" t="str">
        <f>IF(K11&lt;6,6-K11,"")</f>
        <v/>
      </c>
      <c r="L45" s="2" t="str">
        <f>IF(L11&lt;4,4-L11,"")</f>
        <v/>
      </c>
      <c r="M45" s="2" t="str">
        <f>IF(M11&lt;4,4-M11,"")</f>
        <v/>
      </c>
      <c r="N45" s="2" t="str">
        <f>IF(N11&lt;4,4-N11,"")</f>
        <v/>
      </c>
      <c r="O45" s="2" t="str">
        <f>IF(O11&lt;4,4-O11,"")</f>
        <v/>
      </c>
      <c r="P45" s="2" t="str">
        <f>IF(P11&lt;4,4-P11,"")</f>
        <v/>
      </c>
      <c r="Q45" s="2">
        <f>IF(Q11&lt;4,4-Q11,"")</f>
        <v>1</v>
      </c>
      <c r="R45" s="2" t="str">
        <f>IF(R11&lt;4,4-R11,"")</f>
        <v/>
      </c>
      <c r="S45" s="2" t="str">
        <f>IF(S11&lt;4,4-S11,"")</f>
        <v/>
      </c>
      <c r="V45" s="2" t="str">
        <v>+1.50</v>
      </c>
      <c r="W45" s="2">
        <f>IF(W11&lt;8, 8-W11,"")</f>
        <v>7</v>
      </c>
      <c r="X45" s="2" t="str">
        <f>IF(X11&lt;5,5-X11,"")</f>
        <v/>
      </c>
      <c r="Y45" s="2">
        <f>IF(Y11&lt;5,5-Y11,"")</f>
        <v>2</v>
      </c>
      <c r="Z45" s="2" t="str">
        <f>IF(Z11&lt;5,5-Z11,"")</f>
        <v/>
      </c>
      <c r="AA45" s="2">
        <f>IF(AA11&lt;5,5-AA11,"")</f>
        <v>3</v>
      </c>
      <c r="AB45" s="2">
        <f>IF(AB11&lt;5,5-AB11,"")</f>
        <v>1</v>
      </c>
      <c r="AC45" s="2">
        <f>IF(AC11&lt;5,5-AC11,"")</f>
        <v>1</v>
      </c>
      <c r="AD45" s="2" t="str">
        <f>IF(AD11&lt;5,5-AD11,"")</f>
        <v/>
      </c>
      <c r="AE45" s="2" t="str">
        <f>IF(AE11&lt;5,5-AE11,"")</f>
        <v/>
      </c>
      <c r="AF45" s="2" t="str">
        <f>IF(AF11&lt;3,3-AF11,"")</f>
        <v/>
      </c>
      <c r="AG45" s="2" t="str">
        <f>IF(AG11&lt;3,3-AG11,"")</f>
        <v/>
      </c>
      <c r="AH45" s="2" t="str">
        <f>IF(AH11&lt;3,3-AH11,"")</f>
        <v/>
      </c>
      <c r="AI45" s="2" t="str">
        <f>IF(AI11&lt;3,3-AI11,"")</f>
        <v/>
      </c>
      <c r="AJ45" s="2" t="str">
        <f>IF(AJ11&lt;3,3-AJ11,"")</f>
        <v/>
      </c>
      <c r="AK45" s="2" t="str">
        <f>IF(AK11&lt;3,3-AK11,"")</f>
        <v/>
      </c>
      <c r="AL45" s="2" t="str">
        <f>IF(AL11&lt;3,3-AL11,"")</f>
        <v/>
      </c>
      <c r="AM45" s="2" t="str">
        <f>IF(AM11&lt;3,3-AM11,"")</f>
        <v/>
      </c>
    </row>
    <row r="46">
      <c r="B46" s="2" t="str">
        <v>-1.50</v>
      </c>
      <c r="C46" s="2">
        <f>IF(C12&lt;8,8-C12,"")</f>
        <v>3</v>
      </c>
      <c r="D46" s="2" t="str">
        <f>IF(D12&lt;6,6-D12,"")</f>
        <v/>
      </c>
      <c r="E46" s="2">
        <f>IF(E12&lt;6,6-E12,"")</f>
        <v>1</v>
      </c>
      <c r="F46" s="2" t="str">
        <f>IF(F12&lt;6,6-F12,"")</f>
        <v/>
      </c>
      <c r="G46" s="2" t="str">
        <f>IF(G12&lt;6,6-G12,"")</f>
        <v/>
      </c>
      <c r="H46" s="2" t="str">
        <f>IF(H12&lt;6,6-H12,"")</f>
        <v/>
      </c>
      <c r="I46" s="2">
        <f>IF(I12&lt;6,6-I12,"")</f>
        <v>1</v>
      </c>
      <c r="J46" s="2" t="str">
        <f>IF(J12&lt;6,6-J12,"")</f>
        <v/>
      </c>
      <c r="K46" s="2" t="str">
        <f>IF(K12&lt;6,6-K12,"")</f>
        <v/>
      </c>
      <c r="L46" s="2" t="str">
        <f>IF(L12&lt;4,4-L12,"")</f>
        <v/>
      </c>
      <c r="M46" s="2" t="str">
        <f>IF(M12&lt;4,4-M12,"")</f>
        <v/>
      </c>
      <c r="N46" s="2" t="str">
        <f>IF(N12&lt;4,4-N12,"")</f>
        <v/>
      </c>
      <c r="O46" s="2" t="str">
        <f>IF(O12&lt;4,4-O12,"")</f>
        <v/>
      </c>
      <c r="P46" s="2" t="str">
        <f>IF(P12&lt;4,4-P12,"")</f>
        <v/>
      </c>
      <c r="Q46" s="2" t="str">
        <f>IF(Q12&lt;4,4-Q12,"")</f>
        <v/>
      </c>
      <c r="R46" s="2" t="str">
        <f>IF(R12&lt;4,4-R12,"")</f>
        <v/>
      </c>
      <c r="S46" s="2" t="str">
        <f>IF(S12&lt;4,4-S12,"")</f>
        <v/>
      </c>
      <c r="V46" s="2" t="str">
        <v>+1.75</v>
      </c>
      <c r="W46" s="2">
        <f>IF(W12&lt;8, 8-W12,"")</f>
        <v>8</v>
      </c>
      <c r="X46" s="2">
        <f>IF(X12&lt;5, 5-X12,"")</f>
        <v>1</v>
      </c>
      <c r="Y46" s="2" t="str">
        <f>IF(Y12&lt;5, 5-Y12,"")</f>
        <v/>
      </c>
      <c r="Z46" s="2">
        <f>IF(Z12&lt;5, 5-Z12,"")</f>
        <v>1</v>
      </c>
      <c r="AA46" s="2" t="str">
        <f>IF(AA12&lt;5, 5-AA12,"")</f>
        <v/>
      </c>
      <c r="AB46" s="2" t="str">
        <f>IF(AB12&lt;5, 5-AB12,"")</f>
        <v/>
      </c>
      <c r="AC46" s="2" t="str">
        <f>IF(AC12&lt;5, 5-AC12,"")</f>
        <v/>
      </c>
      <c r="AD46" s="2" t="str">
        <f>IF(AD12&lt;5, 5-AD12,"")</f>
        <v/>
      </c>
      <c r="AE46" s="2" t="str">
        <f>IF(AE12&lt;5, 5-AE12,"")</f>
        <v/>
      </c>
      <c r="AF46" s="2">
        <f>IF(AF12&lt;3, 3-AF12,"")</f>
        <v>1</v>
      </c>
      <c r="AG46" s="2" t="str">
        <f>IF(AG12&lt;3, 3-AG12,"")</f>
        <v/>
      </c>
      <c r="AH46" s="2" t="str">
        <f>IF(AH12&lt;3, 3-AH12,"")</f>
        <v/>
      </c>
      <c r="AI46" s="2" t="str">
        <f>IF(AI12&lt;3, 3-AI12,"")</f>
        <v/>
      </c>
      <c r="AJ46" s="2" t="str">
        <f>IF(AJ12&lt;3, 3-AJ12,"")</f>
        <v/>
      </c>
      <c r="AK46" s="2" t="str">
        <f>IF(AK12&lt;3, 3-AK12,"")</f>
        <v/>
      </c>
      <c r="AL46" s="2" t="str">
        <f>IF(AL12&lt;3, 3-AL12,"")</f>
        <v/>
      </c>
      <c r="AM46" s="2" t="str">
        <f>IF(AM12&lt;3, 3-AM12,"")</f>
        <v/>
      </c>
    </row>
    <row r="47">
      <c r="B47" s="2" t="str">
        <v>-1.75</v>
      </c>
      <c r="C47" s="2">
        <f>IF(C13&lt;8,8-C13,"")</f>
        <v>1</v>
      </c>
      <c r="D47" s="2" t="str">
        <f>IF(D13&lt;6,6-D13,"")</f>
        <v/>
      </c>
      <c r="E47" s="2" t="str">
        <f>IF(E13&lt;6,6-E13,"")</f>
        <v/>
      </c>
      <c r="F47" s="2" t="str">
        <f>IF(F13&lt;6,6-F13,"")</f>
        <v/>
      </c>
      <c r="G47" s="2" t="str">
        <f>IF(G13&lt;6,6-G13,"")</f>
        <v/>
      </c>
      <c r="H47" s="2" t="str">
        <f>IF(H13&lt;6,6-H13,"")</f>
        <v/>
      </c>
      <c r="I47" s="2" t="str">
        <f>IF(I13&lt;6,6-I13,"")</f>
        <v/>
      </c>
      <c r="J47" s="2" t="str">
        <f>IF(J13&lt;6,6-J13,"")</f>
        <v/>
      </c>
      <c r="K47" s="2" t="str">
        <f>IF(K13&lt;6,6-K13,"")</f>
        <v/>
      </c>
      <c r="L47" s="2" t="str">
        <f>IF(L13&lt;4,4-L13,"")</f>
        <v/>
      </c>
      <c r="M47" s="2" t="str">
        <f>IF(M13&lt;4,4-M13,"")</f>
        <v/>
      </c>
      <c r="N47" s="2" t="str">
        <f>IF(N13&lt;4,4-N13,"")</f>
        <v/>
      </c>
      <c r="O47" s="2" t="str">
        <f>IF(O13&lt;4,4-O13,"")</f>
        <v/>
      </c>
      <c r="P47" s="2" t="str">
        <f>IF(P13&lt;4,4-P13,"")</f>
        <v/>
      </c>
      <c r="Q47" s="2" t="str">
        <f>IF(Q13&lt;4,4-Q13,"")</f>
        <v/>
      </c>
      <c r="R47" s="2" t="str">
        <f>IF(R13&lt;4,4-R13,"")</f>
        <v/>
      </c>
      <c r="S47" s="2" t="str">
        <f>IF(S13&lt;4,4-S13,"")</f>
        <v/>
      </c>
      <c r="V47" s="2" t="str">
        <v>+2.00</v>
      </c>
      <c r="W47" s="2">
        <f>IF(W13&lt;12,12-W13,"")</f>
        <v>7</v>
      </c>
      <c r="X47" s="2" t="str">
        <f>IF(X13&lt;5,5-X13,"")</f>
        <v/>
      </c>
      <c r="Y47" s="2">
        <f>IF(Y13&lt;5,5-Y13,"")</f>
        <v>1</v>
      </c>
      <c r="Z47" s="2" t="str">
        <f>IF(Z13&lt;5,5-Z13,"")</f>
        <v/>
      </c>
      <c r="AA47" s="2">
        <f>IF(AA13&lt;5,5-AA13,"")</f>
        <v>1</v>
      </c>
      <c r="AB47" s="2">
        <f>IF(AB13&lt;5,5-AB13,"")</f>
        <v>2</v>
      </c>
      <c r="AC47" s="2" t="str">
        <f>IF(AC13&lt;5,5-AC13,"")</f>
        <v/>
      </c>
      <c r="AD47" s="2" t="str">
        <f>IF(AD13&lt;5,5-AD13,"")</f>
        <v/>
      </c>
      <c r="AE47" s="2" t="str">
        <f>IF(AE13&lt;5,5-AE13,"")</f>
        <v/>
      </c>
      <c r="AF47" s="2">
        <f>IF(AF13&lt;3,3-AF13,"")</f>
        <v>1</v>
      </c>
      <c r="AG47" s="2" t="str">
        <f>IF(AG13&lt;3,3-AG13,"")</f>
        <v/>
      </c>
      <c r="AH47" s="2" t="str">
        <f>IF(AH13&lt;3,3-AH13,"")</f>
        <v/>
      </c>
      <c r="AI47" s="2" t="str">
        <f>IF(AI13&lt;3,3-AI13,"")</f>
        <v/>
      </c>
      <c r="AJ47" s="2" t="str">
        <f>IF(AJ13&lt;3,3-AJ13,"")</f>
        <v/>
      </c>
      <c r="AK47" s="2">
        <f>IF(AK13&lt;3,3-AK13,"")</f>
        <v>1</v>
      </c>
      <c r="AL47" s="2">
        <f>IF(AL13&lt;3,3-AL13,"")</f>
        <v>2</v>
      </c>
      <c r="AM47" s="2" t="str">
        <f>IF(AM13&lt;3,3-AM13,"")</f>
        <v/>
      </c>
    </row>
    <row r="48">
      <c r="B48" s="2" t="str">
        <v>-2.00</v>
      </c>
      <c r="C48" s="2">
        <f>IF(C14&lt;8,8-C14,"")</f>
        <v>1</v>
      </c>
      <c r="D48" s="2" t="str">
        <f>IF(D14&lt;6,6-D14,"")</f>
        <v/>
      </c>
      <c r="E48" s="2">
        <f>IF(E14&lt;6,6-E14,"")</f>
        <v>2</v>
      </c>
      <c r="F48" s="2" t="str">
        <f>IF(F14&lt;6,6-F14,"")</f>
        <v/>
      </c>
      <c r="G48" s="2" t="str">
        <f>IF(G14&lt;6,6-G14,"")</f>
        <v/>
      </c>
      <c r="H48" s="2" t="str">
        <f>IF(H14&lt;6,6-H14,"")</f>
        <v/>
      </c>
      <c r="I48" s="2">
        <f>IF(I14&lt;6,6-I14,"")</f>
        <v>1</v>
      </c>
      <c r="J48" s="2" t="str">
        <f>IF(J14&lt;6,6-J14,"")</f>
        <v/>
      </c>
      <c r="K48" s="2" t="str">
        <f>IF(K14&lt;6,6-K14,"")</f>
        <v/>
      </c>
      <c r="L48" s="2" t="str">
        <f>IF(L14&lt;4,4-L14,"")</f>
        <v/>
      </c>
      <c r="M48" s="2">
        <f>IF(M14&lt;4,4-M14,"")</f>
        <v>1</v>
      </c>
      <c r="N48" s="2" t="str">
        <f>IF(N14&lt;4,4-N14,"")</f>
        <v/>
      </c>
      <c r="O48" s="2" t="str">
        <f>IF(O14&lt;4,4-O14,"")</f>
        <v/>
      </c>
      <c r="P48" s="2" t="str">
        <f>IF(P14&lt;4,4-P14,"")</f>
        <v/>
      </c>
      <c r="Q48" s="2" t="str">
        <f>IF(Q14&lt;4,4-Q14,"")</f>
        <v/>
      </c>
      <c r="R48" s="2">
        <f>IF(R14&lt;4,4-R14,"")</f>
        <v>2</v>
      </c>
      <c r="S48" s="2" t="str">
        <f>IF(S14&lt;4,4-S14,"")</f>
        <v/>
      </c>
      <c r="V48" s="2" t="str">
        <v>+2.25</v>
      </c>
      <c r="W48" s="2">
        <f>IF(W14&lt;8, 8-W14,"")</f>
        <v>5</v>
      </c>
      <c r="X48" s="2" t="str">
        <f>IF(X14&lt;3, 3-X14,"")</f>
        <v/>
      </c>
      <c r="Y48" s="2">
        <f>IF(Y14&lt;3, 3-Y14,"")</f>
        <v>1</v>
      </c>
      <c r="Z48" s="2">
        <f>IF(Z14&lt;3, 3-Z14,"")</f>
        <v>1</v>
      </c>
      <c r="AA48" s="2" t="str">
        <f>IF(AA14&lt;3, 3-AA14,"")</f>
        <v/>
      </c>
      <c r="AB48" s="2" t="str">
        <f>IF(AB14&lt;3, 3-AB14,"")</f>
        <v/>
      </c>
      <c r="AC48" s="2" t="str">
        <f>IF(AC14&lt;3, 3-AC14,"")</f>
        <v/>
      </c>
      <c r="AD48" s="2">
        <f>IF(AD14&lt;3, 3-AD14,"")</f>
        <v>1</v>
      </c>
      <c r="AE48" s="2">
        <f>IF(AE14&lt;3, 3-AE14,"")</f>
        <v>1</v>
      </c>
      <c r="AF48" s="2" t="str">
        <f>IF(AF14&lt;3, 3-AF14,"")</f>
        <v/>
      </c>
      <c r="AG48" s="2" t="str">
        <f>IF(AG14&lt;3, 3-AG14,"")</f>
        <v/>
      </c>
      <c r="AH48" s="2" t="str">
        <f>IF(AH14&lt;3, 3-AH14,"")</f>
        <v/>
      </c>
      <c r="AI48" s="2" t="str">
        <f>IF(AI14&lt;3, 3-AI14,"")</f>
        <v/>
      </c>
      <c r="AJ48" s="2" t="str">
        <f>IF(AJ14&lt;3, 3-AJ14,"")</f>
        <v/>
      </c>
      <c r="AK48" s="2" t="str">
        <f>IF(AK14&lt;3, 3-AK14,"")</f>
        <v/>
      </c>
      <c r="AL48" s="2" t="str">
        <f>IF(AL14&lt;3, 3-AL14,"")</f>
        <v/>
      </c>
      <c r="AM48" s="2" t="str">
        <f>IF(AM14&lt;3, 3-AM14,"")</f>
        <v/>
      </c>
    </row>
    <row r="49">
      <c r="B49" s="2" t="str">
        <v>-2.25</v>
      </c>
      <c r="C49" s="2">
        <f>IF(C15&lt;8,8-C15,"")</f>
        <v>1</v>
      </c>
      <c r="D49" s="2">
        <f>IF(D15&lt;4,4-D15,"")</f>
        <v>1</v>
      </c>
      <c r="E49" s="2" t="str">
        <f>IF(E15&lt;4,4-E15,"")</f>
        <v/>
      </c>
      <c r="F49" s="2" t="str">
        <f>IF(F15&lt;4,4-F15,"")</f>
        <v/>
      </c>
      <c r="G49" s="2" t="str">
        <f>IF(G15&lt;4,4-G15,"")</f>
        <v/>
      </c>
      <c r="H49" s="2" t="str">
        <f>IF(H15&lt;4,4-H15,"")</f>
        <v/>
      </c>
      <c r="I49" s="2" t="str">
        <f>IF(I15&lt;4,4-I15,"")</f>
        <v/>
      </c>
      <c r="J49" s="2" t="str">
        <f>IF(J15&lt;4,4-J15,"")</f>
        <v/>
      </c>
      <c r="K49" s="2" t="str">
        <f>IF(K15&lt;4,4-K15,"")</f>
        <v/>
      </c>
      <c r="L49" s="2" t="str">
        <f>IF(L15&lt;4,4-L15,"")</f>
        <v/>
      </c>
      <c r="M49" s="2" t="str">
        <f>IF(M15&lt;4,4-M15,"")</f>
        <v/>
      </c>
      <c r="N49" s="2" t="str">
        <f>IF(N15&lt;4,4-N15,"")</f>
        <v/>
      </c>
      <c r="O49" s="2" t="str">
        <f>IF(O15&lt;4,4-O15,"")</f>
        <v/>
      </c>
      <c r="P49" s="2" t="str">
        <f>IF(P15&lt;4,4-P15,"")</f>
        <v/>
      </c>
      <c r="Q49" s="2" t="str">
        <f>IF(Q15&lt;4,4-Q15,"")</f>
        <v/>
      </c>
      <c r="R49" s="2" t="str">
        <f>IF(R15&lt;4,4-R15,"")</f>
        <v/>
      </c>
      <c r="S49" s="2" t="str">
        <f>IF(S15&lt;4,4-S15,"")</f>
        <v/>
      </c>
      <c r="V49" s="2" t="str">
        <v>+2.50</v>
      </c>
      <c r="W49" s="2">
        <f>IF(W15&lt;8, 8-W15,"")</f>
        <v>7</v>
      </c>
      <c r="X49" s="2" t="str">
        <f>IF(X15&lt;3,3-X15,"")</f>
        <v/>
      </c>
      <c r="Y49" s="2">
        <f>IF(Y15&lt;3,3-Y15,"")</f>
        <v>2</v>
      </c>
      <c r="Z49" s="2" t="str">
        <f>IF(Z15&lt;3,3-Z15,"")</f>
        <v/>
      </c>
      <c r="AA49" s="2" t="str">
        <f>IF(AA15&lt;3,3-AA15,"")</f>
        <v/>
      </c>
      <c r="AB49" s="2" t="str">
        <f>IF(AB15&lt;3,3-AB15,"")</f>
        <v/>
      </c>
      <c r="AC49" s="2" t="str">
        <f>IF(AC15&lt;3,3-AC15,"")</f>
        <v/>
      </c>
      <c r="AD49" s="2" t="str">
        <f>IF(AD15&lt;3,3-AD15,"")</f>
        <v/>
      </c>
      <c r="AE49" s="2">
        <f>IF(AE15&lt;3,3-AE15,"")</f>
        <v>1</v>
      </c>
      <c r="AF49" s="2" t="str">
        <f>IF(AF15&lt;3,3-AF15,"")</f>
        <v/>
      </c>
      <c r="AG49" s="2" t="str">
        <f>IF(AG15&lt;3,3-AG15,"")</f>
        <v/>
      </c>
      <c r="AH49" s="2" t="str">
        <f>IF(AH15&lt;3,3-AH15,"")</f>
        <v/>
      </c>
      <c r="AI49" s="2" t="str">
        <f>IF(AI15&lt;3,3-AI15,"")</f>
        <v/>
      </c>
      <c r="AJ49" s="2" t="str">
        <f>IF(AJ15&lt;3,3-AJ15,"")</f>
        <v/>
      </c>
      <c r="AK49" s="2" t="str">
        <f>IF(AK15&lt;3,3-AK15,"")</f>
        <v/>
      </c>
      <c r="AL49" s="2" t="str">
        <f>IF(AL15&lt;3,3-AL15,"")</f>
        <v/>
      </c>
      <c r="AM49" s="2" t="str">
        <f>IF(AM15&lt;3,3-AM15,"")</f>
        <v/>
      </c>
    </row>
    <row r="50">
      <c r="B50" s="2" t="str">
        <v>-2.50</v>
      </c>
      <c r="C50" s="2" t="str">
        <f>IF(C16&lt;8,8-C16,"")</f>
        <v/>
      </c>
      <c r="D50" s="2">
        <f>IF(D16&lt;4,4-D16,"")</f>
        <v>1</v>
      </c>
      <c r="E50" s="2">
        <f>IF(E16&lt;4,4-E16,"")</f>
        <v>3</v>
      </c>
      <c r="F50" s="2" t="str">
        <f>IF(F16&lt;4,4-F16,"")</f>
        <v/>
      </c>
      <c r="G50" s="2" t="str">
        <f>IF(G16&lt;4,4-G16,"")</f>
        <v/>
      </c>
      <c r="H50" s="2" t="str">
        <f>IF(H16&lt;4,4-H16,"")</f>
        <v/>
      </c>
      <c r="I50" s="2" t="str">
        <f>IF(I16&lt;4,4-I16,"")</f>
        <v/>
      </c>
      <c r="J50" s="2" t="str">
        <f>IF(J16&lt;4,4-J16,"")</f>
        <v/>
      </c>
      <c r="K50" s="2" t="str">
        <f>IF(K16&lt;4,4-K16,"")</f>
        <v/>
      </c>
      <c r="L50" s="2" t="str">
        <f>IF(L16&lt;4,4-L16,"")</f>
        <v/>
      </c>
      <c r="M50" s="2" t="str">
        <f>IF(M16&lt;4,4-M16,"")</f>
        <v/>
      </c>
      <c r="N50" s="2" t="str">
        <f>IF(N16&lt;4,4-N16,"")</f>
        <v/>
      </c>
      <c r="O50" s="2" t="str">
        <f>IF(O16&lt;4,4-O16,"")</f>
        <v/>
      </c>
      <c r="P50" s="2" t="str">
        <f>IF(P16&lt;4,4-P16,"")</f>
        <v/>
      </c>
      <c r="Q50" s="2" t="str">
        <f>IF(Q16&lt;4,4-Q16,"")</f>
        <v/>
      </c>
      <c r="R50" s="2" t="str">
        <f>IF(R16&lt;4,4-R16,"")</f>
        <v/>
      </c>
      <c r="S50" s="2" t="str">
        <f>IF(S16&lt;4,4-S16,"")</f>
        <v/>
      </c>
      <c r="V50" s="2" t="str">
        <v>+2.75</v>
      </c>
      <c r="W50" s="2">
        <f>IF(W16&lt;8, 8-W16,"")</f>
        <v>8</v>
      </c>
      <c r="X50" s="2" t="str">
        <f>IF(X16&lt;3, 3-X16,"")</f>
        <v/>
      </c>
      <c r="Y50" s="2" t="str">
        <f>IF(Y16&lt;3, 3-Y16,"")</f>
        <v/>
      </c>
      <c r="Z50" s="2" t="str">
        <f>IF(Z16&lt;3, 3-Z16,"")</f>
        <v/>
      </c>
      <c r="AA50" s="2" t="str">
        <f>IF(AA16&lt;3, 3-AA16,"")</f>
        <v/>
      </c>
      <c r="AB50" s="2" t="str">
        <f>IF(AB16&lt;3, 3-AB16,"")</f>
        <v/>
      </c>
      <c r="AC50" s="2" t="str">
        <f>IF(AC16&lt;3, 3-AC16,"")</f>
        <v/>
      </c>
      <c r="AD50" s="2" t="str">
        <f>IF(AD16&lt;3, 3-AD16,"")</f>
        <v/>
      </c>
      <c r="AE50" s="2" t="str">
        <f>IF(AE16&lt;3, 3-AE16,"")</f>
        <v/>
      </c>
      <c r="AF50" s="2" t="str">
        <f>IF(AF16&lt;3, 3-AF16,"")</f>
        <v/>
      </c>
      <c r="AG50" s="2" t="str">
        <f>IF(AG16&lt;3, 3-AG16,"")</f>
        <v/>
      </c>
      <c r="AH50" s="2" t="str">
        <f>IF(AH16&lt;3, 3-AH16,"")</f>
        <v/>
      </c>
      <c r="AI50" s="2" t="str">
        <f>IF(AI16&lt;3, 3-AI16,"")</f>
        <v/>
      </c>
      <c r="AJ50" s="2" t="str">
        <f>IF(AJ16&lt;3, 3-AJ16,"")</f>
        <v/>
      </c>
      <c r="AK50" s="2" t="str">
        <f>IF(AK16&lt;3, 3-AK16,"")</f>
        <v/>
      </c>
      <c r="AL50" s="2" t="str">
        <f>IF(AL16&lt;3, 3-AL16,"")</f>
        <v/>
      </c>
      <c r="AM50" s="2" t="str">
        <f>IF(AM16&lt;3, 3-AM16,"")</f>
        <v/>
      </c>
    </row>
    <row r="51">
      <c r="B51" s="2" t="str">
        <v>-2.75</v>
      </c>
      <c r="C51" s="2" t="str">
        <f>IF(C17&lt;8,8-C17,"")</f>
        <v/>
      </c>
      <c r="D51" s="2" t="str">
        <f>IF(D17&lt;4,4-D17,"")</f>
        <v/>
      </c>
      <c r="E51" s="2" t="str">
        <f>IF(E17&lt;4,4-E17,"")</f>
        <v/>
      </c>
      <c r="F51" s="2" t="str">
        <f>IF(F17&lt;4,4-F17,"")</f>
        <v/>
      </c>
      <c r="G51" s="2">
        <f>IF(G17&lt;4,4-G17,"")</f>
        <v>1</v>
      </c>
      <c r="H51" s="2" t="str">
        <f>IF(H17&lt;4,4-H17,"")</f>
        <v/>
      </c>
      <c r="I51" s="2" t="str">
        <f>IF(I17&lt;4,4-I17,"")</f>
        <v/>
      </c>
      <c r="J51" s="2" t="str">
        <f>IF(J17&lt;4,4-J17,"")</f>
        <v/>
      </c>
      <c r="K51" s="2" t="str">
        <f>IF(K17&lt;4,4-K17,"")</f>
        <v/>
      </c>
      <c r="L51" s="2" t="str">
        <f>IF(L17&lt;4,4-L17,"")</f>
        <v/>
      </c>
      <c r="M51" s="2">
        <f>IF(M17&lt;4,4-M17,"")</f>
        <v>1</v>
      </c>
      <c r="N51" s="2" t="str">
        <f>IF(N17&lt;4,4-N17,"")</f>
        <v/>
      </c>
      <c r="O51" s="2" t="str">
        <f>IF(O17&lt;4,4-O17,"")</f>
        <v/>
      </c>
      <c r="P51" s="2" t="str">
        <f>IF(P17&lt;4,4-P17,"")</f>
        <v/>
      </c>
      <c r="Q51" s="2" t="str">
        <f>IF(Q17&lt;4,4-Q17,"")</f>
        <v/>
      </c>
      <c r="R51" s="2" t="str">
        <f>IF(R17&lt;4,4-R17,"")</f>
        <v/>
      </c>
      <c r="S51" s="2" t="str">
        <f>IF(S17&lt;4,4-S17,"")</f>
        <v/>
      </c>
      <c r="V51" s="2" t="str">
        <v>+3.00</v>
      </c>
      <c r="W51" s="2">
        <f>IF(W17&lt;8, 8-W17,"")</f>
        <v>2</v>
      </c>
      <c r="X51" s="2" t="str">
        <f>IF(X17&lt;3,3-X17,"")</f>
        <v/>
      </c>
      <c r="Y51" s="2">
        <f>IF(Y17&lt;3,3-Y17,"")</f>
        <v>1</v>
      </c>
      <c r="Z51" s="2" t="str">
        <f>IF(Z17&lt;3,3-Z17,"")</f>
        <v/>
      </c>
      <c r="AA51" s="2" t="str">
        <f>IF(AA17&lt;3,3-AA17,"")</f>
        <v/>
      </c>
      <c r="AB51" s="2" t="str">
        <f>IF(AB17&lt;3,3-AB17,"")</f>
        <v/>
      </c>
      <c r="AC51" s="2" t="str">
        <f>IF(AC17&lt;3,3-AC17,"")</f>
        <v/>
      </c>
      <c r="AD51" s="2" t="str">
        <f>IF(AD17&lt;3,3-AD17,"")</f>
        <v/>
      </c>
      <c r="AE51" s="2" t="str">
        <f>IF(AE17&lt;3,3-AE17,"")</f>
        <v/>
      </c>
      <c r="AF51" s="2" t="str">
        <f>IF(AF17&lt;3,3-AF17,"")</f>
        <v/>
      </c>
      <c r="AG51" s="2" t="str">
        <f>IF(AG17&lt;3,3-AG17,"")</f>
        <v/>
      </c>
      <c r="AH51" s="2">
        <f>IF(AH17&lt;3,3-AH17,"")</f>
        <v>1</v>
      </c>
      <c r="AI51" s="2" t="str">
        <f>IF(AI17&lt;3,3-AI17,"")</f>
        <v/>
      </c>
      <c r="AJ51" s="2" t="str">
        <f>IF(AJ17&lt;3,3-AJ17,"")</f>
        <v/>
      </c>
      <c r="AK51" s="2" t="str">
        <f>IF(AK17&lt;3,3-AK17,"")</f>
        <v/>
      </c>
      <c r="AL51" s="2" t="str">
        <f>IF(AL17&lt;3,3-AL17,"")</f>
        <v/>
      </c>
      <c r="AM51" s="2" t="str">
        <f>IF(AM17&lt;3,3-AM17,"")</f>
        <v/>
      </c>
    </row>
    <row r="52">
      <c r="B52" s="2" t="str">
        <v>-3.00</v>
      </c>
      <c r="C52" s="2" t="str">
        <f>IF(C18&lt;8,8-C18,"")</f>
        <v/>
      </c>
      <c r="D52" s="2">
        <f>IF(D18&lt;4,4-D18,"")</f>
        <v>1</v>
      </c>
      <c r="E52" s="2">
        <f>IF(E18&lt;4,4-E18,"")</f>
        <v>1</v>
      </c>
      <c r="F52" s="2" t="str">
        <f>IF(F18&lt;4,4-F18,"")</f>
        <v/>
      </c>
      <c r="G52" s="2" t="str">
        <f>IF(G18&lt;4,4-G18,"")</f>
        <v/>
      </c>
      <c r="H52" s="2" t="str">
        <f>IF(H18&lt;4,4-H18,"")</f>
        <v/>
      </c>
      <c r="I52" s="2" t="str">
        <f>IF(I18&lt;4,4-I18,"")</f>
        <v/>
      </c>
      <c r="J52" s="2" t="str">
        <f>IF(J18&lt;4,4-J18,"")</f>
        <v/>
      </c>
      <c r="K52" s="2" t="str">
        <f>IF(K18&lt;4,4-K18,"")</f>
        <v/>
      </c>
      <c r="L52" s="2" t="str">
        <f>IF(L18&lt;4,4-L18,"")</f>
        <v/>
      </c>
      <c r="M52" s="2" t="str">
        <f>IF(M18&lt;4,4-M18,"")</f>
        <v/>
      </c>
      <c r="N52" s="2" t="str">
        <f>IF(N18&lt;4,4-N18,"")</f>
        <v/>
      </c>
      <c r="O52" s="2" t="str">
        <f>IF(O18&lt;4,4-O18,"")</f>
        <v/>
      </c>
      <c r="P52" s="2" t="str">
        <f>IF(P18&lt;4,4-P18,"")</f>
        <v/>
      </c>
      <c r="Q52" s="2" t="str">
        <f>IF(Q18&lt;4,4-Q18,"")</f>
        <v/>
      </c>
      <c r="R52" s="2" t="str">
        <f>IF(R18&lt;4,4-R18,"")</f>
        <v/>
      </c>
      <c r="S52" s="2" t="str">
        <f>IF(S18&lt;4,4-S18,"")</f>
        <v/>
      </c>
      <c r="V52" s="2" t="str">
        <v>+3.25</v>
      </c>
      <c r="W52" s="2" t="str">
        <f>IF(W18&lt;8, 8-W18,"")</f>
        <v/>
      </c>
      <c r="X52" s="2" t="str">
        <f>IF(X18&lt;3, 3-X18,"")</f>
        <v/>
      </c>
      <c r="Y52" s="2">
        <f>IF(Y18&lt;3, 3-Y18,"")</f>
        <v>1</v>
      </c>
      <c r="Z52" s="2" t="str">
        <f>IF(Z18&lt;3, 3-Z18,"")</f>
        <v/>
      </c>
      <c r="AA52" s="2" t="str">
        <f>IF(AA18&lt;3, 3-AA18,"")</f>
        <v/>
      </c>
      <c r="AB52" s="2" t="str">
        <f>IF(AB18&lt;3, 3-AB18,"")</f>
        <v/>
      </c>
      <c r="AC52" s="2" t="str">
        <f>IF(AC18&lt;3, 3-AC18,"")</f>
        <v/>
      </c>
      <c r="AD52" s="2" t="str">
        <f>IF(AD18&lt;3, 3-AD18,"")</f>
        <v/>
      </c>
      <c r="AE52" s="2" t="str">
        <f>IF(AE18&lt;3, 3-AE18,"")</f>
        <v/>
      </c>
      <c r="AF52" s="2" t="str">
        <f>IF(AF18&lt;3, 3-AF18,"")</f>
        <v/>
      </c>
      <c r="AG52" s="2">
        <f>IF(AG18&lt;3, 3-AG18,"")</f>
        <v>2</v>
      </c>
      <c r="AH52" s="2" t="str">
        <f>IF(AH18&lt;3, 3-AH18,"")</f>
        <v/>
      </c>
      <c r="AI52" s="2" t="str">
        <f>IF(AI18&lt;3, 3-AI18,"")</f>
        <v/>
      </c>
      <c r="AJ52" s="2" t="str">
        <f>IF(AJ18&lt;3, 3-AJ18,"")</f>
        <v/>
      </c>
      <c r="AK52" s="2" t="str">
        <f>IF(AK18&lt;3, 3-AK18,"")</f>
        <v/>
      </c>
      <c r="AL52" s="2" t="str">
        <f>IF(AL18&lt;3, 3-AL18,"")</f>
        <v/>
      </c>
      <c r="AM52" s="2" t="str">
        <f>IF(AM18&lt;3, 3-AM18,"")</f>
        <v/>
      </c>
    </row>
    <row r="53">
      <c r="B53" s="2" t="str">
        <v>-3.25</v>
      </c>
      <c r="C53" s="2" t="str">
        <f>IF(C19&lt;8,8-C19,"")</f>
        <v/>
      </c>
      <c r="D53" s="2" t="str">
        <f>IF(D19&lt;4,4-D19,"")</f>
        <v/>
      </c>
      <c r="E53" s="2">
        <f>IF(E19&lt;4,4-E19,"")</f>
        <v>1</v>
      </c>
      <c r="F53" s="2" t="str">
        <f>IF(F19&lt;4,4-F19,"")</f>
        <v/>
      </c>
      <c r="G53" s="2" t="str">
        <f>IF(G19&lt;4,4-G19,"")</f>
        <v/>
      </c>
      <c r="H53" s="2" t="str">
        <f>IF(H19&lt;4,4-H19,"")</f>
        <v/>
      </c>
      <c r="I53" s="2" t="str">
        <f>IF(I19&lt;4,4-I19,"")</f>
        <v/>
      </c>
      <c r="J53" s="2" t="str">
        <f>IF(J19&lt;4,4-J19,"")</f>
        <v/>
      </c>
      <c r="K53" s="2">
        <f>IF(K19&lt;4,4-K19,"")</f>
        <v>1</v>
      </c>
      <c r="L53" s="2" t="str">
        <f>IF(L19&lt;4,4-L19,"")</f>
        <v/>
      </c>
      <c r="M53" s="2" t="str">
        <f>IF(M19&lt;4,4-M19,"")</f>
        <v/>
      </c>
      <c r="N53" s="2" t="str">
        <f>IF(N19&lt;4,4-N19,"")</f>
        <v/>
      </c>
      <c r="O53" s="2" t="str">
        <f>IF(O19&lt;4,4-O19,"")</f>
        <v/>
      </c>
      <c r="P53" s="2" t="str">
        <f>IF(P19&lt;4,4-P19,"")</f>
        <v/>
      </c>
      <c r="Q53" s="2" t="str">
        <f>IF(Q19&lt;4,4-Q19,"")</f>
        <v/>
      </c>
      <c r="R53" s="2" t="str">
        <f>IF(R19&lt;4,4-R19,"")</f>
        <v/>
      </c>
      <c r="S53" s="2" t="str">
        <f>IF(S19&lt;4,4-S19,"")</f>
        <v/>
      </c>
      <c r="V53" s="2" t="str">
        <v>+3.50</v>
      </c>
      <c r="W53" s="2" t="str">
        <f>IF(W19&lt;8, 8-W19,"")</f>
        <v/>
      </c>
      <c r="X53" s="2" t="str">
        <f>IF(X19&lt;3,3-X19,"")</f>
        <v/>
      </c>
      <c r="Y53" s="2" t="str">
        <f>IF(Y19&lt;3,3-Y19,"")</f>
        <v/>
      </c>
      <c r="Z53" s="2" t="str">
        <f>IF(Z19&lt;3,3-Z19,"")</f>
        <v/>
      </c>
      <c r="AA53" s="2" t="str">
        <f>IF(AA19&lt;3,3-AA19,"")</f>
        <v/>
      </c>
      <c r="AB53" s="2" t="str">
        <f>IF(AB19&lt;3,3-AB19,"")</f>
        <v/>
      </c>
      <c r="AC53" s="2" t="str">
        <f>IF(AC19&lt;3,3-AC19,"")</f>
        <v/>
      </c>
      <c r="AD53" s="2" t="str">
        <f>IF(AD19&lt;3,3-AD19,"")</f>
        <v/>
      </c>
      <c r="AE53" s="2" t="str">
        <f>IF(AE19&lt;3,3-AE19,"")</f>
        <v/>
      </c>
      <c r="AF53" s="2">
        <f>IF(AF19&lt;3,3-AF19,"")</f>
        <v>1</v>
      </c>
      <c r="AG53" s="2" t="str">
        <f>IF(AG19&lt;3,3-AG19,"")</f>
        <v/>
      </c>
      <c r="AH53" s="2" t="str">
        <f>IF(AH19&lt;3,3-AH19,"")</f>
        <v/>
      </c>
      <c r="AI53" s="2">
        <f>IF(AI19&lt;3,3-AI19,"")</f>
        <v>1</v>
      </c>
      <c r="AJ53" s="2" t="str">
        <f>IF(AJ19&lt;3,3-AJ19,"")</f>
        <v/>
      </c>
      <c r="AK53" s="2" t="str">
        <f>IF(AK19&lt;3,3-AK19,"")</f>
        <v/>
      </c>
      <c r="AL53" s="2" t="str">
        <f>IF(AL19&lt;3,3-AL19,"")</f>
        <v/>
      </c>
      <c r="AM53" s="2">
        <f>IF(AM19&lt;3,3-AM19,"")</f>
        <v>1</v>
      </c>
    </row>
    <row r="54">
      <c r="B54" s="2" t="str">
        <v>-3.50</v>
      </c>
      <c r="C54" s="2" t="str">
        <f>IF(C20&lt;8,8-C20,"")</f>
        <v/>
      </c>
      <c r="D54" s="2" t="str">
        <f>IF(D20&lt;4,4-D20,"")</f>
        <v/>
      </c>
      <c r="E54" s="2" t="str">
        <f>IF(E20&lt;4,4-E20,"")</f>
        <v/>
      </c>
      <c r="F54" s="2" t="str">
        <f>IF(F20&lt;4,4-F20,"")</f>
        <v/>
      </c>
      <c r="G54" s="2">
        <f>IF(G20&lt;4,4-G20,"")</f>
        <v>1</v>
      </c>
      <c r="H54" s="2" t="str">
        <f>IF(H20&lt;4,4-H20,"")</f>
        <v/>
      </c>
      <c r="I54" s="2" t="str">
        <f>IF(I20&lt;4,4-I20,"")</f>
        <v/>
      </c>
      <c r="J54" s="2" t="str">
        <f>IF(J20&lt;4,4-J20,"")</f>
        <v/>
      </c>
      <c r="K54" s="2" t="str">
        <f>IF(K20&lt;4,4-K20,"")</f>
        <v/>
      </c>
      <c r="L54" s="2" t="str">
        <f>IF(L20&lt;4,4-L20,"")</f>
        <v/>
      </c>
      <c r="M54" s="2" t="str">
        <f>IF(M20&lt;4,4-M20,"")</f>
        <v/>
      </c>
      <c r="N54" s="2" t="str">
        <f>IF(N20&lt;4,4-N20,"")</f>
        <v/>
      </c>
      <c r="O54" s="2" t="str">
        <f>IF(O20&lt;4,4-O20,"")</f>
        <v/>
      </c>
      <c r="P54" s="2" t="str">
        <f>IF(P20&lt;4,4-P20,"")</f>
        <v/>
      </c>
      <c r="Q54" s="2" t="str">
        <f>IF(Q20&lt;4,4-Q20,"")</f>
        <v/>
      </c>
      <c r="R54" s="2" t="str">
        <f>IF(R20&lt;4,4-R20,"")</f>
        <v/>
      </c>
      <c r="S54" s="2" t="str">
        <f>IF(S20&lt;4,4-S20,"")</f>
        <v/>
      </c>
      <c r="V54" s="2" t="str">
        <v>+3.75</v>
      </c>
      <c r="W54" s="2">
        <f>IF(W20&lt;8, 8-W20,"")</f>
        <v>1</v>
      </c>
      <c r="X54" s="2" t="str">
        <f>IF(X20&lt;3, 3-X20,"")</f>
        <v/>
      </c>
      <c r="Y54" s="2" t="str">
        <f>IF(Y20&lt;3, 3-Y20,"")</f>
        <v/>
      </c>
      <c r="Z54" s="2" t="str">
        <f>IF(Z20&lt;3, 3-Z20,"")</f>
        <v/>
      </c>
      <c r="AA54" s="2" t="str">
        <f>IF(AA20&lt;3, 3-AA20,"")</f>
        <v/>
      </c>
      <c r="AB54" s="2" t="str">
        <f>IF(AB20&lt;3, 3-AB20,"")</f>
        <v/>
      </c>
      <c r="AC54" s="2" t="str">
        <f>IF(AC20&lt;3, 3-AC20,"")</f>
        <v/>
      </c>
      <c r="AD54" s="2" t="str">
        <f>IF(AD20&lt;3, 3-AD20,"")</f>
        <v/>
      </c>
      <c r="AE54" s="2" t="str">
        <f>IF(AE20&lt;3, 3-AE20,"")</f>
        <v/>
      </c>
      <c r="AF54" s="2" t="str">
        <f>IF(AF20&lt;3, 3-AF20,"")</f>
        <v/>
      </c>
      <c r="AG54" s="2" t="str">
        <f>IF(AG20&lt;3, 3-AG20,"")</f>
        <v/>
      </c>
      <c r="AH54" s="2">
        <f>IF(AH20&lt;3, 3-AH20,"")</f>
        <v>1</v>
      </c>
      <c r="AI54" s="2" t="str">
        <f>IF(AI20&lt;3, 3-AI20,"")</f>
        <v/>
      </c>
      <c r="AJ54" s="2" t="str">
        <f>IF(AJ20&lt;3, 3-AJ20,"")</f>
        <v/>
      </c>
      <c r="AK54" s="2" t="str">
        <f>IF(AK20&lt;3, 3-AK20,"")</f>
        <v/>
      </c>
      <c r="AL54" s="2" t="str">
        <f>IF(AL20&lt;3, 3-AL20,"")</f>
        <v/>
      </c>
      <c r="AM54" s="2" t="str">
        <f>IF(AM20&lt;3, 3-AM20,"")</f>
        <v/>
      </c>
    </row>
    <row r="55">
      <c r="B55" s="2" t="str">
        <v>-3.75</v>
      </c>
      <c r="C55" s="2" t="str">
        <f>IF(C21&lt;8,8-C21,"")</f>
        <v/>
      </c>
      <c r="D55" s="2" t="str">
        <f>IF(D21&lt;4,4-D21,"")</f>
        <v/>
      </c>
      <c r="E55" s="2" t="str">
        <f>IF(E21&lt;4,4-E21,"")</f>
        <v/>
      </c>
      <c r="F55" s="2" t="str">
        <f>IF(F21&lt;4,4-F21,"")</f>
        <v/>
      </c>
      <c r="G55" s="2" t="str">
        <f>IF(G21&lt;4,4-G21,"")</f>
        <v/>
      </c>
      <c r="H55" s="2" t="str">
        <f>IF(H21&lt;4,4-H21,"")</f>
        <v/>
      </c>
      <c r="I55" s="2" t="str">
        <f>IF(I21&lt;4,4-I21,"")</f>
        <v/>
      </c>
      <c r="J55" s="2" t="str">
        <f>IF(J21&lt;4,4-J21,"")</f>
        <v/>
      </c>
      <c r="K55" s="2" t="str">
        <f>IF(K21&lt;4,4-K21,"")</f>
        <v/>
      </c>
      <c r="L55" s="2" t="str">
        <f>IF(L21&lt;4,4-L21,"")</f>
        <v/>
      </c>
      <c r="M55" s="2" t="str">
        <f>IF(M21&lt;4,4-M21,"")</f>
        <v/>
      </c>
      <c r="N55" s="2" t="str">
        <f>IF(N21&lt;4,4-N21,"")</f>
        <v/>
      </c>
      <c r="O55" s="2" t="str">
        <f>IF(O21&lt;4,4-O21,"")</f>
        <v/>
      </c>
      <c r="P55" s="2" t="str">
        <f>IF(P21&lt;4,4-P21,"")</f>
        <v/>
      </c>
      <c r="Q55" s="2" t="str">
        <f>IF(Q21&lt;4,4-Q21,"")</f>
        <v/>
      </c>
      <c r="R55" s="2" t="str">
        <f>IF(R21&lt;4,4-R21,"")</f>
        <v/>
      </c>
      <c r="S55" s="2">
        <f>IF(S21&lt;4,4-S21,"")</f>
        <v>1</v>
      </c>
      <c r="V55" s="2" t="str">
        <v>+4.00</v>
      </c>
      <c r="W55" s="2" t="str">
        <f>IF(W21&lt;8, 8-W21,"")</f>
        <v/>
      </c>
      <c r="X55" s="2" t="str">
        <f>IF(X21&lt;3,3-X21,"")</f>
        <v/>
      </c>
      <c r="Y55" s="2" t="str">
        <f>IF(Y21&lt;3,3-Y21,"")</f>
        <v/>
      </c>
      <c r="Z55" s="2" t="str">
        <f>IF(Z21&lt;3,3-Z21,"")</f>
        <v/>
      </c>
      <c r="AA55" s="2" t="str">
        <f>IF(AA21&lt;3,3-AA21,"")</f>
        <v/>
      </c>
      <c r="AB55" s="2" t="str">
        <f>IF(AB21&lt;3,3-AB21,"")</f>
        <v/>
      </c>
      <c r="AC55" s="2" t="str">
        <f>IF(AC21&lt;3,3-AC21,"")</f>
        <v/>
      </c>
      <c r="AD55" s="2" t="str">
        <f>IF(AD21&lt;3,3-AD21,"")</f>
        <v/>
      </c>
      <c r="AE55" s="2" t="str">
        <f>IF(AE21&lt;3,3-AE21,"")</f>
        <v/>
      </c>
      <c r="AF55" s="2" t="str">
        <f>IF(AF21&lt;3,3-AF21,"")</f>
        <v/>
      </c>
      <c r="AG55" s="2" t="str">
        <f>IF(AG21&lt;3,3-AG21,"")</f>
        <v/>
      </c>
      <c r="AH55" s="2" t="str">
        <f>IF(AH21&lt;3,3-AH21,"")</f>
        <v/>
      </c>
      <c r="AI55" s="2" t="str">
        <f>IF(AI21&lt;3,3-AI21,"")</f>
        <v/>
      </c>
      <c r="AJ55" s="2" t="str">
        <f>IF(AJ21&lt;3,3-AJ21,"")</f>
        <v/>
      </c>
      <c r="AK55" s="2" t="str">
        <f>IF(AK21&lt;3,3-AK21,"")</f>
        <v/>
      </c>
      <c r="AL55" s="2" t="str">
        <f>IF(AL21&lt;3,3-AL21,"")</f>
        <v/>
      </c>
      <c r="AM55" s="2" t="str">
        <f>IF(AM21&lt;3,3-AM21,"")</f>
        <v/>
      </c>
    </row>
    <row r="56">
      <c r="B56" s="2" t="str">
        <v>-4.00</v>
      </c>
      <c r="C56" s="2" t="str">
        <f>IF(C22&lt;8,8-C22,"")</f>
        <v/>
      </c>
      <c r="D56" s="2" t="str">
        <f>IF(D22&lt;4,4-D22,"")</f>
        <v/>
      </c>
      <c r="E56" s="2" t="str">
        <f>IF(E22&lt;4,4-E22,"")</f>
        <v/>
      </c>
      <c r="F56" s="2" t="str">
        <f>IF(F22&lt;4,4-F22,"")</f>
        <v/>
      </c>
      <c r="G56" s="2" t="str">
        <f>IF(G22&lt;4,4-G22,"")</f>
        <v/>
      </c>
      <c r="H56" s="2" t="str">
        <f>IF(H22&lt;4,4-H22,"")</f>
        <v/>
      </c>
      <c r="I56" s="2" t="str">
        <f>IF(I22&lt;4,4-I22,"")</f>
        <v/>
      </c>
      <c r="J56" s="2" t="str">
        <f>IF(J22&lt;4,4-J22,"")</f>
        <v/>
      </c>
      <c r="K56" s="2" t="str">
        <f>IF(K22&lt;4,4-K22,"")</f>
        <v/>
      </c>
      <c r="L56" s="2" t="str">
        <f>IF(L22&lt;4,4-L22,"")</f>
        <v/>
      </c>
      <c r="M56" s="2" t="str">
        <f>IF(M22&lt;4,4-M22,"")</f>
        <v/>
      </c>
      <c r="N56" s="2" t="str">
        <f>IF(N22&lt;4,4-N22,"")</f>
        <v/>
      </c>
      <c r="O56" s="2" t="str">
        <f>IF(O22&lt;4,4-O22,"")</f>
        <v/>
      </c>
      <c r="P56" s="2" t="str">
        <f>IF(P22&lt;4,4-P22,"")</f>
        <v/>
      </c>
      <c r="Q56" s="2" t="str">
        <f>IF(Q22&lt;4,4-Q22,"")</f>
        <v/>
      </c>
      <c r="R56" s="2" t="str">
        <f>IF(R22&lt;4,4-R22,"")</f>
        <v/>
      </c>
      <c r="S56" s="2" t="str">
        <f>IF(S22&lt;4,4-S22,"")</f>
        <v/>
      </c>
      <c r="V56" s="2" t="str">
        <v>+4.25</v>
      </c>
      <c r="W56" s="2">
        <f>IF(W22&lt;8, 8-W22,"")</f>
        <v>1</v>
      </c>
      <c r="X56" s="2" t="str">
        <f>IF(X22&lt;3, 3-X22,"")</f>
        <v/>
      </c>
      <c r="Y56" s="2" t="str">
        <f>IF(Y22&lt;3, 3-Y22,"")</f>
        <v/>
      </c>
      <c r="Z56" s="2" t="str">
        <f>IF(Z22&lt;3, 3-Z22,"")</f>
        <v/>
      </c>
      <c r="AA56" s="2" t="str">
        <f>IF(AA22&lt;3, 3-AA22,"")</f>
        <v/>
      </c>
      <c r="AB56" s="2" t="str">
        <f>IF(AB22&lt;3, 3-AB22,"")</f>
        <v/>
      </c>
      <c r="AC56" s="2" t="str">
        <f>IF(AC22&lt;3, 3-AC22,"")</f>
        <v/>
      </c>
      <c r="AD56" s="2" t="str">
        <f>IF(AD22&lt;3, 3-AD22,"")</f>
        <v/>
      </c>
      <c r="AE56" s="2" t="str">
        <f>IF(AE22&lt;3, 3-AE22,"")</f>
        <v/>
      </c>
      <c r="AF56" s="2" t="str">
        <f>IF(AF22&lt;3, 3-AF22,"")</f>
        <v/>
      </c>
      <c r="AG56" s="2" t="str">
        <f>IF(AG22&lt;3, 3-AG22,"")</f>
        <v/>
      </c>
      <c r="AH56" s="2" t="str">
        <f>IF(AH22&lt;3, 3-AH22,"")</f>
        <v/>
      </c>
      <c r="AI56" s="2" t="str">
        <f>IF(AI22&lt;3, 3-AI22,"")</f>
        <v/>
      </c>
      <c r="AJ56" s="2" t="str">
        <f>IF(AJ22&lt;3, 3-AJ22,"")</f>
        <v/>
      </c>
      <c r="AK56" s="2" t="str">
        <f>IF(AK22&lt;3, 3-AK22,"")</f>
        <v/>
      </c>
      <c r="AL56" s="2" t="str">
        <f>IF(AL22&lt;3, 3-AL22,"")</f>
        <v/>
      </c>
      <c r="AM56" s="2">
        <f>IF(AM22&lt;3, 3-AM22,"")</f>
        <v>1</v>
      </c>
    </row>
    <row r="57">
      <c r="B57" s="2" t="str">
        <v>-4.25</v>
      </c>
      <c r="C57" s="2" t="str">
        <f>IF(C23&lt;8,8-C23,"")</f>
        <v/>
      </c>
      <c r="D57" s="2" t="str">
        <f>IF(D23&lt;4,4-D23,"")</f>
        <v/>
      </c>
      <c r="E57" s="2" t="str">
        <f>IF(E23&lt;4,4-E23,"")</f>
        <v/>
      </c>
      <c r="F57" s="2" t="str">
        <f>IF(F23&lt;4,4-F23,"")</f>
        <v/>
      </c>
      <c r="G57" s="2" t="str">
        <f>IF(G23&lt;4,4-G23,"")</f>
        <v/>
      </c>
      <c r="H57" s="2" t="str">
        <f>IF(H23&lt;4,4-H23,"")</f>
        <v/>
      </c>
      <c r="I57" s="2" t="str">
        <f>IF(I23&lt;4,4-I23,"")</f>
        <v/>
      </c>
      <c r="J57" s="2" t="str">
        <f>IF(J23&lt;4,4-J23,"")</f>
        <v/>
      </c>
      <c r="K57" s="2" t="str">
        <f>IF(K23&lt;4,4-K23,"")</f>
        <v/>
      </c>
      <c r="L57" s="2" t="str">
        <f>IF(L23&lt;4,4-L23,"")</f>
        <v/>
      </c>
      <c r="M57" s="2" t="str">
        <f>IF(M23&lt;4,4-M23,"")</f>
        <v/>
      </c>
      <c r="N57" s="2" t="str">
        <f>IF(N23&lt;4,4-N23,"")</f>
        <v/>
      </c>
      <c r="O57" s="2" t="str">
        <f>IF(O23&lt;4,4-O23,"")</f>
        <v/>
      </c>
      <c r="P57" s="2" t="str">
        <f>IF(P23&lt;4,4-P23,"")</f>
        <v/>
      </c>
      <c r="Q57" s="2" t="str">
        <f>IF(Q23&lt;4,4-Q23,"")</f>
        <v/>
      </c>
      <c r="R57" s="2" t="str">
        <f>IF(R23&lt;4,4-R23,"")</f>
        <v/>
      </c>
      <c r="S57" s="2" t="str">
        <f>IF(S23&lt;4,4-S23,"")</f>
        <v/>
      </c>
      <c r="V57" s="2" t="str">
        <v>+4.50</v>
      </c>
      <c r="W57" s="2" t="str">
        <f>IF(W23&lt;8, 8-W23,"")</f>
        <v/>
      </c>
      <c r="X57" s="2" t="str">
        <f>IF(X23&lt;3,3-X23,"")</f>
        <v/>
      </c>
      <c r="Y57" s="2" t="str">
        <f>IF(Y23&lt;3,3-Y23,"")</f>
        <v/>
      </c>
      <c r="Z57" s="2" t="str">
        <f>IF(Z23&lt;3,3-Z23,"")</f>
        <v/>
      </c>
      <c r="AA57" s="2" t="str">
        <f>IF(AA23&lt;3,3-AA23,"")</f>
        <v/>
      </c>
      <c r="AB57" s="2" t="str">
        <f>IF(AB23&lt;3,3-AB23,"")</f>
        <v/>
      </c>
      <c r="AC57" s="2" t="str">
        <f>IF(AC23&lt;3,3-AC23,"")</f>
        <v/>
      </c>
      <c r="AD57" s="2" t="str">
        <f>IF(AD23&lt;3,3-AD23,"")</f>
        <v/>
      </c>
      <c r="AE57" s="2" t="str">
        <f>IF(AE23&lt;3,3-AE23,"")</f>
        <v/>
      </c>
      <c r="AF57" s="2" t="str">
        <f>IF(AF23&lt;3,3-AF23,"")</f>
        <v/>
      </c>
      <c r="AG57" s="2" t="str">
        <f>IF(AG23&lt;3,3-AG23,"")</f>
        <v/>
      </c>
      <c r="AH57" s="2" t="str">
        <f>IF(AH23&lt;3,3-AH23,"")</f>
        <v/>
      </c>
      <c r="AI57" s="2" t="str">
        <f>IF(AI23&lt;3,3-AI23,"")</f>
        <v/>
      </c>
      <c r="AJ57" s="2" t="str">
        <f>IF(AJ23&lt;3,3-AJ23,"")</f>
        <v/>
      </c>
      <c r="AK57" s="2" t="str">
        <f>IF(AK23&lt;3,3-AK23,"")</f>
        <v/>
      </c>
      <c r="AL57" s="2" t="str">
        <f>IF(AL23&lt;3,3-AL23,"")</f>
        <v/>
      </c>
      <c r="AM57" s="2" t="str">
        <f>IF(AM23&lt;3,3-AM23,"")</f>
        <v/>
      </c>
    </row>
    <row r="58">
      <c r="B58" s="2" t="str">
        <v>-4.50</v>
      </c>
      <c r="C58" s="2">
        <f>IF(C24&lt;8,8-C24,"")</f>
        <v>1</v>
      </c>
      <c r="D58" s="2" t="str">
        <f>IF(D24&lt;4,4-D24,"")</f>
        <v/>
      </c>
      <c r="E58" s="2" t="str">
        <f>IF(E24&lt;4,4-E24,"")</f>
        <v/>
      </c>
      <c r="F58" s="2" t="str">
        <f>IF(F24&lt;4,4-F24,"")</f>
        <v/>
      </c>
      <c r="G58" s="2" t="str">
        <f>IF(G24&lt;4,4-G24,"")</f>
        <v/>
      </c>
      <c r="H58" s="2" t="str">
        <f>IF(H24&lt;4,4-H24,"")</f>
        <v/>
      </c>
      <c r="I58" s="2" t="str">
        <f>IF(I24&lt;4,4-I24,"")</f>
        <v/>
      </c>
      <c r="J58" s="2" t="str">
        <f>IF(J24&lt;4,4-J24,"")</f>
        <v/>
      </c>
      <c r="K58" s="2">
        <f>IF(K24&lt;4,4-K24,"")</f>
        <v>1</v>
      </c>
      <c r="L58" s="2" t="str">
        <f>IF(L24&lt;4,4-L24,"")</f>
        <v/>
      </c>
      <c r="M58" s="2" t="str">
        <f>IF(M24&lt;4,4-M24,"")</f>
        <v/>
      </c>
      <c r="N58" s="2" t="str">
        <f>IF(N24&lt;4,4-N24,"")</f>
        <v/>
      </c>
      <c r="O58" s="2" t="str">
        <f>IF(O24&lt;4,4-O24,"")</f>
        <v/>
      </c>
      <c r="P58" s="2" t="str">
        <f>IF(P24&lt;4,4-P24,"")</f>
        <v/>
      </c>
      <c r="Q58" s="2" t="str">
        <f>IF(Q24&lt;4,4-Q24,"")</f>
        <v/>
      </c>
      <c r="R58" s="2" t="str">
        <f>IF(R24&lt;4,4-R24,"")</f>
        <v/>
      </c>
      <c r="S58" s="2" t="str">
        <f>IF(S24&lt;4,4-S24,"")</f>
        <v/>
      </c>
      <c r="V58" s="2" t="str">
        <v>+4.75</v>
      </c>
      <c r="W58" s="2" t="str">
        <f>IF(W24&lt;8, 8-W24,"")</f>
        <v/>
      </c>
      <c r="X58" s="2" t="str">
        <f>IF(X24&lt;3, 3-X24,"")</f>
        <v/>
      </c>
      <c r="Y58" s="2" t="str">
        <f>IF(Y24&lt;3, 3-Y24,"")</f>
        <v/>
      </c>
      <c r="Z58" s="2" t="str">
        <f>IF(Z24&lt;3, 3-Z24,"")</f>
        <v/>
      </c>
      <c r="AA58" s="2" t="str">
        <f>IF(AA24&lt;3, 3-AA24,"")</f>
        <v/>
      </c>
      <c r="AB58" s="2" t="str">
        <f>IF(AB24&lt;3, 3-AB24,"")</f>
        <v/>
      </c>
      <c r="AC58" s="2" t="str">
        <f>IF(AC24&lt;3, 3-AC24,"")</f>
        <v/>
      </c>
      <c r="AD58" s="2" t="str">
        <f>IF(AD24&lt;3, 3-AD24,"")</f>
        <v/>
      </c>
      <c r="AE58" s="2" t="str">
        <f>IF(AE24&lt;3, 3-AE24,"")</f>
        <v/>
      </c>
      <c r="AF58" s="2" t="str">
        <f>IF(AF24&lt;3, 3-AF24,"")</f>
        <v/>
      </c>
      <c r="AG58" s="2" t="str">
        <f>IF(AG24&lt;3, 3-AG24,"")</f>
        <v/>
      </c>
      <c r="AH58" s="2" t="str">
        <f>IF(AH24&lt;3, 3-AH24,"")</f>
        <v/>
      </c>
      <c r="AI58" s="2" t="str">
        <f>IF(AI24&lt;3, 3-AI24,"")</f>
        <v/>
      </c>
      <c r="AJ58" s="2" t="str">
        <f>IF(AJ24&lt;3, 3-AJ24,"")</f>
        <v/>
      </c>
      <c r="AK58" s="2" t="str">
        <f>IF(AK24&lt;3, 3-AK24,"")</f>
        <v/>
      </c>
      <c r="AL58" s="2" t="str">
        <f>IF(AL24&lt;3, 3-AL24,"")</f>
        <v/>
      </c>
      <c r="AM58" s="2" t="str">
        <f>IF(AM24&lt;3, 3-AM24,"")</f>
        <v/>
      </c>
    </row>
    <row r="59">
      <c r="B59" s="2" t="str">
        <v>-4.75</v>
      </c>
      <c r="C59" s="2" t="str">
        <f>IF(C25&lt;8,8-C25,"")</f>
        <v/>
      </c>
      <c r="D59" s="2" t="str">
        <f>IF(D25&lt;4,4-D25,"")</f>
        <v/>
      </c>
      <c r="E59" s="2" t="str">
        <f>IF(E25&lt;4,4-E25,"")</f>
        <v/>
      </c>
      <c r="F59" s="2" t="str">
        <f>IF(F25&lt;4,4-F25,"")</f>
        <v/>
      </c>
      <c r="G59" s="2" t="str">
        <f>IF(G25&lt;4,4-G25,"")</f>
        <v/>
      </c>
      <c r="H59" s="2" t="str">
        <f>IF(H25&lt;4,4-H25,"")</f>
        <v/>
      </c>
      <c r="I59" s="2" t="str">
        <f>IF(I25&lt;4,4-I25,"")</f>
        <v/>
      </c>
      <c r="J59" s="2" t="str">
        <f>IF(J25&lt;4,4-J25,"")</f>
        <v/>
      </c>
      <c r="K59" s="2" t="str">
        <f>IF(K25&lt;4,4-K25,"")</f>
        <v/>
      </c>
      <c r="L59" s="2" t="str">
        <f>IF(L25&lt;4,4-L25,"")</f>
        <v/>
      </c>
      <c r="M59" s="2" t="str">
        <f>IF(M25&lt;4,4-M25,"")</f>
        <v/>
      </c>
      <c r="N59" s="2" t="str">
        <f>IF(N25&lt;4,4-N25,"")</f>
        <v/>
      </c>
      <c r="O59" s="2" t="str">
        <f>IF(O25&lt;4,4-O25,"")</f>
        <v/>
      </c>
      <c r="P59" s="2" t="str">
        <f>IF(P25&lt;4,4-P25,"")</f>
        <v/>
      </c>
      <c r="Q59" s="2" t="str">
        <f>IF(Q25&lt;4,4-Q25,"")</f>
        <v/>
      </c>
      <c r="R59" s="2" t="str">
        <f>IF(R25&lt;4,4-R25,"")</f>
        <v/>
      </c>
      <c r="S59" s="2" t="str">
        <f>IF(S25&lt;4,4-S25,"")</f>
        <v/>
      </c>
      <c r="V59" s="2" t="str">
        <v>+5.00</v>
      </c>
      <c r="W59" s="2" t="str">
        <f>IF(W25&lt;8, 8-W25,"")</f>
        <v/>
      </c>
      <c r="X59" s="2">
        <f>IF(X25&lt;3,3-X25,"")</f>
        <v>2</v>
      </c>
      <c r="Y59" s="2" t="str">
        <f>IF(Y25&lt;3,3-Y25,"")</f>
        <v/>
      </c>
      <c r="Z59" s="2" t="str">
        <f>IF(Z25&lt;3,3-Z25,"")</f>
        <v/>
      </c>
      <c r="AA59" s="2" t="str">
        <f>IF(AA25&lt;3,3-AA25,"")</f>
        <v/>
      </c>
      <c r="AB59" s="2" t="str">
        <f>IF(AB25&lt;3,3-AB25,"")</f>
        <v/>
      </c>
      <c r="AC59" s="2" t="str">
        <f>IF(AC25&lt;3,3-AC25,"")</f>
        <v/>
      </c>
      <c r="AD59" s="2" t="str">
        <f>IF(AD25&lt;3,3-AD25,"")</f>
        <v/>
      </c>
      <c r="AE59" s="2" t="str">
        <f>IF(AE25&lt;3,3-AE25,"")</f>
        <v/>
      </c>
      <c r="AF59" s="2" t="str">
        <f>IF(AF25&lt;3,3-AF25,"")</f>
        <v/>
      </c>
      <c r="AG59" s="2" t="str">
        <f>IF(AG25&lt;3,3-AG25,"")</f>
        <v/>
      </c>
      <c r="AH59" s="2" t="str">
        <f>IF(AH25&lt;3,3-AH25,"")</f>
        <v/>
      </c>
      <c r="AI59" s="2" t="str">
        <f>IF(AI25&lt;3,3-AI25,"")</f>
        <v/>
      </c>
      <c r="AJ59" s="2" t="str">
        <f>IF(AJ25&lt;3,3-AJ25,"")</f>
        <v/>
      </c>
      <c r="AK59" s="2" t="str">
        <f>IF(AK25&lt;3,3-AK25,"")</f>
        <v/>
      </c>
      <c r="AL59" s="2" t="str">
        <f>IF(AL25&lt;3,3-AL25,"")</f>
        <v/>
      </c>
      <c r="AM59" s="2" t="str">
        <f>IF(AM25&lt;3,3-AM25,"")</f>
        <v/>
      </c>
    </row>
    <row r="60">
      <c r="B60" s="2" t="str">
        <v>-5.00</v>
      </c>
      <c r="C60" s="2" t="str">
        <f>IF(C26&lt;8,8-C26,"")</f>
        <v/>
      </c>
      <c r="D60" s="2" t="str">
        <f>IF(D26&lt;4,4-D26,"")</f>
        <v/>
      </c>
      <c r="E60" s="2" t="str">
        <f>IF(E26&lt;4,4-E26,"")</f>
        <v/>
      </c>
      <c r="F60" s="2">
        <f>IF(F26&lt;4,4-F26,"")</f>
        <v>2</v>
      </c>
      <c r="G60" s="2" t="str">
        <f>IF(G26&lt;4,4-G26,"")</f>
        <v/>
      </c>
      <c r="H60" s="2" t="str">
        <f>IF(H26&lt;4,4-H26,"")</f>
        <v/>
      </c>
      <c r="I60" s="2" t="str">
        <f>IF(I26&lt;4,4-I26,"")</f>
        <v/>
      </c>
      <c r="J60" s="2" t="str">
        <f>IF(J26&lt;4,4-J26,"")</f>
        <v/>
      </c>
      <c r="K60" s="2">
        <f>IF(K26&lt;4,4-K26,"")</f>
        <v>1</v>
      </c>
      <c r="L60" s="2" t="str">
        <f>IF(L26&lt;4,4-L26,"")</f>
        <v/>
      </c>
      <c r="M60" s="2" t="str">
        <f>IF(M26&lt;4,4-M26,"")</f>
        <v/>
      </c>
      <c r="N60" s="2" t="str">
        <f>IF(N26&lt;4,4-N26,"")</f>
        <v/>
      </c>
      <c r="O60" s="2" t="str">
        <f>IF(O26&lt;4,4-O26,"")</f>
        <v/>
      </c>
      <c r="P60" s="2" t="str">
        <f>IF(P26&lt;4,4-P26,"")</f>
        <v/>
      </c>
      <c r="Q60" s="2">
        <f>IF(Q26&lt;4,4-Q26,"")</f>
        <v>1</v>
      </c>
      <c r="R60" s="2" t="str">
        <f>IF(R26&lt;4,4-R26,"")</f>
        <v/>
      </c>
      <c r="S60" s="2" t="str">
        <f>IF(S26&lt;4,4-S26,"")</f>
        <v/>
      </c>
      <c r="V60" s="2" t="str">
        <v>+5.25</v>
      </c>
    </row>
    <row r="61">
      <c r="B61" s="2" t="str">
        <v>-5.25</v>
      </c>
      <c r="C61" s="2" t="str">
        <f>IF(C27&lt;8,8-C27,"")</f>
        <v/>
      </c>
      <c r="D61" s="2" t="str">
        <f>IF(D27&lt;4,4-D27,"")</f>
        <v/>
      </c>
      <c r="E61" s="2" t="str">
        <f>IF(E27&lt;4,4-E27,"")</f>
        <v/>
      </c>
      <c r="F61" s="2" t="str">
        <f>IF(F27&lt;4,4-F27,"")</f>
        <v/>
      </c>
      <c r="G61" s="2" t="str">
        <f>IF(G27&lt;4,4-G27,"")</f>
        <v/>
      </c>
      <c r="H61" s="2" t="str">
        <f>IF(H27&lt;4,4-H27,"")</f>
        <v/>
      </c>
      <c r="I61" s="2" t="str">
        <f>IF(I27&lt;4,4-I27,"")</f>
        <v/>
      </c>
      <c r="J61" s="2" t="str">
        <f>IF(J27&lt;4,4-J27,"")</f>
        <v/>
      </c>
      <c r="K61" s="2" t="str">
        <f>IF(K27&lt;4,4-K27,"")</f>
        <v/>
      </c>
      <c r="L61" s="2">
        <f>IF(L27&lt;4,4-L27,"")</f>
        <v>1</v>
      </c>
      <c r="M61" s="2" t="str">
        <f>IF(M27&lt;4,4-M27,"")</f>
        <v/>
      </c>
      <c r="N61" s="2" t="str">
        <f>IF(N27&lt;4,4-N27,"")</f>
        <v/>
      </c>
      <c r="O61" s="2" t="str">
        <f>IF(O27&lt;4,4-O27,"")</f>
        <v/>
      </c>
      <c r="P61" s="2" t="str">
        <f>IF(P27&lt;4,4-P27,"")</f>
        <v/>
      </c>
      <c r="Q61" s="2" t="str">
        <f>IF(Q27&lt;4,4-Q27,"")</f>
        <v/>
      </c>
      <c r="R61" s="2" t="str">
        <f>IF(R27&lt;4,4-R27,"")</f>
        <v/>
      </c>
      <c r="S61" s="2" t="str">
        <f>IF(S27&lt;4,4-S27,"")</f>
        <v/>
      </c>
      <c r="V61" s="2" t="str">
        <v>+5.50</v>
      </c>
    </row>
    <row r="62">
      <c r="B62" s="2" t="str">
        <v>-5.50</v>
      </c>
      <c r="C62" s="2" t="str">
        <f>IF(C28&lt;8,8-C28,"")</f>
        <v/>
      </c>
      <c r="D62" s="2" t="str">
        <f>IF(D28&lt;4,4-D28,"")</f>
        <v/>
      </c>
      <c r="E62" s="2">
        <f>IF(E28&lt;4,4-E28,"")</f>
        <v>1</v>
      </c>
      <c r="F62" s="2" t="str">
        <f>IF(F28&lt;4,4-F28,"")</f>
        <v/>
      </c>
      <c r="G62" s="2" t="str">
        <f>IF(G28&lt;4,4-G28,"")</f>
        <v/>
      </c>
      <c r="H62" s="2" t="str">
        <f>IF(H28&lt;4,4-H28,"")</f>
        <v/>
      </c>
      <c r="I62" s="2" t="str">
        <f>IF(I28&lt;4,4-I28,"")</f>
        <v/>
      </c>
      <c r="J62" s="2" t="str">
        <f>IF(J28&lt;4,4-J28,"")</f>
        <v/>
      </c>
      <c r="K62" s="2" t="str">
        <f>IF(K28&lt;4,4-K28,"")</f>
        <v/>
      </c>
      <c r="L62" s="2" t="str">
        <f>IF(L28&lt;4,4-L28,"")</f>
        <v/>
      </c>
      <c r="M62" s="2" t="str">
        <f>IF(M28&lt;4,4-M28,"")</f>
        <v/>
      </c>
      <c r="N62" s="2" t="str">
        <f>IF(N28&lt;4,4-N28,"")</f>
        <v/>
      </c>
      <c r="O62" s="2" t="str">
        <f>IF(O28&lt;4,4-O28,"")</f>
        <v/>
      </c>
      <c r="P62" s="2" t="str">
        <f>IF(P28&lt;4,4-P28,"")</f>
        <v/>
      </c>
      <c r="Q62" s="2" t="str">
        <f>IF(Q28&lt;4,4-Q28,"")</f>
        <v/>
      </c>
      <c r="R62" s="2" t="str">
        <f>IF(R28&lt;4,4-R28,"")</f>
        <v/>
      </c>
      <c r="S62" s="2" t="str">
        <f>IF(S28&lt;4,4-S28,"")</f>
        <v/>
      </c>
      <c r="V62" s="2" t="str">
        <v>+5.75</v>
      </c>
    </row>
    <row r="63">
      <c r="B63" s="2" t="str">
        <v>-5.75</v>
      </c>
      <c r="C63" s="2" t="str">
        <f>IF(C29&lt;8,8-C29,"")</f>
        <v/>
      </c>
      <c r="D63" s="2" t="str">
        <f>IF(D29&lt;4,4-D29,"")</f>
        <v/>
      </c>
      <c r="E63" s="2" t="str">
        <f>IF(E29&lt;4,4-E29,"")</f>
        <v/>
      </c>
      <c r="F63" s="2" t="str">
        <f>IF(F29&lt;4,4-F29,"")</f>
        <v/>
      </c>
      <c r="G63" s="2">
        <f>IF(G29&lt;4,4-G29,"")</f>
        <v>1</v>
      </c>
      <c r="H63" s="2" t="str">
        <f>IF(H29&lt;4,4-H29,"")</f>
        <v/>
      </c>
      <c r="I63" s="2" t="str">
        <f>IF(I29&lt;4,4-I29,"")</f>
        <v/>
      </c>
      <c r="J63" s="2" t="str">
        <f>IF(J29&lt;4,4-J29,"")</f>
        <v/>
      </c>
      <c r="K63" s="2" t="str">
        <f>IF(K29&lt;4,4-K29,"")</f>
        <v/>
      </c>
      <c r="L63" s="2" t="str">
        <f>IF(L29&lt;4,4-L29,"")</f>
        <v/>
      </c>
      <c r="M63" s="2" t="str">
        <f>IF(M29&lt;4,4-M29,"")</f>
        <v/>
      </c>
      <c r="N63" s="2" t="str">
        <f>IF(N29&lt;4,4-N29,"")</f>
        <v/>
      </c>
      <c r="O63" s="2" t="str">
        <f>IF(O29&lt;4,4-O29,"")</f>
        <v/>
      </c>
      <c r="P63" s="2" t="str">
        <f>IF(P29&lt;4,4-P29,"")</f>
        <v/>
      </c>
      <c r="Q63" s="2" t="str">
        <f>IF(Q29&lt;4,4-Q29,"")</f>
        <v/>
      </c>
      <c r="R63" s="2" t="str">
        <f>IF(R29&lt;4,4-R29,"")</f>
        <v/>
      </c>
      <c r="S63" s="2" t="str">
        <f>IF(S29&lt;4,4-S29,"")</f>
        <v/>
      </c>
      <c r="V63" s="2" t="str">
        <v>+6.00</v>
      </c>
    </row>
    <row r="64">
      <c r="B64" s="2" t="str">
        <v>-6.00</v>
      </c>
      <c r="C64" s="2" t="str">
        <f>IF(C30&lt;8,8-C30,"")</f>
        <v/>
      </c>
      <c r="D64" s="2" t="str">
        <f>IF(D30&lt;4,4-D30,"")</f>
        <v/>
      </c>
      <c r="E64" s="2" t="str">
        <f>IF(E30&lt;4,4-E30,"")</f>
        <v/>
      </c>
      <c r="F64" s="2" t="str">
        <f>IF(F30&lt;4,4-F30,"")</f>
        <v/>
      </c>
      <c r="G64" s="2" t="str">
        <f>IF(G30&lt;4,4-G30,"")</f>
        <v/>
      </c>
      <c r="H64" s="2" t="str">
        <f>IF(H30&lt;4,4-H30,"")</f>
        <v/>
      </c>
      <c r="I64" s="2" t="str">
        <f>IF(I30&lt;4,4-I30,"")</f>
        <v/>
      </c>
      <c r="J64" s="2" t="str">
        <f>IF(J30&lt;4,4-J30,"")</f>
        <v/>
      </c>
      <c r="K64" s="2" t="str">
        <f>IF(K30&lt;4,4-K30,"")</f>
        <v/>
      </c>
      <c r="L64" s="2" t="str">
        <f>IF(L30&lt;4,4-L30,"")</f>
        <v/>
      </c>
      <c r="M64" s="2" t="str">
        <f>IF(M30&lt;4,4-M30,"")</f>
        <v/>
      </c>
      <c r="N64" s="2" t="str">
        <f>IF(N30&lt;4,4-N30,"")</f>
        <v/>
      </c>
      <c r="O64" s="2" t="str">
        <f>IF(O30&lt;4,4-O30,"")</f>
        <v/>
      </c>
      <c r="P64" s="2" t="str">
        <f>IF(P30&lt;4,4-P30,"")</f>
        <v/>
      </c>
      <c r="Q64" s="2" t="str">
        <f>IF(Q30&lt;4,4-Q30,"")</f>
        <v/>
      </c>
      <c r="R64" s="2" t="str">
        <f>IF(R30&lt;4,4-R30,"")</f>
        <v/>
      </c>
      <c r="S64" s="2" t="str">
        <f>IF(S30&lt;4,4-S30,"")</f>
        <v/>
      </c>
    </row>
    <row r="66">
      <c r="E66" s="2" t="str">
        <v>PIEZAS</v>
      </c>
      <c r="Y66" s="2" t="str">
        <v>PIEZAS</v>
      </c>
    </row>
    <row r="67">
      <c r="C67" s="2" t="str">
        <v>1RA SERIE</v>
      </c>
      <c r="E67" s="2">
        <f>SUM(C40:K64)</f>
        <v>84</v>
      </c>
      <c r="G67" s="2" t="str">
        <v>COSTO</v>
      </c>
      <c r="I67" s="2">
        <f>E67*13</f>
        <v>1092</v>
      </c>
      <c r="W67" s="2" t="str">
        <v>1RA SERIE</v>
      </c>
      <c r="Y67" s="2">
        <f>SUM(W40:AE63)</f>
        <v>99</v>
      </c>
      <c r="AA67" s="2" t="str">
        <v>COSTO</v>
      </c>
      <c r="AC67" s="2">
        <f>Y67*13</f>
        <v>1287</v>
      </c>
    </row>
    <row r="68">
      <c r="C68" s="2" t="str">
        <v>2DA SERIE</v>
      </c>
      <c r="E68" s="2">
        <f>SUM(L40:S64)</f>
        <v>12</v>
      </c>
      <c r="G68" s="2" t="str">
        <v>COSTO</v>
      </c>
      <c r="I68" s="2">
        <f>E68*30</f>
        <v>360</v>
      </c>
      <c r="W68" s="2" t="str">
        <v>2DA SERIE</v>
      </c>
      <c r="Y68" s="2">
        <f>SUM(AF40:AM63)</f>
        <v>18</v>
      </c>
      <c r="AA68" s="2" t="str">
        <v>COSTO</v>
      </c>
      <c r="AC68" s="2">
        <f>Y68*30</f>
        <v>540</v>
      </c>
    </row>
    <row r="70">
      <c r="E70" s="2">
        <f>SUM(E67:E69)</f>
        <v>96</v>
      </c>
      <c r="I70" s="2">
        <f>SUM(I67:I69)</f>
        <v>1452</v>
      </c>
      <c r="Y70" s="2">
        <f>SUM(Y67:Y69)</f>
        <v>117</v>
      </c>
      <c r="AC70" s="2">
        <f>SUM(AC67:AC69)</f>
        <v>1827</v>
      </c>
    </row>
    <row r="74">
      <c r="AN74" s="2">
        <v>2500</v>
      </c>
      <c r="AO74" s="2">
        <f>AN74/1.08</f>
        <v>2314.814814814815</v>
      </c>
    </row>
  </sheetData>
  <mergeCells count="22">
    <mergeCell ref="I67:J67"/>
    <mergeCell ref="I68:J68"/>
    <mergeCell ref="AC67:AD67"/>
    <mergeCell ref="AC68:AD68"/>
    <mergeCell ref="I70:J70"/>
    <mergeCell ref="AC70:AD70"/>
    <mergeCell ref="A40:A64"/>
    <mergeCell ref="U40:U64"/>
    <mergeCell ref="B34:AI34"/>
    <mergeCell ref="C37:S37"/>
    <mergeCell ref="C38:S38"/>
    <mergeCell ref="B36:S36"/>
    <mergeCell ref="W37:AM37"/>
    <mergeCell ref="W38:AM38"/>
    <mergeCell ref="W36:AM36"/>
    <mergeCell ref="C1:AJ1"/>
    <mergeCell ref="A6:A30"/>
    <mergeCell ref="U6:U30"/>
    <mergeCell ref="C3:S3"/>
    <mergeCell ref="W3:AI3"/>
    <mergeCell ref="C4:S4"/>
    <mergeCell ref="W4:AI4"/>
  </mergeCells>
  <pageMargins left="0.7" right="0.7" top="0.75" bottom="0.75" header="0.3" footer="0.3"/>
  <ignoredErrors>
    <ignoredError numberStoredAsText="1" sqref="A1:AO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AM70"/>
  <sheetViews>
    <sheetView workbookViewId="0" rightToLeft="0"/>
  </sheetViews>
  <sheetData>
    <row r="2">
      <c r="A2" s="2" t="str">
        <v>MONOFOCAL BLUE PROTECT (VERDE)</v>
      </c>
    </row>
    <row r="5">
      <c r="C5" s="2" t="str">
        <v>CILINDRO</v>
      </c>
      <c r="W5" s="2" t="str">
        <v>CILINDRO</v>
      </c>
    </row>
    <row r="6">
      <c r="A6" s="2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 +}9</v>
      </c>
      <c r="C6" s="2" t="str">
        <v>(-)</v>
      </c>
      <c r="W6" s="2" t="str">
        <v>(-)</v>
      </c>
    </row>
    <row r="7">
      <c r="A7" s="2" t="str">
        <v>(-)</v>
      </c>
      <c r="C7" s="2" t="str">
        <v>0.00</v>
      </c>
      <c r="D7" s="2" t="str">
        <v>-0.25</v>
      </c>
      <c r="E7" s="2" t="str">
        <v>-0.50</v>
      </c>
      <c r="F7" s="2" t="str">
        <v>-0.75</v>
      </c>
      <c r="G7" s="2" t="str">
        <v>-1.00</v>
      </c>
      <c r="H7" s="2" t="str">
        <v>-1.25</v>
      </c>
      <c r="I7" s="2" t="str">
        <v>-1.50</v>
      </c>
      <c r="J7" s="2" t="str">
        <v>-1.75</v>
      </c>
      <c r="K7" s="2" t="str">
        <v>-2.00</v>
      </c>
      <c r="L7" s="2" t="str">
        <v>-2.25</v>
      </c>
      <c r="M7" s="2" t="str">
        <v>-2.50</v>
      </c>
      <c r="N7" s="2" t="str">
        <v>-2.75</v>
      </c>
      <c r="O7" s="2" t="str">
        <v>-3.00</v>
      </c>
      <c r="P7" s="2" t="str">
        <v>-3.25</v>
      </c>
      <c r="Q7" s="2" t="str">
        <v>-3.50</v>
      </c>
      <c r="R7" s="2" t="str">
        <v>-3.75</v>
      </c>
      <c r="S7" s="2" t="str">
        <v>-4.00</v>
      </c>
      <c r="U7" s="2" t="str">
        <v>(+)</v>
      </c>
      <c r="W7" s="2" t="str">
        <v>0.00</v>
      </c>
      <c r="X7" s="2" t="str">
        <v>-0.25</v>
      </c>
      <c r="Y7" s="2" t="str">
        <v>-0.50</v>
      </c>
      <c r="Z7" s="2" t="str">
        <v>-0.75</v>
      </c>
      <c r="AA7" s="2" t="str">
        <v>-1.00</v>
      </c>
      <c r="AB7" s="2" t="str">
        <v>-1.25</v>
      </c>
      <c r="AC7" s="2" t="str">
        <v>-1.50</v>
      </c>
      <c r="AD7" s="2" t="str">
        <v>-1.75</v>
      </c>
      <c r="AE7" s="2" t="str">
        <v>-2.00</v>
      </c>
      <c r="AF7" s="2" t="str">
        <v>-2.25</v>
      </c>
      <c r="AG7" s="2" t="str">
        <v>-2.50</v>
      </c>
      <c r="AH7" s="2" t="str">
        <v>-2.75</v>
      </c>
      <c r="AI7" s="2" t="str">
        <v>-3.00</v>
      </c>
      <c r="AJ7" s="2" t="str">
        <v>-3.25</v>
      </c>
      <c r="AK7" s="2" t="str">
        <v>-3.50</v>
      </c>
      <c r="AL7" s="2" t="str">
        <v>-3.75</v>
      </c>
      <c r="AM7" s="2" t="str">
        <v>-4.00</v>
      </c>
    </row>
    <row r="8">
      <c r="A8" s="2" t="str">
        <v>ESFERA (-)</v>
      </c>
      <c r="B8" s="2" t="str">
        <v>0.00</v>
      </c>
      <c r="C8" s="2">
        <v>18</v>
      </c>
      <c r="D8" s="2">
        <v>16</v>
      </c>
      <c r="E8" s="2">
        <v>12</v>
      </c>
      <c r="G8" s="2">
        <v>11</v>
      </c>
      <c r="H8" s="2">
        <v>7</v>
      </c>
      <c r="I8" s="2">
        <v>3</v>
      </c>
      <c r="J8" s="2">
        <v>6</v>
      </c>
      <c r="K8" s="2">
        <v>9</v>
      </c>
      <c r="L8" s="2">
        <v>5</v>
      </c>
      <c r="M8" s="2">
        <v>1</v>
      </c>
      <c r="N8" s="2">
        <v>5</v>
      </c>
      <c r="O8" s="2">
        <v>5</v>
      </c>
      <c r="P8" s="2">
        <v>3</v>
      </c>
      <c r="Q8" s="2">
        <v>4</v>
      </c>
      <c r="R8" s="2">
        <v>4</v>
      </c>
      <c r="S8" s="2">
        <v>3</v>
      </c>
      <c r="U8" s="2" t="str">
        <v>ESFERA (+)</v>
      </c>
      <c r="V8" s="2" t="str">
        <v>+0.25</v>
      </c>
      <c r="W8" s="2">
        <v>4</v>
      </c>
      <c r="X8" s="2">
        <v>4</v>
      </c>
      <c r="Y8" s="2">
        <v>5</v>
      </c>
      <c r="Z8" s="2">
        <v>6</v>
      </c>
      <c r="AA8" s="2">
        <v>6</v>
      </c>
      <c r="AB8" s="2">
        <v>2</v>
      </c>
      <c r="AD8" s="2">
        <v>4</v>
      </c>
      <c r="AE8" s="2">
        <v>4</v>
      </c>
    </row>
    <row r="9">
      <c r="B9" s="2" t="str">
        <v>-0.25</v>
      </c>
      <c r="C9" s="2">
        <v>16</v>
      </c>
      <c r="D9" s="2">
        <v>15</v>
      </c>
      <c r="E9" s="2">
        <v>2</v>
      </c>
      <c r="F9" s="2">
        <v>18</v>
      </c>
      <c r="G9" s="2">
        <v>19</v>
      </c>
      <c r="H9" s="2">
        <v>6</v>
      </c>
      <c r="I9" s="2">
        <v>10</v>
      </c>
      <c r="J9" s="2">
        <v>10</v>
      </c>
      <c r="K9" s="2">
        <v>6</v>
      </c>
      <c r="L9" s="2">
        <v>3</v>
      </c>
      <c r="M9" s="2">
        <v>3</v>
      </c>
      <c r="N9" s="2">
        <v>3</v>
      </c>
      <c r="O9" s="2">
        <v>2</v>
      </c>
      <c r="P9" s="2">
        <v>4</v>
      </c>
      <c r="Q9" s="2">
        <v>4</v>
      </c>
      <c r="R9" s="2">
        <v>4</v>
      </c>
      <c r="S9" s="2">
        <v>3</v>
      </c>
      <c r="V9" s="2" t="str">
        <v>+0.50</v>
      </c>
      <c r="W9" s="2">
        <v>4</v>
      </c>
      <c r="X9" s="2">
        <v>7</v>
      </c>
      <c r="Y9" s="2">
        <v>1</v>
      </c>
      <c r="Z9" s="2">
        <v>1</v>
      </c>
      <c r="AA9" s="2">
        <v>6</v>
      </c>
      <c r="AC9" s="2">
        <v>1</v>
      </c>
      <c r="AD9" s="2">
        <v>4</v>
      </c>
      <c r="AE9" s="2">
        <v>2</v>
      </c>
    </row>
    <row r="10">
      <c r="B10" s="2" t="str">
        <v>-0.50</v>
      </c>
      <c r="C10" s="2">
        <v>14</v>
      </c>
      <c r="D10" s="2">
        <v>7</v>
      </c>
      <c r="E10" s="2">
        <v>15</v>
      </c>
      <c r="F10" s="2">
        <v>16</v>
      </c>
      <c r="G10" s="2">
        <v>16</v>
      </c>
      <c r="H10" s="2">
        <v>9</v>
      </c>
      <c r="I10" s="2">
        <v>10</v>
      </c>
      <c r="J10" s="2">
        <v>11</v>
      </c>
      <c r="K10" s="2">
        <v>10</v>
      </c>
      <c r="L10" s="2">
        <v>2</v>
      </c>
      <c r="M10" s="2">
        <v>2</v>
      </c>
      <c r="N10" s="2">
        <v>3</v>
      </c>
      <c r="O10" s="2">
        <v>2</v>
      </c>
      <c r="P10" s="2">
        <v>4</v>
      </c>
      <c r="Q10" s="2">
        <v>4</v>
      </c>
      <c r="R10" s="2">
        <v>4</v>
      </c>
      <c r="S10" s="2">
        <v>4</v>
      </c>
      <c r="V10" s="2" t="str">
        <v>+0.75</v>
      </c>
      <c r="W10" s="2">
        <v>5</v>
      </c>
      <c r="X10" s="2">
        <v>5</v>
      </c>
      <c r="Y10" s="2">
        <v>6</v>
      </c>
      <c r="Z10" s="2">
        <v>6</v>
      </c>
      <c r="AA10" s="2">
        <v>1</v>
      </c>
      <c r="AB10" s="2">
        <v>4</v>
      </c>
      <c r="AC10" s="2">
        <v>4</v>
      </c>
      <c r="AD10" s="2">
        <v>4</v>
      </c>
      <c r="AE10" s="2">
        <v>2</v>
      </c>
    </row>
    <row r="11">
      <c r="B11" s="2" t="str">
        <v>-0.75</v>
      </c>
      <c r="C11" s="2">
        <v>11</v>
      </c>
      <c r="D11" s="2">
        <v>18</v>
      </c>
      <c r="F11" s="2">
        <v>17</v>
      </c>
      <c r="G11" s="2">
        <v>18</v>
      </c>
      <c r="H11" s="2">
        <v>10</v>
      </c>
      <c r="I11" s="2">
        <v>10</v>
      </c>
      <c r="J11" s="2">
        <v>10</v>
      </c>
      <c r="K11" s="2">
        <v>10</v>
      </c>
      <c r="L11" s="2">
        <v>3</v>
      </c>
      <c r="M11" s="2">
        <v>3</v>
      </c>
      <c r="N11" s="2">
        <v>3</v>
      </c>
      <c r="O11" s="2">
        <v>2</v>
      </c>
      <c r="P11" s="2">
        <v>4</v>
      </c>
      <c r="Q11" s="2">
        <v>4</v>
      </c>
      <c r="R11" s="2">
        <v>4</v>
      </c>
      <c r="S11" s="2">
        <v>4</v>
      </c>
      <c r="V11" s="2" t="str">
        <v>+1.00</v>
      </c>
      <c r="W11" s="2">
        <v>8</v>
      </c>
      <c r="X11" s="2">
        <v>6</v>
      </c>
      <c r="Y11" s="2">
        <v>4</v>
      </c>
      <c r="Z11" s="2">
        <v>5</v>
      </c>
      <c r="AA11" s="2">
        <v>7</v>
      </c>
      <c r="AB11" s="2">
        <v>4</v>
      </c>
      <c r="AC11" s="2">
        <v>4</v>
      </c>
      <c r="AD11" s="2">
        <v>5</v>
      </c>
      <c r="AE11" s="2">
        <v>3</v>
      </c>
    </row>
    <row r="12">
      <c r="B12" s="2" t="str">
        <v>-1.00</v>
      </c>
      <c r="C12" s="2">
        <v>18</v>
      </c>
      <c r="D12" s="2">
        <v>19</v>
      </c>
      <c r="E12" s="2">
        <v>13</v>
      </c>
      <c r="F12" s="2">
        <v>18</v>
      </c>
      <c r="G12" s="2">
        <v>15</v>
      </c>
      <c r="H12" s="2">
        <v>10</v>
      </c>
      <c r="I12" s="2">
        <v>10</v>
      </c>
      <c r="J12" s="2">
        <v>10</v>
      </c>
      <c r="K12" s="2">
        <v>9</v>
      </c>
      <c r="L12" s="2">
        <v>3</v>
      </c>
      <c r="M12" s="2">
        <v>3</v>
      </c>
      <c r="N12" s="2">
        <v>3</v>
      </c>
      <c r="O12" s="2">
        <v>2</v>
      </c>
      <c r="P12" s="2">
        <v>4</v>
      </c>
      <c r="Q12" s="2">
        <v>4</v>
      </c>
      <c r="R12" s="2">
        <v>4</v>
      </c>
      <c r="S12" s="2">
        <v>4</v>
      </c>
      <c r="V12" s="2" t="str">
        <v>+1.25</v>
      </c>
      <c r="W12" s="2">
        <v>5</v>
      </c>
      <c r="X12" s="2">
        <v>4</v>
      </c>
      <c r="Y12" s="2">
        <v>4</v>
      </c>
      <c r="Z12" s="2">
        <v>4</v>
      </c>
      <c r="AA12" s="2">
        <v>4</v>
      </c>
      <c r="AB12" s="2">
        <v>4</v>
      </c>
      <c r="AC12" s="2">
        <v>2</v>
      </c>
      <c r="AD12" s="2">
        <v>4</v>
      </c>
      <c r="AE12" s="2">
        <v>4</v>
      </c>
    </row>
    <row r="13">
      <c r="B13" s="2" t="str">
        <v>-1.25</v>
      </c>
      <c r="C13" s="2">
        <v>16</v>
      </c>
      <c r="D13" s="2">
        <v>10</v>
      </c>
      <c r="E13" s="2">
        <v>8</v>
      </c>
      <c r="F13" s="2">
        <v>10</v>
      </c>
      <c r="G13" s="2">
        <v>6</v>
      </c>
      <c r="H13" s="2">
        <v>11</v>
      </c>
      <c r="I13" s="2">
        <v>9</v>
      </c>
      <c r="J13" s="2">
        <v>9</v>
      </c>
      <c r="K13" s="2">
        <v>10</v>
      </c>
      <c r="L13" s="2">
        <v>3</v>
      </c>
      <c r="M13" s="2">
        <v>3</v>
      </c>
      <c r="N13" s="2">
        <v>3</v>
      </c>
      <c r="O13" s="2">
        <v>3</v>
      </c>
      <c r="P13" s="2">
        <v>4</v>
      </c>
      <c r="Q13" s="2">
        <v>4</v>
      </c>
      <c r="R13" s="2">
        <v>4</v>
      </c>
      <c r="S13" s="2">
        <v>4</v>
      </c>
      <c r="V13" s="2" t="str">
        <v>+1.50</v>
      </c>
      <c r="W13" s="2">
        <v>6</v>
      </c>
      <c r="X13" s="2">
        <v>4</v>
      </c>
      <c r="Y13" s="2">
        <v>4</v>
      </c>
      <c r="Z13" s="2">
        <v>4</v>
      </c>
      <c r="AA13" s="2">
        <v>4</v>
      </c>
      <c r="AB13" s="2">
        <v>4</v>
      </c>
      <c r="AC13" s="2">
        <v>4</v>
      </c>
      <c r="AD13" s="2">
        <v>4</v>
      </c>
      <c r="AE13" s="2">
        <v>4</v>
      </c>
    </row>
    <row r="14">
      <c r="B14" s="2" t="str">
        <v>-1.50</v>
      </c>
      <c r="C14" s="2">
        <v>16</v>
      </c>
      <c r="D14" s="2">
        <v>9</v>
      </c>
      <c r="E14" s="2">
        <v>6</v>
      </c>
      <c r="F14" s="2">
        <v>9</v>
      </c>
      <c r="G14" s="2">
        <v>8</v>
      </c>
      <c r="H14" s="2">
        <v>10</v>
      </c>
      <c r="I14" s="2">
        <v>9</v>
      </c>
      <c r="J14" s="2">
        <v>10</v>
      </c>
      <c r="K14" s="2">
        <v>11</v>
      </c>
      <c r="L14" s="2">
        <v>3</v>
      </c>
      <c r="M14" s="2">
        <v>3</v>
      </c>
      <c r="N14" s="2">
        <v>2</v>
      </c>
      <c r="O14" s="2">
        <v>3</v>
      </c>
      <c r="P14" s="2">
        <v>4</v>
      </c>
      <c r="Q14" s="2">
        <v>4</v>
      </c>
      <c r="R14" s="2">
        <v>4</v>
      </c>
      <c r="S14" s="2">
        <v>4</v>
      </c>
      <c r="V14" s="2" t="str">
        <v>+1.75</v>
      </c>
      <c r="W14" s="2">
        <v>1</v>
      </c>
      <c r="X14" s="2">
        <v>4</v>
      </c>
      <c r="Y14" s="2">
        <v>4</v>
      </c>
      <c r="Z14" s="2">
        <v>4</v>
      </c>
      <c r="AA14" s="2">
        <v>4</v>
      </c>
      <c r="AB14" s="2">
        <v>4</v>
      </c>
      <c r="AC14" s="2">
        <v>4</v>
      </c>
      <c r="AD14" s="2">
        <v>4</v>
      </c>
      <c r="AE14" s="2">
        <v>4</v>
      </c>
    </row>
    <row r="15">
      <c r="B15" s="2" t="str">
        <v>-1.75</v>
      </c>
      <c r="C15" s="2">
        <v>14</v>
      </c>
      <c r="D15" s="2">
        <v>7</v>
      </c>
      <c r="E15" s="2">
        <v>10</v>
      </c>
      <c r="F15" s="2">
        <v>9</v>
      </c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>
        <v>3</v>
      </c>
      <c r="M15" s="2">
        <v>3</v>
      </c>
      <c r="N15" s="2">
        <v>3</v>
      </c>
      <c r="O15" s="2">
        <v>3</v>
      </c>
      <c r="P15" s="2">
        <v>4</v>
      </c>
      <c r="Q15" s="2">
        <v>4</v>
      </c>
      <c r="R15" s="2">
        <v>4</v>
      </c>
      <c r="S15" s="2">
        <v>4</v>
      </c>
      <c r="V15" s="2" t="str">
        <v>+2.00</v>
      </c>
      <c r="W15" s="2">
        <v>6</v>
      </c>
      <c r="X15" s="2">
        <v>4</v>
      </c>
      <c r="Y15" s="2">
        <v>1</v>
      </c>
      <c r="Z15" s="2">
        <v>4</v>
      </c>
      <c r="AA15" s="2">
        <v>5</v>
      </c>
      <c r="AB15" s="2">
        <v>4</v>
      </c>
      <c r="AC15" s="2">
        <v>4</v>
      </c>
      <c r="AD15" s="2">
        <v>5</v>
      </c>
      <c r="AE15" s="2">
        <v>4</v>
      </c>
    </row>
    <row r="16">
      <c r="B16" s="2" t="str">
        <v>-2.00</v>
      </c>
      <c r="C16" s="2">
        <v>16</v>
      </c>
      <c r="D16" s="2">
        <v>10</v>
      </c>
      <c r="E16" s="2">
        <v>6</v>
      </c>
      <c r="F16" s="2">
        <v>8</v>
      </c>
      <c r="G16" s="2">
        <v>10</v>
      </c>
      <c r="H16" s="2">
        <v>9</v>
      </c>
      <c r="I16" s="2">
        <v>10</v>
      </c>
      <c r="J16" s="2">
        <v>10</v>
      </c>
      <c r="K16" s="2">
        <v>8</v>
      </c>
      <c r="L16" s="2">
        <v>3</v>
      </c>
      <c r="M16" s="2">
        <v>3</v>
      </c>
      <c r="N16" s="2">
        <v>3</v>
      </c>
      <c r="O16" s="2">
        <v>3</v>
      </c>
      <c r="P16" s="2">
        <v>4</v>
      </c>
      <c r="Q16" s="2">
        <v>4</v>
      </c>
      <c r="R16" s="2">
        <v>4</v>
      </c>
      <c r="S16" s="2">
        <v>4</v>
      </c>
      <c r="V16" s="2" t="str">
        <v>+2.25</v>
      </c>
      <c r="W16" s="2">
        <v>6</v>
      </c>
      <c r="X16" s="2">
        <v>4</v>
      </c>
      <c r="Y16" s="2">
        <v>3</v>
      </c>
      <c r="Z16" s="2">
        <v>4</v>
      </c>
      <c r="AA16" s="2">
        <v>5</v>
      </c>
      <c r="AB16" s="2">
        <v>5</v>
      </c>
      <c r="AC16" s="2">
        <v>4</v>
      </c>
      <c r="AD16" s="2">
        <v>4</v>
      </c>
      <c r="AE16" s="2">
        <v>4</v>
      </c>
    </row>
    <row r="17">
      <c r="B17" s="2" t="str">
        <v>-2.25</v>
      </c>
      <c r="C17" s="2">
        <v>6</v>
      </c>
      <c r="D17" s="2">
        <v>6</v>
      </c>
      <c r="E17" s="2">
        <v>6</v>
      </c>
      <c r="F17" s="2">
        <v>4</v>
      </c>
      <c r="G17" s="2">
        <v>6</v>
      </c>
      <c r="H17" s="2">
        <v>4</v>
      </c>
      <c r="I17" s="2">
        <v>6</v>
      </c>
      <c r="J17" s="2">
        <v>7</v>
      </c>
      <c r="K17" s="2">
        <v>6</v>
      </c>
      <c r="L17" s="2">
        <v>4</v>
      </c>
      <c r="M17" s="2">
        <v>3</v>
      </c>
      <c r="N17" s="2">
        <v>3</v>
      </c>
      <c r="O17" s="2">
        <v>3</v>
      </c>
      <c r="P17" s="2">
        <v>4</v>
      </c>
      <c r="Q17" s="2">
        <v>3</v>
      </c>
      <c r="R17" s="2">
        <v>4</v>
      </c>
      <c r="S17" s="2">
        <v>4</v>
      </c>
      <c r="V17" s="2" t="str">
        <v>+2.50</v>
      </c>
      <c r="W17" s="2">
        <v>8</v>
      </c>
      <c r="X17" s="2">
        <v>5</v>
      </c>
      <c r="Y17" s="2">
        <v>2</v>
      </c>
      <c r="Z17" s="2">
        <v>5</v>
      </c>
      <c r="AA17" s="2">
        <v>4</v>
      </c>
      <c r="AB17" s="2">
        <v>5</v>
      </c>
      <c r="AC17" s="2">
        <v>4</v>
      </c>
      <c r="AD17" s="2">
        <v>4</v>
      </c>
      <c r="AE17" s="2">
        <v>4</v>
      </c>
    </row>
    <row r="18">
      <c r="B18" s="2" t="str">
        <v>-2.50</v>
      </c>
      <c r="C18" s="2">
        <v>9</v>
      </c>
      <c r="D18" s="2">
        <v>6</v>
      </c>
      <c r="E18" s="2">
        <v>6</v>
      </c>
      <c r="G18" s="2">
        <v>5</v>
      </c>
      <c r="H18" s="2">
        <v>5</v>
      </c>
      <c r="J18" s="2">
        <v>6</v>
      </c>
      <c r="K18" s="2">
        <v>6</v>
      </c>
      <c r="L18" s="2">
        <v>4</v>
      </c>
      <c r="M18" s="2">
        <v>3</v>
      </c>
      <c r="N18" s="2">
        <v>3</v>
      </c>
      <c r="O18" s="2">
        <v>3</v>
      </c>
      <c r="P18" s="2">
        <v>4</v>
      </c>
      <c r="Q18" s="2">
        <v>4</v>
      </c>
      <c r="R18" s="2">
        <v>4</v>
      </c>
      <c r="S18" s="2">
        <v>4</v>
      </c>
      <c r="V18" s="2" t="str">
        <v>+2.75</v>
      </c>
      <c r="W18" s="2">
        <v>6</v>
      </c>
      <c r="X18" s="2">
        <v>4</v>
      </c>
      <c r="Y18" s="2">
        <v>4</v>
      </c>
      <c r="Z18" s="2">
        <v>4</v>
      </c>
      <c r="AA18" s="2">
        <v>4</v>
      </c>
      <c r="AB18" s="2">
        <v>4</v>
      </c>
      <c r="AC18" s="2">
        <v>4</v>
      </c>
      <c r="AD18" s="2">
        <v>7</v>
      </c>
      <c r="AE18" s="2">
        <v>4</v>
      </c>
    </row>
    <row r="19">
      <c r="B19" s="2" t="str">
        <v>-2.75</v>
      </c>
      <c r="C19" s="2">
        <v>6</v>
      </c>
      <c r="D19" s="2">
        <v>6</v>
      </c>
      <c r="E19" s="2">
        <v>5</v>
      </c>
      <c r="F19" s="2">
        <v>6</v>
      </c>
      <c r="G19" s="2">
        <v>6</v>
      </c>
      <c r="H19" s="2">
        <v>6</v>
      </c>
      <c r="I19" s="2">
        <v>5</v>
      </c>
      <c r="J19" s="2">
        <v>6</v>
      </c>
      <c r="K19" s="2">
        <v>6</v>
      </c>
      <c r="L19" s="2">
        <v>3</v>
      </c>
      <c r="M19" s="2">
        <v>3</v>
      </c>
      <c r="N19" s="2">
        <v>4</v>
      </c>
      <c r="O19" s="2">
        <v>3</v>
      </c>
      <c r="P19" s="2">
        <v>4</v>
      </c>
      <c r="Q19" s="2">
        <v>4</v>
      </c>
      <c r="R19" s="2">
        <v>4</v>
      </c>
      <c r="S19" s="2">
        <v>4</v>
      </c>
      <c r="V19" s="2" t="str">
        <v>+3.00</v>
      </c>
      <c r="W19" s="2">
        <v>8</v>
      </c>
      <c r="X19" s="2">
        <v>5</v>
      </c>
      <c r="Y19" s="2">
        <v>4</v>
      </c>
      <c r="Z19" s="2">
        <v>3</v>
      </c>
      <c r="AA19" s="2">
        <v>4</v>
      </c>
      <c r="AB19" s="2">
        <v>4</v>
      </c>
      <c r="AC19" s="2">
        <v>4</v>
      </c>
      <c r="AD19" s="2">
        <v>4</v>
      </c>
      <c r="AE19" s="2">
        <v>4</v>
      </c>
    </row>
    <row r="20">
      <c r="B20" s="2" t="str">
        <v>-3.00</v>
      </c>
      <c r="C20" s="2">
        <v>6</v>
      </c>
      <c r="D20" s="2">
        <v>5</v>
      </c>
      <c r="E20" s="2">
        <v>3</v>
      </c>
      <c r="F20" s="2">
        <v>6</v>
      </c>
      <c r="G20" s="2">
        <v>6</v>
      </c>
      <c r="H20" s="2">
        <v>6</v>
      </c>
      <c r="I20" s="2">
        <v>6</v>
      </c>
      <c r="J20" s="2">
        <v>6</v>
      </c>
      <c r="K20" s="2">
        <v>6</v>
      </c>
      <c r="L20" s="2">
        <v>3</v>
      </c>
      <c r="M20" s="2">
        <v>3</v>
      </c>
      <c r="N20" s="2">
        <v>3</v>
      </c>
      <c r="O20" s="2">
        <v>3</v>
      </c>
      <c r="P20" s="2">
        <v>3</v>
      </c>
      <c r="Q20" s="2">
        <v>4</v>
      </c>
      <c r="R20" s="2">
        <v>4</v>
      </c>
      <c r="S20" s="2">
        <v>4</v>
      </c>
      <c r="V20" s="2" t="str">
        <v>+3.25</v>
      </c>
      <c r="W20" s="2">
        <v>8</v>
      </c>
      <c r="X20" s="2">
        <v>4</v>
      </c>
      <c r="Y20" s="2">
        <v>4</v>
      </c>
      <c r="Z20" s="2">
        <v>5</v>
      </c>
      <c r="AA20" s="2">
        <v>4</v>
      </c>
      <c r="AB20" s="2">
        <v>4</v>
      </c>
      <c r="AC20" s="2">
        <v>4</v>
      </c>
      <c r="AD20" s="2">
        <v>4</v>
      </c>
      <c r="AE20" s="2">
        <v>5</v>
      </c>
    </row>
    <row r="21">
      <c r="B21" s="2" t="str">
        <v>-3.25</v>
      </c>
      <c r="C21" s="2">
        <v>5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3</v>
      </c>
      <c r="O21" s="2">
        <v>3</v>
      </c>
      <c r="P21" s="2">
        <v>5</v>
      </c>
      <c r="Q21" s="2">
        <v>4</v>
      </c>
      <c r="R21" s="2">
        <v>4</v>
      </c>
      <c r="S21" s="2">
        <v>4</v>
      </c>
      <c r="V21" s="2" t="str">
        <v>+3.50</v>
      </c>
      <c r="W21" s="2">
        <v>8</v>
      </c>
      <c r="X21" s="2">
        <v>4</v>
      </c>
      <c r="Y21" s="2">
        <v>5</v>
      </c>
      <c r="Z21" s="2">
        <v>3</v>
      </c>
      <c r="AA21" s="2">
        <v>3</v>
      </c>
      <c r="AB21" s="2">
        <v>4</v>
      </c>
      <c r="AC21" s="2">
        <v>5</v>
      </c>
      <c r="AD21" s="2">
        <v>4</v>
      </c>
      <c r="AE21" s="2">
        <v>4</v>
      </c>
    </row>
    <row r="22">
      <c r="B22" s="2" t="str">
        <v>-3.50</v>
      </c>
      <c r="C22" s="2">
        <v>6</v>
      </c>
      <c r="D22" s="2">
        <v>3</v>
      </c>
      <c r="E22" s="2">
        <v>3</v>
      </c>
      <c r="F22" s="2">
        <v>5</v>
      </c>
      <c r="G22" s="2">
        <v>2</v>
      </c>
      <c r="H22" s="2">
        <v>3</v>
      </c>
      <c r="I22" s="2">
        <v>3</v>
      </c>
      <c r="J22" s="2">
        <v>5</v>
      </c>
      <c r="K22" s="2">
        <v>3</v>
      </c>
      <c r="L22" s="2">
        <v>3</v>
      </c>
      <c r="M22" s="2">
        <v>2</v>
      </c>
      <c r="N22" s="2">
        <v>3</v>
      </c>
      <c r="O22" s="2">
        <v>3</v>
      </c>
      <c r="P22" s="2">
        <v>4</v>
      </c>
      <c r="Q22" s="2">
        <v>4</v>
      </c>
      <c r="R22" s="2">
        <v>4</v>
      </c>
      <c r="S22" s="2">
        <v>5</v>
      </c>
      <c r="V22" s="2" t="str">
        <v>+3.75</v>
      </c>
      <c r="W22" s="2">
        <v>8</v>
      </c>
      <c r="X22" s="2">
        <v>4</v>
      </c>
      <c r="Y22" s="2">
        <v>4</v>
      </c>
      <c r="Z22" s="2">
        <v>4</v>
      </c>
      <c r="AA22" s="2">
        <v>4</v>
      </c>
      <c r="AB22" s="2">
        <v>4</v>
      </c>
      <c r="AC22" s="2">
        <v>4</v>
      </c>
      <c r="AD22" s="2">
        <v>4</v>
      </c>
      <c r="AE22" s="2">
        <v>4</v>
      </c>
    </row>
    <row r="23">
      <c r="B23" s="2" t="str">
        <v>-3.75</v>
      </c>
      <c r="C23" s="2">
        <v>5</v>
      </c>
      <c r="D23" s="2">
        <v>4</v>
      </c>
      <c r="E23" s="2">
        <v>3</v>
      </c>
      <c r="F23" s="2">
        <v>3</v>
      </c>
      <c r="G23" s="2">
        <v>3</v>
      </c>
      <c r="H23" s="2">
        <v>3</v>
      </c>
      <c r="I23" s="2">
        <v>4</v>
      </c>
      <c r="J23" s="2">
        <v>2</v>
      </c>
      <c r="K23" s="2">
        <v>3</v>
      </c>
      <c r="L23" s="2">
        <v>3</v>
      </c>
      <c r="M23" s="2">
        <v>4</v>
      </c>
      <c r="N23" s="2">
        <v>3</v>
      </c>
      <c r="O23" s="2">
        <v>3</v>
      </c>
      <c r="P23" s="2">
        <v>4</v>
      </c>
      <c r="Q23" s="2">
        <v>4</v>
      </c>
      <c r="R23" s="2">
        <v>4</v>
      </c>
      <c r="S23" s="2">
        <v>4</v>
      </c>
      <c r="V23" s="2" t="str">
        <v>+4.00</v>
      </c>
      <c r="W23" s="2">
        <v>8</v>
      </c>
      <c r="X23" s="2">
        <v>4</v>
      </c>
      <c r="Y23" s="2">
        <v>4</v>
      </c>
      <c r="Z23" s="2">
        <v>4</v>
      </c>
      <c r="AA23" s="2">
        <v>4</v>
      </c>
      <c r="AB23" s="2">
        <v>4</v>
      </c>
      <c r="AC23" s="2">
        <v>4</v>
      </c>
      <c r="AD23" s="2">
        <v>4</v>
      </c>
      <c r="AE23" s="2">
        <v>4</v>
      </c>
    </row>
    <row r="24">
      <c r="B24" s="2" t="str">
        <v>-4.00</v>
      </c>
      <c r="C24" s="2">
        <v>7</v>
      </c>
      <c r="D24" s="2">
        <v>2</v>
      </c>
      <c r="E24" s="2">
        <v>5</v>
      </c>
      <c r="F24" s="2">
        <v>3</v>
      </c>
      <c r="G24" s="2">
        <v>1</v>
      </c>
      <c r="H24" s="2">
        <v>2</v>
      </c>
      <c r="I24" s="2">
        <v>3</v>
      </c>
      <c r="J24" s="2">
        <v>3</v>
      </c>
      <c r="K24" s="2">
        <v>1</v>
      </c>
      <c r="L24" s="2">
        <v>3</v>
      </c>
      <c r="M24" s="2">
        <v>3</v>
      </c>
      <c r="N24" s="2">
        <v>3</v>
      </c>
      <c r="O24" s="2">
        <v>3</v>
      </c>
      <c r="P24" s="2">
        <v>4</v>
      </c>
      <c r="Q24" s="2">
        <v>7</v>
      </c>
      <c r="R24" s="2">
        <v>8</v>
      </c>
      <c r="S24" s="2">
        <v>5</v>
      </c>
      <c r="V24" s="2" t="str">
        <v>+4.25</v>
      </c>
    </row>
    <row r="25">
      <c r="B25" s="2" t="str">
        <v>-4.25</v>
      </c>
      <c r="C25" s="2">
        <v>2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2">
        <v>3</v>
      </c>
      <c r="K25" s="2">
        <v>3</v>
      </c>
      <c r="V25" s="2" t="str">
        <v>+4.50</v>
      </c>
    </row>
    <row r="26">
      <c r="B26" s="2" t="str">
        <v>-4.50</v>
      </c>
      <c r="C26" s="2">
        <v>3</v>
      </c>
      <c r="D26" s="2">
        <v>3</v>
      </c>
      <c r="E26" s="2">
        <v>4</v>
      </c>
      <c r="F26" s="2">
        <v>4</v>
      </c>
      <c r="G26" s="2">
        <v>3</v>
      </c>
      <c r="H26" s="2">
        <v>3</v>
      </c>
      <c r="I26" s="2">
        <v>3</v>
      </c>
      <c r="J26" s="2">
        <v>3</v>
      </c>
      <c r="K26" s="2">
        <v>3</v>
      </c>
      <c r="V26" s="2" t="str">
        <v>+4.75</v>
      </c>
    </row>
    <row r="27">
      <c r="B27" s="2" t="str">
        <v>-4.75</v>
      </c>
      <c r="C27" s="2">
        <v>2</v>
      </c>
      <c r="D27" s="2">
        <v>3</v>
      </c>
      <c r="E27" s="2">
        <v>2</v>
      </c>
      <c r="F27" s="2">
        <v>4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V27" s="2" t="str">
        <v>+5.00</v>
      </c>
    </row>
    <row r="28">
      <c r="B28" s="2" t="str">
        <v>-5.00</v>
      </c>
      <c r="C28" s="2">
        <v>4</v>
      </c>
      <c r="D28" s="2">
        <v>3</v>
      </c>
      <c r="E28" s="2">
        <v>3</v>
      </c>
      <c r="F28" s="2">
        <v>3</v>
      </c>
      <c r="G28" s="2">
        <v>3</v>
      </c>
      <c r="H28" s="2">
        <v>3</v>
      </c>
      <c r="I28" s="2">
        <v>3</v>
      </c>
      <c r="J28" s="2">
        <v>3</v>
      </c>
      <c r="K28" s="2">
        <v>3</v>
      </c>
      <c r="V28" s="2" t="str">
        <v>+5.25</v>
      </c>
    </row>
    <row r="29">
      <c r="B29" s="2" t="str">
        <v>-5.25</v>
      </c>
      <c r="V29" s="2" t="str">
        <v>+5.50</v>
      </c>
    </row>
    <row r="30">
      <c r="B30" s="2" t="str">
        <v>-5.50</v>
      </c>
      <c r="V30" s="2" t="str">
        <v>+5.75</v>
      </c>
    </row>
    <row r="31">
      <c r="B31" s="2" t="str">
        <v>-5.75</v>
      </c>
      <c r="V31" s="2" t="str">
        <v>+6.00</v>
      </c>
    </row>
    <row r="32">
      <c r="B32" s="2" t="str">
        <v>-6.00</v>
      </c>
    </row>
    <row r="35">
      <c r="A35" s="2" t="str">
        <v>PEDIDO SUGERIDO MONOFOCAL BLUE PROTECT (VERDE) PIEZAS</v>
      </c>
    </row>
    <row r="37">
      <c r="C37" s="2" t="str">
        <v>CILINDRO</v>
      </c>
      <c r="W37" s="2" t="str">
        <v>CILINDRO</v>
      </c>
    </row>
    <row r="38">
      <c r="C38" s="2" t="str">
        <v>(-)</v>
      </c>
      <c r="W38" s="2" t="str">
        <v>(-)</v>
      </c>
    </row>
    <row r="39">
      <c r="A39" s="2" t="str">
        <v>(-)</v>
      </c>
      <c r="C39" s="2" t="str">
        <v>0.00</v>
      </c>
      <c r="D39" s="2" t="str">
        <v>-0.25</v>
      </c>
      <c r="E39" s="2" t="str">
        <v>-0.50</v>
      </c>
      <c r="F39" s="2" t="str">
        <v>-0.75</v>
      </c>
      <c r="G39" s="2" t="str">
        <v>-1.00</v>
      </c>
      <c r="H39" s="2" t="str">
        <v>-1.25</v>
      </c>
      <c r="I39" s="2" t="str">
        <v>-1.50</v>
      </c>
      <c r="J39" s="2" t="str">
        <v>-1.75</v>
      </c>
      <c r="K39" s="2" t="str">
        <v>-2.00</v>
      </c>
      <c r="L39" s="2" t="str">
        <v>-2.25</v>
      </c>
      <c r="M39" s="2" t="str">
        <v>-2.50</v>
      </c>
      <c r="N39" s="2" t="str">
        <v>-2.75</v>
      </c>
      <c r="O39" s="2" t="str">
        <v>-3.00</v>
      </c>
      <c r="P39" s="2" t="str">
        <v>-3.25</v>
      </c>
      <c r="Q39" s="2" t="str">
        <v>-3.50</v>
      </c>
      <c r="R39" s="2" t="str">
        <v>-3.75</v>
      </c>
      <c r="S39" s="2" t="str">
        <v>-4.00</v>
      </c>
      <c r="U39" s="2" t="str">
        <v>(+)</v>
      </c>
      <c r="W39" s="2" t="str">
        <v>0.00</v>
      </c>
      <c r="X39" s="2" t="str">
        <v>-0.25</v>
      </c>
      <c r="Y39" s="2" t="str">
        <v>-0.50</v>
      </c>
      <c r="Z39" s="2" t="str">
        <v>-0.75</v>
      </c>
      <c r="AA39" s="2" t="str">
        <v>-1.00</v>
      </c>
      <c r="AB39" s="2" t="str">
        <v>-1.25</v>
      </c>
      <c r="AC39" s="2" t="str">
        <v>-1.50</v>
      </c>
      <c r="AD39" s="2" t="str">
        <v>-1.75</v>
      </c>
      <c r="AE39" s="2" t="str">
        <v>-2.00</v>
      </c>
      <c r="AF39" s="2" t="str">
        <v>-2.25</v>
      </c>
      <c r="AG39" s="2" t="str">
        <v>-2.50</v>
      </c>
      <c r="AH39" s="2" t="str">
        <v>-2.75</v>
      </c>
      <c r="AI39" s="2" t="str">
        <v>-3.00</v>
      </c>
      <c r="AJ39" s="2" t="str">
        <v>-3.25</v>
      </c>
      <c r="AK39" s="2" t="str">
        <v>-3.50</v>
      </c>
      <c r="AL39" s="2" t="str">
        <v>-3.75</v>
      </c>
      <c r="AM39" s="2" t="str">
        <v>-4.00</v>
      </c>
    </row>
    <row r="40">
      <c r="A40" s="2" t="str">
        <v>ESFERA (-)</v>
      </c>
      <c r="B40" s="2" t="str">
        <v>0.00</v>
      </c>
      <c r="C40" s="2">
        <f>IF(C8&lt;20,20-C8,"")</f>
        <v>2</v>
      </c>
      <c r="D40" s="2">
        <f>IF(D8&lt;20,20-D8,"")</f>
        <v>4</v>
      </c>
      <c r="E40" s="2">
        <f>IF(E8&lt;20,20-E8,"")</f>
        <v>8</v>
      </c>
      <c r="F40" s="2">
        <f>IF(F8&lt;20,20-F8,"")</f>
        <v>20</v>
      </c>
      <c r="G40" s="2">
        <f>IF(G8&lt;20,20-G8,"")</f>
        <v>9</v>
      </c>
      <c r="H40" s="2">
        <f>IF(H8&lt;10,10-H8,"")</f>
        <v>3</v>
      </c>
      <c r="I40" s="2">
        <f>IF(I8&lt;10,10-I8,"")</f>
        <v>7</v>
      </c>
      <c r="J40" s="2">
        <f>IF(J8&lt;10,10-J8,"")</f>
        <v>4</v>
      </c>
      <c r="K40" s="2">
        <f>IF(K8&lt;10,10-K8,"")</f>
        <v>1</v>
      </c>
      <c r="L40" s="2" t="str">
        <f>IF(L8&lt;5,5-L8,"")</f>
        <v/>
      </c>
      <c r="M40" s="2">
        <f>IF(M8&lt;5,5-M8,"")</f>
        <v>4</v>
      </c>
      <c r="N40" s="2" t="str">
        <f>IF(N8&lt;5,5-N8,"")</f>
        <v/>
      </c>
      <c r="O40" s="2" t="str">
        <f>IF(O8&lt;5,5-O8,"")</f>
        <v/>
      </c>
      <c r="P40" s="2">
        <f>IF(P8&lt;4,4-P8,"")</f>
        <v>1</v>
      </c>
      <c r="Q40" s="2" t="str">
        <f>IF(Q8&lt;4,4-Q8,"")</f>
        <v/>
      </c>
      <c r="R40" s="2" t="str">
        <f>IF(R8&lt;4,4-R8,"")</f>
        <v/>
      </c>
      <c r="S40" s="2">
        <f>IF(S8&lt;4,4-S8,"")</f>
        <v>1</v>
      </c>
      <c r="U40" s="2" t="str">
        <v>ESFERA (+)</v>
      </c>
      <c r="V40" s="2" t="str">
        <v>+0.25</v>
      </c>
      <c r="W40" s="2">
        <f>IF(W8&lt;8,8-W8,"")</f>
        <v>4</v>
      </c>
      <c r="X40" s="2">
        <f>IF(X8&lt;6,6-X8,"")</f>
        <v>2</v>
      </c>
      <c r="Y40" s="2">
        <f>IF(Y8&lt;6,6-Y8,"")</f>
        <v>1</v>
      </c>
      <c r="Z40" s="2" t="str">
        <f>IF(Z8&lt;6,6-Z8,"")</f>
        <v/>
      </c>
      <c r="AA40" s="2" t="str">
        <f>IF(AA8&lt;6,6-AA8,"")</f>
        <v/>
      </c>
      <c r="AB40" s="2">
        <f>IF(AB8&lt;4,4-AB8,"")</f>
        <v>2</v>
      </c>
      <c r="AC40" s="2">
        <f>IF(AC8&lt;4,4-AC8,"")</f>
        <v>4</v>
      </c>
      <c r="AD40" s="2" t="str">
        <f>IF(AD8&lt;4,4-AD8,"")</f>
        <v/>
      </c>
      <c r="AE40" s="2" t="str">
        <f>IF(AE8&lt;4,4-AE8,"")</f>
        <v/>
      </c>
    </row>
    <row r="41">
      <c r="B41" s="2" t="str">
        <v>-0.25</v>
      </c>
      <c r="C41" s="2">
        <f>IF(C9&lt;20,20-C9,"")</f>
        <v>4</v>
      </c>
      <c r="D41" s="2">
        <f>IF(D9&lt;20,20-D9,"")</f>
        <v>5</v>
      </c>
      <c r="E41" s="2">
        <f>IF(E9&lt;20,20-E9,"")</f>
        <v>18</v>
      </c>
      <c r="F41" s="2">
        <f>IF(F9&lt;20,20-F9,"")</f>
        <v>2</v>
      </c>
      <c r="G41" s="2">
        <f>IF(G9&lt;20,20-G9,"")</f>
        <v>1</v>
      </c>
      <c r="H41" s="2">
        <f>IF(H9&lt;10,10-H9,"")</f>
        <v>4</v>
      </c>
      <c r="I41" s="2" t="str">
        <f>IF(I9&lt;10,10-I9,"")</f>
        <v/>
      </c>
      <c r="J41" s="2" t="str">
        <f>IF(J9&lt;10,10-J9,"")</f>
        <v/>
      </c>
      <c r="K41" s="2">
        <f>IF(K9&lt;10,10-K9,"")</f>
        <v>4</v>
      </c>
      <c r="L41" s="2" t="str">
        <f>IF(L9&lt;3,3-L9,"")</f>
        <v/>
      </c>
      <c r="M41" s="2" t="str">
        <f>IF(M9&lt;3,3-M9,"")</f>
        <v/>
      </c>
      <c r="N41" s="2" t="str">
        <f>IF(N9&lt;3,3-N9,"")</f>
        <v/>
      </c>
      <c r="O41" s="2">
        <f>IF(O9&lt;3,3-O9,"")</f>
        <v>1</v>
      </c>
      <c r="P41" s="2" t="str">
        <f>IF(P9&lt;4,4-P9,"")</f>
        <v/>
      </c>
      <c r="Q41" s="2" t="str">
        <f>IF(Q9&lt;4,4-Q9,"")</f>
        <v/>
      </c>
      <c r="R41" s="2" t="str">
        <f>IF(R9&lt;4,4-R9,"")</f>
        <v/>
      </c>
      <c r="S41" s="2">
        <f>IF(S9&lt;4,4-S9,"")</f>
        <v>1</v>
      </c>
      <c r="V41" s="2" t="str">
        <v>+0.50</v>
      </c>
      <c r="W41" s="2">
        <f>IF(W9&lt;8,8-W9,"")</f>
        <v>4</v>
      </c>
      <c r="X41" s="2" t="str">
        <f>IF(X9&lt;6,6-X9,"")</f>
        <v/>
      </c>
      <c r="Y41" s="2">
        <f>IF(Y9&lt;6,6-Y9,"")</f>
        <v>5</v>
      </c>
      <c r="Z41" s="2">
        <f>IF(Z9&lt;6,6-Z9,"")</f>
        <v>5</v>
      </c>
      <c r="AA41" s="2" t="str">
        <f>IF(AA9&lt;6,6-AA9,"")</f>
        <v/>
      </c>
      <c r="AB41" s="2">
        <f>IF(AB9&lt;4,4-AB9,"")</f>
        <v>4</v>
      </c>
      <c r="AC41" s="2">
        <f>IF(AC9&lt;4,4-AC9,"")</f>
        <v>3</v>
      </c>
      <c r="AD41" s="2" t="str">
        <f>IF(AD9&lt;4,4-AD9,"")</f>
        <v/>
      </c>
      <c r="AE41" s="2">
        <f>IF(AE9&lt;4,4-AE9,"")</f>
        <v>2</v>
      </c>
    </row>
    <row r="42">
      <c r="B42" s="2" t="str">
        <v>-0.50</v>
      </c>
      <c r="C42" s="2">
        <f>IF(C10&lt;20,20-C10,"")</f>
        <v>6</v>
      </c>
      <c r="D42" s="2">
        <f>IF(D10&lt;20,20-D10,"")</f>
        <v>13</v>
      </c>
      <c r="E42" s="2">
        <f>IF(E10&lt;20,20-E10,"")</f>
        <v>5</v>
      </c>
      <c r="F42" s="2">
        <f>IF(F10&lt;20,20-F10,"")</f>
        <v>4</v>
      </c>
      <c r="G42" s="2">
        <f>IF(G10&lt;20,20-G10,"")</f>
        <v>4</v>
      </c>
      <c r="H42" s="2">
        <f>IF(H10&lt;10,10-H10,"")</f>
        <v>1</v>
      </c>
      <c r="I42" s="2" t="str">
        <f>IF(I10&lt;10,10-I10,"")</f>
        <v/>
      </c>
      <c r="J42" s="2" t="str">
        <f>IF(J10&lt;10,10-J10,"")</f>
        <v/>
      </c>
      <c r="K42" s="2" t="str">
        <f>IF(K10&lt;10,10-K10,"")</f>
        <v/>
      </c>
      <c r="L42" s="2">
        <f>IF(L10&lt;3,3-L10,"")</f>
        <v>1</v>
      </c>
      <c r="M42" s="2">
        <f>IF(M10&lt;3,3-M10,"")</f>
        <v>1</v>
      </c>
      <c r="N42" s="2" t="str">
        <f>IF(N10&lt;3,3-N10,"")</f>
        <v/>
      </c>
      <c r="O42" s="2">
        <f>IF(O10&lt;3,3-O10,"")</f>
        <v>1</v>
      </c>
      <c r="P42" s="2" t="str">
        <f>IF(P10&lt;4,4-P10,"")</f>
        <v/>
      </c>
      <c r="Q42" s="2" t="str">
        <f>IF(Q10&lt;4,4-Q10,"")</f>
        <v/>
      </c>
      <c r="R42" s="2" t="str">
        <f>IF(R10&lt;4,4-R10,"")</f>
        <v/>
      </c>
      <c r="S42" s="2" t="str">
        <f>IF(S10&lt;4,4-S10,"")</f>
        <v/>
      </c>
      <c r="V42" s="2" t="str">
        <v>+0.75</v>
      </c>
      <c r="W42" s="2">
        <f>IF(W10&lt;8,8-W10,"")</f>
        <v>3</v>
      </c>
      <c r="X42" s="2">
        <f>IF(X10&lt;6,6-X10,"")</f>
        <v>1</v>
      </c>
      <c r="Y42" s="2" t="str">
        <f>IF(Y10&lt;6,6-Y10,"")</f>
        <v/>
      </c>
      <c r="Z42" s="2" t="str">
        <f>IF(Z10&lt;6,6-Z10,"")</f>
        <v/>
      </c>
      <c r="AA42" s="2">
        <f>IF(AA10&lt;6,6-AA10,"")</f>
        <v>5</v>
      </c>
      <c r="AB42" s="2" t="str">
        <f>IF(AB10&lt;4,4-AB10,"")</f>
        <v/>
      </c>
      <c r="AC42" s="2" t="str">
        <f>IF(AC10&lt;4,4-AC10,"")</f>
        <v/>
      </c>
      <c r="AD42" s="2" t="str">
        <f>IF(AD10&lt;4,4-AD10,"")</f>
        <v/>
      </c>
      <c r="AE42" s="2">
        <f>IF(AE10&lt;4,4-AE10,"")</f>
        <v>2</v>
      </c>
    </row>
    <row r="43">
      <c r="B43" s="2" t="str">
        <v>-0.75</v>
      </c>
      <c r="C43" s="2">
        <f>IF(C11&lt;20,20-C11,"")</f>
        <v>9</v>
      </c>
      <c r="D43" s="2">
        <f>IF(D11&lt;20,20-D11,"")</f>
        <v>2</v>
      </c>
      <c r="E43" s="2">
        <f>IF(E11&lt;20,20-E11,"")</f>
        <v>20</v>
      </c>
      <c r="F43" s="2">
        <f>IF(F11&lt;20,20-F11,"")</f>
        <v>3</v>
      </c>
      <c r="G43" s="2">
        <f>IF(G11&lt;20,20-G11,"")</f>
        <v>2</v>
      </c>
      <c r="H43" s="2" t="str">
        <f>IF(H11&lt;10,10-H11,"")</f>
        <v/>
      </c>
      <c r="I43" s="2" t="str">
        <f>IF(I11&lt;10,10-I11,"")</f>
        <v/>
      </c>
      <c r="J43" s="2" t="str">
        <f>IF(J11&lt;10,10-J11,"")</f>
        <v/>
      </c>
      <c r="K43" s="2" t="str">
        <f>IF(K11&lt;10,10-K11,"")</f>
        <v/>
      </c>
      <c r="L43" s="2" t="str">
        <f>IF(L11&lt;3,3-L11,"")</f>
        <v/>
      </c>
      <c r="M43" s="2" t="str">
        <f>IF(M11&lt;3,3-M11,"")</f>
        <v/>
      </c>
      <c r="N43" s="2" t="str">
        <f>IF(N11&lt;3,3-N11,"")</f>
        <v/>
      </c>
      <c r="O43" s="2">
        <f>IF(O11&lt;3,3-O11,"")</f>
        <v>1</v>
      </c>
      <c r="P43" s="2" t="str">
        <f>IF(P11&lt;4,4-P11,"")</f>
        <v/>
      </c>
      <c r="Q43" s="2" t="str">
        <f>IF(Q11&lt;4,4-Q11,"")</f>
        <v/>
      </c>
      <c r="R43" s="2" t="str">
        <f>IF(R11&lt;4,4-R11,"")</f>
        <v/>
      </c>
      <c r="S43" s="2" t="str">
        <f>IF(S11&lt;4,4-S11,"")</f>
        <v/>
      </c>
      <c r="V43" s="2" t="str">
        <v>+1.00</v>
      </c>
      <c r="W43" s="2" t="str">
        <f>IF(W11&lt;8,8-W11,"")</f>
        <v/>
      </c>
      <c r="X43" s="2" t="str">
        <f>IF(X11&lt;6,6-X11,"")</f>
        <v/>
      </c>
      <c r="Y43" s="2">
        <f>IF(Y11&lt;6,6-Y11,"")</f>
        <v>2</v>
      </c>
      <c r="Z43" s="2">
        <f>IF(Z11&lt;6,6-Z11,"")</f>
        <v>1</v>
      </c>
      <c r="AA43" s="2" t="str">
        <f>IF(AA11&lt;6,6-AA11,"")</f>
        <v/>
      </c>
      <c r="AB43" s="2" t="str">
        <f>IF(AB11&lt;4,4-AB11,"")</f>
        <v/>
      </c>
      <c r="AC43" s="2" t="str">
        <f>IF(AC11&lt;4,4-AC11,"")</f>
        <v/>
      </c>
      <c r="AD43" s="2" t="str">
        <f>IF(AD11&lt;4,4-AD11,"")</f>
        <v/>
      </c>
      <c r="AE43" s="2">
        <f>IF(AE11&lt;4,4-AE11,"")</f>
        <v>1</v>
      </c>
    </row>
    <row r="44">
      <c r="B44" s="2" t="str">
        <v>-1.00</v>
      </c>
      <c r="C44" s="2">
        <f>IF(C12&lt;20,20-C12,"")</f>
        <v>2</v>
      </c>
      <c r="D44" s="2">
        <f>IF(D12&lt;20,20-D12,"")</f>
        <v>1</v>
      </c>
      <c r="E44" s="2">
        <f>IF(E12&lt;20,20-E12,"")</f>
        <v>7</v>
      </c>
      <c r="F44" s="2">
        <f>IF(F12&lt;20,20-F12,"")</f>
        <v>2</v>
      </c>
      <c r="G44" s="2">
        <f>IF(G12&lt;20,20-G12,"")</f>
        <v>5</v>
      </c>
      <c r="H44" s="2" t="str">
        <f>IF(H12&lt;10,10-H12,"")</f>
        <v/>
      </c>
      <c r="I44" s="2" t="str">
        <f>IF(I12&lt;10,10-I12,"")</f>
        <v/>
      </c>
      <c r="J44" s="2" t="str">
        <f>IF(J12&lt;10,10-J12,"")</f>
        <v/>
      </c>
      <c r="K44" s="2">
        <f>IF(K12&lt;10,10-K12,"")</f>
        <v>1</v>
      </c>
      <c r="L44" s="2" t="str">
        <f>IF(L12&lt;3,3-L12,"")</f>
        <v/>
      </c>
      <c r="M44" s="2" t="str">
        <f>IF(M12&lt;3,3-M12,"")</f>
        <v/>
      </c>
      <c r="N44" s="2" t="str">
        <f>IF(N12&lt;3,3-N12,"")</f>
        <v/>
      </c>
      <c r="O44" s="2">
        <f>IF(O12&lt;3,3-O12,"")</f>
        <v>1</v>
      </c>
      <c r="P44" s="2" t="str">
        <f>IF(P12&lt;4,4-P12,"")</f>
        <v/>
      </c>
      <c r="Q44" s="2" t="str">
        <f>IF(Q12&lt;4,4-Q12,"")</f>
        <v/>
      </c>
      <c r="R44" s="2" t="str">
        <f>IF(R12&lt;4,4-R12,"")</f>
        <v/>
      </c>
      <c r="S44" s="2" t="str">
        <f>IF(S12&lt;4,4-S12,"")</f>
        <v/>
      </c>
      <c r="V44" s="2" t="str">
        <v>+1.25</v>
      </c>
      <c r="W44" s="2">
        <f>IF(W12&lt;8,8-W12,"")</f>
        <v>3</v>
      </c>
      <c r="X44" s="2" t="str">
        <f>IF(X12&lt;4,4-X12,"")</f>
        <v/>
      </c>
      <c r="Y44" s="2" t="str">
        <f>IF(Y12&lt;4,4-Y12,"")</f>
        <v/>
      </c>
      <c r="Z44" s="2" t="str">
        <f>IF(Z12&lt;4,4-Z12,"")</f>
        <v/>
      </c>
      <c r="AA44" s="2" t="str">
        <f>IF(AA12&lt;4,4-AA12,"")</f>
        <v/>
      </c>
      <c r="AB44" s="2" t="str">
        <f>IF(AB12&lt;4,4-AB12,"")</f>
        <v/>
      </c>
      <c r="AC44" s="2">
        <f>IF(AC12&lt;4,4-AC12,"")</f>
        <v>2</v>
      </c>
      <c r="AD44" s="2" t="str">
        <f>IF(AD12&lt;4,4-AD12,"")</f>
        <v/>
      </c>
      <c r="AE44" s="2" t="str">
        <f>IF(AE12&lt;4,4-AE12,"")</f>
        <v/>
      </c>
    </row>
    <row r="45">
      <c r="B45" s="2" t="str">
        <v>-1.25</v>
      </c>
      <c r="C45" s="2" t="str">
        <f>IF(C13&lt;16,16-C13,"")</f>
        <v/>
      </c>
      <c r="D45" s="2" t="str">
        <f>IF(D13&lt;10,10-D13,"")</f>
        <v/>
      </c>
      <c r="E45" s="2">
        <f>IF(E13&lt;10,10-E13,"")</f>
        <v>2</v>
      </c>
      <c r="F45" s="2" t="str">
        <f>IF(F13&lt;10,10-F13,"")</f>
        <v/>
      </c>
      <c r="G45" s="2">
        <f>IF(G13&lt;10,10-G13,"")</f>
        <v>4</v>
      </c>
      <c r="H45" s="2" t="str">
        <f>IF(H13&lt;10,10-H13,"")</f>
        <v/>
      </c>
      <c r="I45" s="2">
        <f>IF(I13&lt;10,10-I13,"")</f>
        <v>1</v>
      </c>
      <c r="J45" s="2">
        <f>IF(J13&lt;10,10-J13,"")</f>
        <v>1</v>
      </c>
      <c r="K45" s="2" t="str">
        <f>IF(K13&lt;10,10-K13,"")</f>
        <v/>
      </c>
      <c r="L45" s="2" t="str">
        <f>IF(L13&lt;3,3-L13,"")</f>
        <v/>
      </c>
      <c r="M45" s="2" t="str">
        <f>IF(M13&lt;3,3-M13,"")</f>
        <v/>
      </c>
      <c r="N45" s="2" t="str">
        <f>IF(N13&lt;3,3-N13,"")</f>
        <v/>
      </c>
      <c r="O45" s="2" t="str">
        <f>IF(O13&lt;3,3-O13,"")</f>
        <v/>
      </c>
      <c r="P45" s="2" t="str">
        <f>IF(P13&lt;4,4-P13,"")</f>
        <v/>
      </c>
      <c r="Q45" s="2" t="str">
        <f>IF(Q13&lt;4,4-Q13,"")</f>
        <v/>
      </c>
      <c r="R45" s="2" t="str">
        <f>IF(R13&lt;4,4-R13,"")</f>
        <v/>
      </c>
      <c r="S45" s="2" t="str">
        <f>IF(S13&lt;4,4-S13,"")</f>
        <v/>
      </c>
      <c r="V45" s="2" t="str">
        <v>+1.50</v>
      </c>
      <c r="W45" s="2">
        <f>IF(W13&lt;8,8-W13,"")</f>
        <v>2</v>
      </c>
      <c r="X45" s="2" t="str">
        <f>IF(X13&lt;4,4-X13,"")</f>
        <v/>
      </c>
      <c r="Y45" s="2" t="str">
        <f>IF(Y13&lt;4,4-Y13,"")</f>
        <v/>
      </c>
      <c r="Z45" s="2" t="str">
        <f>IF(Z13&lt;4,4-Z13,"")</f>
        <v/>
      </c>
      <c r="AA45" s="2" t="str">
        <f>IF(AA13&lt;4,4-AA13,"")</f>
        <v/>
      </c>
      <c r="AB45" s="2" t="str">
        <f>IF(AB13&lt;4,4-AB13,"")</f>
        <v/>
      </c>
      <c r="AC45" s="2" t="str">
        <f>IF(AC13&lt;4,4-AC13,"")</f>
        <v/>
      </c>
      <c r="AD45" s="2" t="str">
        <f>IF(AD13&lt;4,4-AD13,"")</f>
        <v/>
      </c>
      <c r="AE45" s="2" t="str">
        <f>IF(AE13&lt;4,4-AE13,"")</f>
        <v/>
      </c>
    </row>
    <row r="46">
      <c r="B46" s="2" t="str">
        <v>-1.50</v>
      </c>
      <c r="C46" s="2" t="str">
        <f>IF(C14&lt;16,16-C14,"")</f>
        <v/>
      </c>
      <c r="D46" s="2">
        <f>IF(D14&lt;10,10-D14,"")</f>
        <v>1</v>
      </c>
      <c r="E46" s="2">
        <f>IF(E14&lt;10,10-E14,"")</f>
        <v>4</v>
      </c>
      <c r="F46" s="2">
        <f>IF(F14&lt;10,10-F14,"")</f>
        <v>1</v>
      </c>
      <c r="G46" s="2">
        <f>IF(G14&lt;10,10-G14,"")</f>
        <v>2</v>
      </c>
      <c r="H46" s="2" t="str">
        <f>IF(H14&lt;10,10-H14,"")</f>
        <v/>
      </c>
      <c r="I46" s="2">
        <f>IF(I14&lt;10,10-I14,"")</f>
        <v>1</v>
      </c>
      <c r="J46" s="2" t="str">
        <f>IF(J14&lt;10,10-J14,"")</f>
        <v/>
      </c>
      <c r="K46" s="2" t="str">
        <f>IF(K14&lt;10,10-K14,"")</f>
        <v/>
      </c>
      <c r="L46" s="2" t="str">
        <f>IF(L14&lt;3,3-L14,"")</f>
        <v/>
      </c>
      <c r="M46" s="2" t="str">
        <f>IF(M14&lt;3,3-M14,"")</f>
        <v/>
      </c>
      <c r="N46" s="2">
        <f>IF(N14&lt;3,3-N14,"")</f>
        <v>1</v>
      </c>
      <c r="O46" s="2" t="str">
        <f>IF(O14&lt;3,3-O14,"")</f>
        <v/>
      </c>
      <c r="P46" s="2" t="str">
        <f>IF(P14&lt;4,4-P14,"")</f>
        <v/>
      </c>
      <c r="Q46" s="2" t="str">
        <f>IF(Q14&lt;4,4-Q14,"")</f>
        <v/>
      </c>
      <c r="R46" s="2" t="str">
        <f>IF(R14&lt;4,4-R14,"")</f>
        <v/>
      </c>
      <c r="S46" s="2" t="str">
        <f>IF(S14&lt;4,4-S14,"")</f>
        <v/>
      </c>
      <c r="V46" s="2" t="str">
        <v>+1.75</v>
      </c>
      <c r="W46" s="2">
        <f>IF(W14&lt;8,8-W14,"")</f>
        <v>7</v>
      </c>
      <c r="X46" s="2" t="str">
        <f>IF(X14&lt;4,4-X14,"")</f>
        <v/>
      </c>
      <c r="Y46" s="2" t="str">
        <f>IF(Y14&lt;4,4-Y14,"")</f>
        <v/>
      </c>
      <c r="Z46" s="2" t="str">
        <f>IF(Z14&lt;4,4-Z14,"")</f>
        <v/>
      </c>
      <c r="AA46" s="2" t="str">
        <f>IF(AA14&lt;4,4-AA14,"")</f>
        <v/>
      </c>
      <c r="AB46" s="2" t="str">
        <f>IF(AB14&lt;4,4-AB14,"")</f>
        <v/>
      </c>
      <c r="AC46" s="2" t="str">
        <f>IF(AC14&lt;4,4-AC14,"")</f>
        <v/>
      </c>
      <c r="AD46" s="2" t="str">
        <f>IF(AD14&lt;4,4-AD14,"")</f>
        <v/>
      </c>
      <c r="AE46" s="2" t="str">
        <f>IF(AE14&lt;4,4-AE14,"")</f>
        <v/>
      </c>
    </row>
    <row r="47">
      <c r="B47" s="2" t="str">
        <v>-1.75</v>
      </c>
      <c r="C47" s="2">
        <f>IF(C15&lt;16,16-C15,"")</f>
        <v>2</v>
      </c>
      <c r="D47" s="2">
        <f>IF(D15&lt;10,10-D15,"")</f>
        <v>3</v>
      </c>
      <c r="E47" s="2" t="str">
        <f>IF(E15&lt;10,10-E15,"")</f>
        <v/>
      </c>
      <c r="F47" s="2">
        <f>IF(F15&lt;10,10-F15,"")</f>
        <v>1</v>
      </c>
      <c r="G47" s="2" t="str">
        <f>IF(G15&lt;10,10-G15,"")</f>
        <v/>
      </c>
      <c r="H47" s="2" t="str">
        <f>IF(H15&lt;10,10-H15,"")</f>
        <v/>
      </c>
      <c r="I47" s="2" t="str">
        <f>IF(I15&lt;10,10-I15,"")</f>
        <v/>
      </c>
      <c r="J47" s="2" t="str">
        <f>IF(J15&lt;10,10-J15,"")</f>
        <v/>
      </c>
      <c r="K47" s="2" t="str">
        <f>IF(K15&lt;10,10-K15,"")</f>
        <v/>
      </c>
      <c r="L47" s="2" t="str">
        <f>IF(L15&lt;3,3-L15,"")</f>
        <v/>
      </c>
      <c r="M47" s="2" t="str">
        <f>IF(M15&lt;3,3-M15,"")</f>
        <v/>
      </c>
      <c r="N47" s="2" t="str">
        <f>IF(N15&lt;3,3-N15,"")</f>
        <v/>
      </c>
      <c r="O47" s="2" t="str">
        <f>IF(O15&lt;3,3-O15,"")</f>
        <v/>
      </c>
      <c r="P47" s="2" t="str">
        <f>IF(P15&lt;4,4-P15,"")</f>
        <v/>
      </c>
      <c r="Q47" s="2" t="str">
        <f>IF(Q15&lt;4,4-Q15,"")</f>
        <v/>
      </c>
      <c r="R47" s="2" t="str">
        <f>IF(R15&lt;4,4-R15,"")</f>
        <v/>
      </c>
      <c r="S47" s="2" t="str">
        <f>IF(S15&lt;4,4-S15,"")</f>
        <v/>
      </c>
      <c r="V47" s="2" t="str">
        <v>+2.00</v>
      </c>
      <c r="W47" s="2">
        <f>IF(W15&lt;8,8-W15,"")</f>
        <v>2</v>
      </c>
      <c r="X47" s="2" t="str">
        <f>IF(X15&lt;4,4-X15,"")</f>
        <v/>
      </c>
      <c r="Y47" s="2">
        <f>IF(Y15&lt;4,4-Y15,"")</f>
        <v>3</v>
      </c>
      <c r="Z47" s="2" t="str">
        <f>IF(Z15&lt;4,4-Z15,"")</f>
        <v/>
      </c>
      <c r="AA47" s="2" t="str">
        <f>IF(AA15&lt;4,4-AA15,"")</f>
        <v/>
      </c>
      <c r="AB47" s="2" t="str">
        <f>IF(AB15&lt;4,4-AB15,"")</f>
        <v/>
      </c>
      <c r="AC47" s="2" t="str">
        <f>IF(AC15&lt;4,4-AC15,"")</f>
        <v/>
      </c>
      <c r="AD47" s="2" t="str">
        <f>IF(AD15&lt;4,4-AD15,"")</f>
        <v/>
      </c>
      <c r="AE47" s="2" t="str">
        <f>IF(AE15&lt;4,4-AE15,"")</f>
        <v/>
      </c>
    </row>
    <row r="48">
      <c r="B48" s="2" t="str">
        <v>-2.00</v>
      </c>
      <c r="C48" s="2" t="str">
        <f>IF(C16&lt;16,16-C16,"")</f>
        <v/>
      </c>
      <c r="D48" s="2" t="str">
        <f>IF(D16&lt;10,10-D16,"")</f>
        <v/>
      </c>
      <c r="E48" s="2">
        <f>IF(E16&lt;10,10-E16,"")</f>
        <v>4</v>
      </c>
      <c r="F48" s="2">
        <f>IF(F16&lt;10,10-F16,"")</f>
        <v>2</v>
      </c>
      <c r="G48" s="2" t="str">
        <f>IF(G16&lt;10,10-G16,"")</f>
        <v/>
      </c>
      <c r="H48" s="2">
        <f>IF(H16&lt;10,10-H16,"")</f>
        <v>1</v>
      </c>
      <c r="I48" s="2" t="str">
        <f>IF(I16&lt;10,10-I16,"")</f>
        <v/>
      </c>
      <c r="J48" s="2" t="str">
        <f>IF(J16&lt;10,10-J16,"")</f>
        <v/>
      </c>
      <c r="K48" s="2">
        <f>IF(K16&lt;10,10-K16,"")</f>
        <v>2</v>
      </c>
      <c r="L48" s="2" t="str">
        <f>IF(L16&lt;3,3-L16,"")</f>
        <v/>
      </c>
      <c r="M48" s="2" t="str">
        <f>IF(M16&lt;3,3-M16,"")</f>
        <v/>
      </c>
      <c r="N48" s="2" t="str">
        <f>IF(N16&lt;3,3-N16,"")</f>
        <v/>
      </c>
      <c r="O48" s="2" t="str">
        <f>IF(O16&lt;3,3-O16,"")</f>
        <v/>
      </c>
      <c r="P48" s="2" t="str">
        <f>IF(P16&lt;4,4-P16,"")</f>
        <v/>
      </c>
      <c r="Q48" s="2" t="str">
        <f>IF(Q16&lt;4,4-Q16,"")</f>
        <v/>
      </c>
      <c r="R48" s="2" t="str">
        <f>IF(R16&lt;4,4-R16,"")</f>
        <v/>
      </c>
      <c r="S48" s="2" t="str">
        <f>IF(S16&lt;4,4-S16,"")</f>
        <v/>
      </c>
      <c r="V48" s="2" t="str">
        <v>+2.25</v>
      </c>
      <c r="W48" s="2">
        <f>IF(W16&lt;8,8-W16,"")</f>
        <v>2</v>
      </c>
      <c r="X48" s="2" t="str">
        <f>IF(X16&lt;4,4-X16,"")</f>
        <v/>
      </c>
      <c r="Y48" s="2">
        <f>IF(Y16&lt;4,4-Y16,"")</f>
        <v>1</v>
      </c>
      <c r="Z48" s="2" t="str">
        <f>IF(Z16&lt;4,4-Z16,"")</f>
        <v/>
      </c>
      <c r="AA48" s="2" t="str">
        <f>IF(AA16&lt;4,4-AA16,"")</f>
        <v/>
      </c>
      <c r="AB48" s="2" t="str">
        <f>IF(AB16&lt;4,4-AB16,"")</f>
        <v/>
      </c>
      <c r="AC48" s="2" t="str">
        <f>IF(AC16&lt;4,4-AC16,"")</f>
        <v/>
      </c>
      <c r="AD48" s="2" t="str">
        <f>IF(AD16&lt;4,4-AD16,"")</f>
        <v/>
      </c>
      <c r="AE48" s="2" t="str">
        <f>IF(AE16&lt;4,4-AE16,"")</f>
        <v/>
      </c>
    </row>
    <row r="49">
      <c r="B49" s="2" t="str">
        <v>-2.25</v>
      </c>
      <c r="C49" s="2" t="str">
        <f>IF(C17&lt;6,6-C17,"")</f>
        <v/>
      </c>
      <c r="D49" s="2" t="str">
        <f>IF(D17&lt;6,6-D17,"")</f>
        <v/>
      </c>
      <c r="E49" s="2" t="str">
        <f>IF(E17&lt;6,6-E17,"")</f>
        <v/>
      </c>
      <c r="F49" s="2">
        <f>IF(F17&lt;6,6-F17,"")</f>
        <v>2</v>
      </c>
      <c r="G49" s="2" t="str">
        <f>IF(G17&lt;6,6-G17,"")</f>
        <v/>
      </c>
      <c r="H49" s="2">
        <f>IF(H17&lt;6,6-H17,"")</f>
        <v>2</v>
      </c>
      <c r="I49" s="2" t="str">
        <f>IF(I17&lt;6,6-I17,"")</f>
        <v/>
      </c>
      <c r="J49" s="2" t="str">
        <f>IF(J17&lt;6,6-J17,"")</f>
        <v/>
      </c>
      <c r="K49" s="2" t="str">
        <f>IF(K17&lt;6,6-K17,"")</f>
        <v/>
      </c>
      <c r="L49" s="2" t="str">
        <f>IF(L17&lt;3,3-L17,"")</f>
        <v/>
      </c>
      <c r="M49" s="2" t="str">
        <f>IF(M17&lt;3,3-M17,"")</f>
        <v/>
      </c>
      <c r="N49" s="2" t="str">
        <f>IF(N17&lt;3,3-N17,"")</f>
        <v/>
      </c>
      <c r="O49" s="2" t="str">
        <f>IF(O17&lt;3,3-O17,"")</f>
        <v/>
      </c>
      <c r="P49" s="2" t="str">
        <f>IF(P17&lt;4,4-P17,"")</f>
        <v/>
      </c>
      <c r="Q49" s="2">
        <f>IF(Q17&lt;4,4-Q17,"")</f>
        <v>1</v>
      </c>
      <c r="R49" s="2" t="str">
        <f>IF(R17&lt;4,4-R17,"")</f>
        <v/>
      </c>
      <c r="S49" s="2" t="str">
        <f>IF(S17&lt;4,4-S17,"")</f>
        <v/>
      </c>
      <c r="V49" s="2" t="str">
        <v>+2.50</v>
      </c>
      <c r="W49" s="2" t="str">
        <f>IF(W17&lt;8,8-W17,"")</f>
        <v/>
      </c>
      <c r="X49" s="2" t="str">
        <f>IF(X17&lt;4,4-X17,"")</f>
        <v/>
      </c>
      <c r="Y49" s="2">
        <f>IF(Y17&lt;4,4-Y17,"")</f>
        <v>2</v>
      </c>
      <c r="Z49" s="2" t="str">
        <f>IF(Z17&lt;4,4-Z17,"")</f>
        <v/>
      </c>
      <c r="AA49" s="2" t="str">
        <f>IF(AA17&lt;4,4-AA17,"")</f>
        <v/>
      </c>
      <c r="AB49" s="2" t="str">
        <f>IF(AB17&lt;4,4-AB17,"")</f>
        <v/>
      </c>
      <c r="AC49" s="2" t="str">
        <f>IF(AC17&lt;4,4-AC17,"")</f>
        <v/>
      </c>
      <c r="AD49" s="2" t="str">
        <f>IF(AD17&lt;4,4-AD17,"")</f>
        <v/>
      </c>
      <c r="AE49" s="2" t="str">
        <f>IF(AE17&lt;4,4-AE17,"")</f>
        <v/>
      </c>
    </row>
    <row r="50">
      <c r="B50" s="2" t="str">
        <v>-2.50</v>
      </c>
      <c r="C50" s="2" t="str">
        <f>IF(C18&lt;6,6-C18,"")</f>
        <v/>
      </c>
      <c r="D50" s="2" t="str">
        <f>IF(D18&lt;6,6-D18,"")</f>
        <v/>
      </c>
      <c r="E50" s="2" t="str">
        <f>IF(E18&lt;6,6-E18,"")</f>
        <v/>
      </c>
      <c r="F50" s="2">
        <f>IF(F18&lt;6,6-F18,"")</f>
        <v>6</v>
      </c>
      <c r="G50" s="2">
        <f>IF(G18&lt;6,6-G18,"")</f>
        <v>1</v>
      </c>
      <c r="H50" s="2">
        <f>IF(H18&lt;6,6-H18,"")</f>
        <v>1</v>
      </c>
      <c r="I50" s="2">
        <f>IF(I18&lt;6,6-I18,"")</f>
        <v>6</v>
      </c>
      <c r="J50" s="2" t="str">
        <f>IF(J18&lt;6,6-J18,"")</f>
        <v/>
      </c>
      <c r="K50" s="2" t="str">
        <f>IF(K18&lt;6,6-K18,"")</f>
        <v/>
      </c>
      <c r="L50" s="2" t="str">
        <f>IF(L18&lt;3,3-L18,"")</f>
        <v/>
      </c>
      <c r="M50" s="2" t="str">
        <f>IF(M18&lt;3,3-M18,"")</f>
        <v/>
      </c>
      <c r="N50" s="2" t="str">
        <f>IF(N18&lt;3,3-N18,"")</f>
        <v/>
      </c>
      <c r="O50" s="2" t="str">
        <f>IF(O18&lt;3,3-O18,"")</f>
        <v/>
      </c>
      <c r="P50" s="2" t="str">
        <f>IF(P18&lt;4,4-P18,"")</f>
        <v/>
      </c>
      <c r="Q50" s="2" t="str">
        <f>IF(Q18&lt;4,4-Q18,"")</f>
        <v/>
      </c>
      <c r="R50" s="2" t="str">
        <f>IF(R18&lt;4,4-R18,"")</f>
        <v/>
      </c>
      <c r="S50" s="2" t="str">
        <f>IF(S18&lt;4,4-S18,"")</f>
        <v/>
      </c>
      <c r="V50" s="2" t="str">
        <v>+2.75</v>
      </c>
      <c r="W50" s="2">
        <f>IF(W18&lt;8,8-W18,"")</f>
        <v>2</v>
      </c>
      <c r="X50" s="2" t="str">
        <f>IF(X18&lt;4,4-X18,"")</f>
        <v/>
      </c>
      <c r="Y50" s="2" t="str">
        <f>IF(Y18&lt;4,4-Y18,"")</f>
        <v/>
      </c>
      <c r="Z50" s="2" t="str">
        <f>IF(Z18&lt;4,4-Z18,"")</f>
        <v/>
      </c>
      <c r="AA50" s="2" t="str">
        <f>IF(AA18&lt;4,4-AA18,"")</f>
        <v/>
      </c>
      <c r="AB50" s="2" t="str">
        <f>IF(AB18&lt;4,4-AB18,"")</f>
        <v/>
      </c>
      <c r="AC50" s="2" t="str">
        <f>IF(AC18&lt;4,4-AC18,"")</f>
        <v/>
      </c>
      <c r="AD50" s="2" t="str">
        <f>IF(AD18&lt;4,4-AD18,"")</f>
        <v/>
      </c>
      <c r="AE50" s="2" t="str">
        <f>IF(AE18&lt;4,4-AE18,"")</f>
        <v/>
      </c>
    </row>
    <row r="51">
      <c r="B51" s="2" t="str">
        <v>-2.75</v>
      </c>
      <c r="C51" s="2" t="str">
        <f>IF(C19&lt;6,6-C19,"")</f>
        <v/>
      </c>
      <c r="D51" s="2" t="str">
        <f>IF(D19&lt;6,6-D19,"")</f>
        <v/>
      </c>
      <c r="E51" s="2">
        <f>IF(E19&lt;6,6-E19,"")</f>
        <v>1</v>
      </c>
      <c r="F51" s="2" t="str">
        <f>IF(F19&lt;6,6-F19,"")</f>
        <v/>
      </c>
      <c r="G51" s="2" t="str">
        <f>IF(G19&lt;6,6-G19,"")</f>
        <v/>
      </c>
      <c r="H51" s="2" t="str">
        <f>IF(H19&lt;6,6-H19,"")</f>
        <v/>
      </c>
      <c r="I51" s="2">
        <f>IF(I19&lt;6,6-I19,"")</f>
        <v>1</v>
      </c>
      <c r="J51" s="2" t="str">
        <f>IF(J19&lt;6,6-J19,"")</f>
        <v/>
      </c>
      <c r="K51" s="2" t="str">
        <f>IF(K19&lt;6,6-K19,"")</f>
        <v/>
      </c>
      <c r="L51" s="2" t="str">
        <f>IF(L19&lt;3,3-L19,"")</f>
        <v/>
      </c>
      <c r="M51" s="2" t="str">
        <f>IF(M19&lt;3,3-M19,"")</f>
        <v/>
      </c>
      <c r="N51" s="2" t="str">
        <f>IF(N19&lt;3,3-N19,"")</f>
        <v/>
      </c>
      <c r="O51" s="2" t="str">
        <f>IF(O19&lt;3,3-O19,"")</f>
        <v/>
      </c>
      <c r="P51" s="2" t="str">
        <f>IF(P19&lt;4,4-P19,"")</f>
        <v/>
      </c>
      <c r="Q51" s="2" t="str">
        <f>IF(Q19&lt;4,4-Q19,"")</f>
        <v/>
      </c>
      <c r="R51" s="2" t="str">
        <f>IF(R19&lt;4,4-R19,"")</f>
        <v/>
      </c>
      <c r="S51" s="2" t="str">
        <f>IF(S19&lt;4,4-S19,"")</f>
        <v/>
      </c>
      <c r="V51" s="2" t="str">
        <v>+3.00</v>
      </c>
      <c r="W51" s="2" t="str">
        <f>IF(W19&lt;8,8-W19,"")</f>
        <v/>
      </c>
      <c r="X51" s="2" t="str">
        <f>IF(X19&lt;4,4-X19,"")</f>
        <v/>
      </c>
      <c r="Y51" s="2" t="str">
        <f>IF(Y19&lt;4,4-Y19,"")</f>
        <v/>
      </c>
      <c r="Z51" s="2">
        <f>IF(Z19&lt;4,4-Z19,"")</f>
        <v>1</v>
      </c>
      <c r="AA51" s="2" t="str">
        <f>IF(AA19&lt;4,4-AA19,"")</f>
        <v/>
      </c>
      <c r="AB51" s="2" t="str">
        <f>IF(AB19&lt;4,4-AB19,"")</f>
        <v/>
      </c>
      <c r="AC51" s="2" t="str">
        <f>IF(AC19&lt;4,4-AC19,"")</f>
        <v/>
      </c>
      <c r="AD51" s="2" t="str">
        <f>IF(AD19&lt;4,4-AD19,"")</f>
        <v/>
      </c>
      <c r="AE51" s="2" t="str">
        <f>IF(AE19&lt;4,4-AE19,"")</f>
        <v/>
      </c>
    </row>
    <row r="52">
      <c r="B52" s="2" t="str">
        <v>-3.00</v>
      </c>
      <c r="C52" s="2" t="str">
        <f>IF(C20&lt;6,6-C20,"")</f>
        <v/>
      </c>
      <c r="D52" s="2">
        <f>IF(D20&lt;6,6-D20,"")</f>
        <v>1</v>
      </c>
      <c r="E52" s="2">
        <f>IF(E20&lt;6,6-E20,"")</f>
        <v>3</v>
      </c>
      <c r="F52" s="2" t="str">
        <f>IF(F20&lt;6,6-F20,"")</f>
        <v/>
      </c>
      <c r="G52" s="2" t="str">
        <f>IF(G20&lt;6,6-G20,"")</f>
        <v/>
      </c>
      <c r="H52" s="2" t="str">
        <f>IF(H20&lt;6,6-H20,"")</f>
        <v/>
      </c>
      <c r="I52" s="2" t="str">
        <f>IF(I20&lt;6,6-I20,"")</f>
        <v/>
      </c>
      <c r="J52" s="2" t="str">
        <f>IF(J20&lt;6,6-J20,"")</f>
        <v/>
      </c>
      <c r="K52" s="2" t="str">
        <f>IF(K20&lt;6,6-K20,"")</f>
        <v/>
      </c>
      <c r="L52" s="2" t="str">
        <f>IF(L20&lt;3,3-L20,"")</f>
        <v/>
      </c>
      <c r="M52" s="2" t="str">
        <f>IF(M20&lt;3,3-M20,"")</f>
        <v/>
      </c>
      <c r="N52" s="2" t="str">
        <f>IF(N20&lt;3,3-N20,"")</f>
        <v/>
      </c>
      <c r="O52" s="2" t="str">
        <f>IF(O20&lt;3,3-O20,"")</f>
        <v/>
      </c>
      <c r="P52" s="2">
        <f>IF(P20&lt;4,4-P20,"")</f>
        <v>1</v>
      </c>
      <c r="Q52" s="2" t="str">
        <f>IF(Q20&lt;4,4-Q20,"")</f>
        <v/>
      </c>
      <c r="R52" s="2" t="str">
        <f>IF(R20&lt;4,4-R20,"")</f>
        <v/>
      </c>
      <c r="S52" s="2" t="str">
        <f>IF(S20&lt;4,4-S20,"")</f>
        <v/>
      </c>
      <c r="V52" s="2" t="str">
        <v>+3.25</v>
      </c>
      <c r="W52" s="2" t="str">
        <f>IF(W20&lt;8,8-W20,"")</f>
        <v/>
      </c>
      <c r="X52" s="2" t="str">
        <f>IF(X20&lt;4,4-X20,"")</f>
        <v/>
      </c>
      <c r="Y52" s="2" t="str">
        <f>IF(Y20&lt;4,4-Y20,"")</f>
        <v/>
      </c>
      <c r="Z52" s="2" t="str">
        <f>IF(Z20&lt;4,4-Z20,"")</f>
        <v/>
      </c>
      <c r="AA52" s="2" t="str">
        <f>IF(AA20&lt;4,4-AA20,"")</f>
        <v/>
      </c>
      <c r="AB52" s="2" t="str">
        <f>IF(AB20&lt;4,4-AB20,"")</f>
        <v/>
      </c>
      <c r="AC52" s="2" t="str">
        <f>IF(AC20&lt;4,4-AC20,"")</f>
        <v/>
      </c>
      <c r="AD52" s="2" t="str">
        <f>IF(AD20&lt;4,4-AD20,"")</f>
        <v/>
      </c>
      <c r="AE52" s="2" t="str">
        <f>IF(AE20&lt;4,4-AE20,"")</f>
        <v/>
      </c>
    </row>
    <row r="53">
      <c r="B53" s="2" t="str">
        <v>-3.25</v>
      </c>
      <c r="C53" s="2">
        <f>IF(C21&lt;6,6-C21,"")</f>
        <v>1</v>
      </c>
      <c r="D53" s="2" t="str">
        <f>IF(D21&lt;3,3-D21,"")</f>
        <v/>
      </c>
      <c r="E53" s="2" t="str">
        <f>IF(E21&lt;3,3-E21,"")</f>
        <v/>
      </c>
      <c r="F53" s="2" t="str">
        <f>IF(F21&lt;3,3-F21,"")</f>
        <v/>
      </c>
      <c r="G53" s="2" t="str">
        <f>IF(G21&lt;3,3-G21,"")</f>
        <v/>
      </c>
      <c r="H53" s="2" t="str">
        <f>IF(H21&lt;3,3-H21,"")</f>
        <v/>
      </c>
      <c r="I53" s="2" t="str">
        <f>IF(I21&lt;3,3-I21,"")</f>
        <v/>
      </c>
      <c r="J53" s="2" t="str">
        <f>IF(J21&lt;3,3-J21,"")</f>
        <v/>
      </c>
      <c r="K53" s="2" t="str">
        <f>IF(K21&lt;3,3-K21,"")</f>
        <v/>
      </c>
      <c r="L53" s="2" t="str">
        <f>IF(L21&lt;3,3-L21,"")</f>
        <v/>
      </c>
      <c r="M53" s="2" t="str">
        <f>IF(M21&lt;3,3-M21,"")</f>
        <v/>
      </c>
      <c r="N53" s="2" t="str">
        <f>IF(N21&lt;3,3-N21,"")</f>
        <v/>
      </c>
      <c r="O53" s="2" t="str">
        <f>IF(O21&lt;3,3-O21,"")</f>
        <v/>
      </c>
      <c r="P53" s="2" t="str">
        <f>IF(P21&lt;4,4-P21,"")</f>
        <v/>
      </c>
      <c r="Q53" s="2" t="str">
        <f>IF(Q21&lt;4,4-Q21,"")</f>
        <v/>
      </c>
      <c r="R53" s="2" t="str">
        <f>IF(R21&lt;4,4-R21,"")</f>
        <v/>
      </c>
      <c r="S53" s="2" t="str">
        <f>IF(S21&lt;4,4-S21,"")</f>
        <v/>
      </c>
      <c r="V53" s="2" t="str">
        <v>+3.50</v>
      </c>
      <c r="W53" s="2" t="str">
        <f>IF(W21&lt;8,8-W21,"")</f>
        <v/>
      </c>
      <c r="X53" s="2" t="str">
        <f>IF(X21&lt;4,4-X21,"")</f>
        <v/>
      </c>
      <c r="Y53" s="2" t="str">
        <f>IF(Y21&lt;4,4-Y21,"")</f>
        <v/>
      </c>
      <c r="Z53" s="2">
        <f>IF(Z21&lt;4,4-Z21,"")</f>
        <v>1</v>
      </c>
      <c r="AA53" s="2">
        <f>IF(AA21&lt;4,4-AA21,"")</f>
        <v>1</v>
      </c>
      <c r="AB53" s="2" t="str">
        <f>IF(AB21&lt;4,4-AB21,"")</f>
        <v/>
      </c>
      <c r="AC53" s="2" t="str">
        <f>IF(AC21&lt;4,4-AC21,"")</f>
        <v/>
      </c>
      <c r="AD53" s="2" t="str">
        <f>IF(AD21&lt;4,4-AD21,"")</f>
        <v/>
      </c>
      <c r="AE53" s="2" t="str">
        <f>IF(AE21&lt;4,4-AE21,"")</f>
        <v/>
      </c>
    </row>
    <row r="54">
      <c r="B54" s="2" t="str">
        <v>-3.50</v>
      </c>
      <c r="C54" s="2" t="str">
        <f>IF(C22&lt;6,6-C22,"")</f>
        <v/>
      </c>
      <c r="D54" s="2" t="str">
        <f>IF(D22&lt;3,3-D22,"")</f>
        <v/>
      </c>
      <c r="E54" s="2" t="str">
        <f>IF(E22&lt;3,3-E22,"")</f>
        <v/>
      </c>
      <c r="F54" s="2" t="str">
        <f>IF(F22&lt;3,3-F22,"")</f>
        <v/>
      </c>
      <c r="G54" s="2">
        <f>IF(G22&lt;3,3-G22,"")</f>
        <v>1</v>
      </c>
      <c r="H54" s="2" t="str">
        <f>IF(H22&lt;3,3-H22,"")</f>
        <v/>
      </c>
      <c r="I54" s="2" t="str">
        <f>IF(I22&lt;3,3-I22,"")</f>
        <v/>
      </c>
      <c r="J54" s="2" t="str">
        <f>IF(J22&lt;3,3-J22,"")</f>
        <v/>
      </c>
      <c r="K54" s="2" t="str">
        <f>IF(K22&lt;3,3-K22,"")</f>
        <v/>
      </c>
      <c r="L54" s="2" t="str">
        <f>IF(L22&lt;3,3-L22,"")</f>
        <v/>
      </c>
      <c r="M54" s="2">
        <f>IF(M22&lt;3,3-M22,"")</f>
        <v>1</v>
      </c>
      <c r="N54" s="2" t="str">
        <f>IF(N22&lt;3,3-N22,"")</f>
        <v/>
      </c>
      <c r="O54" s="2" t="str">
        <f>IF(O22&lt;3,3-O22,"")</f>
        <v/>
      </c>
      <c r="P54" s="2" t="str">
        <f>IF(P22&lt;4,4-P22,"")</f>
        <v/>
      </c>
      <c r="Q54" s="2" t="str">
        <f>IF(Q22&lt;4,4-Q22,"")</f>
        <v/>
      </c>
      <c r="R54" s="2" t="str">
        <f>IF(R22&lt;4,4-R22,"")</f>
        <v/>
      </c>
      <c r="S54" s="2" t="str">
        <f>IF(S22&lt;4,4-S22,"")</f>
        <v/>
      </c>
      <c r="V54" s="2" t="str">
        <v>+3.75</v>
      </c>
      <c r="W54" s="2" t="str">
        <f>IF(W22&lt;8,8-W22,"")</f>
        <v/>
      </c>
      <c r="X54" s="2" t="str">
        <f>IF(X22&lt;4,4-X22,"")</f>
        <v/>
      </c>
      <c r="Y54" s="2" t="str">
        <f>IF(Y22&lt;4,4-Y22,"")</f>
        <v/>
      </c>
      <c r="Z54" s="2" t="str">
        <f>IF(Z22&lt;4,4-Z22,"")</f>
        <v/>
      </c>
      <c r="AA54" s="2" t="str">
        <f>IF(AA22&lt;4,4-AA22,"")</f>
        <v/>
      </c>
      <c r="AB54" s="2" t="str">
        <f>IF(AB22&lt;4,4-AB22,"")</f>
        <v/>
      </c>
      <c r="AC54" s="2" t="str">
        <f>IF(AC22&lt;4,4-AC22,"")</f>
        <v/>
      </c>
      <c r="AD54" s="2" t="str">
        <f>IF(AD22&lt;4,4-AD22,"")</f>
        <v/>
      </c>
      <c r="AE54" s="2" t="str">
        <f>IF(AE22&lt;4,4-AE22,"")</f>
        <v/>
      </c>
    </row>
    <row r="55">
      <c r="B55" s="2" t="str">
        <v>-3.75</v>
      </c>
      <c r="C55" s="2">
        <f>IF(C23&lt;6,6-C23,"")</f>
        <v>1</v>
      </c>
      <c r="D55" s="2" t="str">
        <f>IF(D23&lt;3,3-D23,"")</f>
        <v/>
      </c>
      <c r="E55" s="2" t="str">
        <f>IF(E23&lt;3,3-E23,"")</f>
        <v/>
      </c>
      <c r="F55" s="2" t="str">
        <f>IF(F23&lt;3,3-F23,"")</f>
        <v/>
      </c>
      <c r="G55" s="2" t="str">
        <f>IF(G23&lt;3,3-G23,"")</f>
        <v/>
      </c>
      <c r="H55" s="2" t="str">
        <f>IF(H23&lt;3,3-H23,"")</f>
        <v/>
      </c>
      <c r="I55" s="2" t="str">
        <f>IF(I23&lt;3,3-I23,"")</f>
        <v/>
      </c>
      <c r="J55" s="2">
        <f>IF(J23&lt;3,3-J23,"")</f>
        <v>1</v>
      </c>
      <c r="K55" s="2" t="str">
        <f>IF(K23&lt;3,3-K23,"")</f>
        <v/>
      </c>
      <c r="L55" s="2" t="str">
        <f>IF(L23&lt;3,3-L23,"")</f>
        <v/>
      </c>
      <c r="M55" s="2" t="str">
        <f>IF(M23&lt;3,3-M23,"")</f>
        <v/>
      </c>
      <c r="N55" s="2" t="str">
        <f>IF(N23&lt;3,3-N23,"")</f>
        <v/>
      </c>
      <c r="O55" s="2" t="str">
        <f>IF(O23&lt;3,3-O23,"")</f>
        <v/>
      </c>
      <c r="P55" s="2" t="str">
        <f>IF(P23&lt;4,4-P23,"")</f>
        <v/>
      </c>
      <c r="Q55" s="2" t="str">
        <f>IF(Q23&lt;4,4-Q23,"")</f>
        <v/>
      </c>
      <c r="R55" s="2" t="str">
        <f>IF(R23&lt;4,4-R23,"")</f>
        <v/>
      </c>
      <c r="S55" s="2" t="str">
        <f>IF(S23&lt;4,4-S23,"")</f>
        <v/>
      </c>
      <c r="V55" s="2" t="str">
        <v>+4.00</v>
      </c>
      <c r="W55" s="2" t="str">
        <f>IF(W23&lt;8,8-W23,"")</f>
        <v/>
      </c>
      <c r="X55" s="2" t="str">
        <f>IF(X23&lt;4,4-X23,"")</f>
        <v/>
      </c>
      <c r="Y55" s="2" t="str">
        <f>IF(Y23&lt;4,4-Y23,"")</f>
        <v/>
      </c>
      <c r="Z55" s="2" t="str">
        <f>IF(Z23&lt;4,4-Z23,"")</f>
        <v/>
      </c>
      <c r="AA55" s="2" t="str">
        <f>IF(AA23&lt;4,4-AA23,"")</f>
        <v/>
      </c>
      <c r="AB55" s="2" t="str">
        <f>IF(AB23&lt;4,4-AB23,"")</f>
        <v/>
      </c>
      <c r="AC55" s="2" t="str">
        <f>IF(AC23&lt;4,4-AC23,"")</f>
        <v/>
      </c>
      <c r="AD55" s="2" t="str">
        <f>IF(AD23&lt;4,4-AD23,"")</f>
        <v/>
      </c>
      <c r="AE55" s="2" t="str">
        <f>IF(AE23&lt;4,4-AE23,"")</f>
        <v/>
      </c>
    </row>
    <row r="56">
      <c r="B56" s="2" t="str">
        <v>-4.00</v>
      </c>
      <c r="C56" s="2" t="str">
        <f>IF(C24&lt;6,6-C24,"")</f>
        <v/>
      </c>
      <c r="D56" s="2">
        <f>IF(D24&lt;3,3-D24,"")</f>
        <v>1</v>
      </c>
      <c r="E56" s="2" t="str">
        <f>IF(E24&lt;3,3-E24,"")</f>
        <v/>
      </c>
      <c r="F56" s="2" t="str">
        <f>IF(F24&lt;3,3-F24,"")</f>
        <v/>
      </c>
      <c r="G56" s="2">
        <f>IF(G24&lt;3,3-G24,"")</f>
        <v>2</v>
      </c>
      <c r="H56" s="2">
        <f>IF(H24&lt;3,3-H24,"")</f>
        <v>1</v>
      </c>
      <c r="I56" s="2" t="str">
        <f>IF(I24&lt;3,3-I24,"")</f>
        <v/>
      </c>
      <c r="J56" s="2" t="str">
        <f>IF(J24&lt;3,3-J24,"")</f>
        <v/>
      </c>
      <c r="K56" s="2">
        <f>IF(K24&lt;3,3-K24,"")</f>
        <v>2</v>
      </c>
      <c r="L56" s="2" t="str">
        <f>IF(L24&lt;3,3-L24,"")</f>
        <v/>
      </c>
      <c r="M56" s="2" t="str">
        <f>IF(M24&lt;3,3-M24,"")</f>
        <v/>
      </c>
      <c r="N56" s="2" t="str">
        <f>IF(N24&lt;3,3-N24,"")</f>
        <v/>
      </c>
      <c r="O56" s="2" t="str">
        <f>IF(O24&lt;3,3-O24,"")</f>
        <v/>
      </c>
      <c r="P56" s="2" t="str">
        <f>IF(P24&lt;4,4-P24,"")</f>
        <v/>
      </c>
      <c r="Q56" s="2" t="str">
        <f>IF(Q24&lt;4,4-Q24,"")</f>
        <v/>
      </c>
      <c r="R56" s="2" t="str">
        <f>IF(R24&lt;4,4-R24,"")</f>
        <v/>
      </c>
      <c r="S56" s="2" t="str">
        <f>IF(S24&lt;4,4-S24,"")</f>
        <v/>
      </c>
      <c r="V56" s="2" t="str">
        <v>+4.25</v>
      </c>
    </row>
    <row r="57">
      <c r="B57" s="2" t="str">
        <v>-4.25</v>
      </c>
      <c r="C57" s="2">
        <f>IF(C25&lt;3,3-C25,"")</f>
        <v>1</v>
      </c>
      <c r="D57" s="2" t="str">
        <f>IF(D25&lt;3,3-D25,"")</f>
        <v/>
      </c>
      <c r="E57" s="2" t="str">
        <f>IF(E25&lt;3,3-E25,"")</f>
        <v/>
      </c>
      <c r="F57" s="2" t="str">
        <f>IF(F25&lt;3,3-F25,"")</f>
        <v/>
      </c>
      <c r="G57" s="2" t="str">
        <f>IF(G25&lt;3,3-G25,"")</f>
        <v/>
      </c>
      <c r="H57" s="2" t="str">
        <f>IF(H25&lt;3,3-H25,"")</f>
        <v/>
      </c>
      <c r="I57" s="2" t="str">
        <f>IF(I25&lt;3,3-I25,"")</f>
        <v/>
      </c>
      <c r="J57" s="2" t="str">
        <f>IF(J25&lt;3,3-J25,"")</f>
        <v/>
      </c>
      <c r="K57" s="2" t="str">
        <f>IF(K25&lt;3,3-K25,"")</f>
        <v/>
      </c>
      <c r="V57" s="2" t="str">
        <v>+4.50</v>
      </c>
    </row>
    <row r="58">
      <c r="B58" s="2" t="str">
        <v>-4.50</v>
      </c>
      <c r="C58" s="2" t="str">
        <f>IF(C26&lt;3,3-C26,"")</f>
        <v/>
      </c>
      <c r="D58" s="2" t="str">
        <f>IF(D26&lt;3,3-D26,"")</f>
        <v/>
      </c>
      <c r="E58" s="2" t="str">
        <f>IF(E26&lt;3,3-E26,"")</f>
        <v/>
      </c>
      <c r="F58" s="2" t="str">
        <f>IF(F26&lt;3,3-F26,"")</f>
        <v/>
      </c>
      <c r="G58" s="2" t="str">
        <f>IF(G26&lt;3,3-G26,"")</f>
        <v/>
      </c>
      <c r="H58" s="2" t="str">
        <f>IF(H26&lt;3,3-H26,"")</f>
        <v/>
      </c>
      <c r="I58" s="2" t="str">
        <f>IF(I26&lt;3,3-I26,"")</f>
        <v/>
      </c>
      <c r="J58" s="2" t="str">
        <f>IF(J26&lt;3,3-J26,"")</f>
        <v/>
      </c>
      <c r="K58" s="2" t="str">
        <f>IF(K26&lt;3,3-K26,"")</f>
        <v/>
      </c>
      <c r="V58" s="2" t="str">
        <v>+4.75</v>
      </c>
    </row>
    <row r="59">
      <c r="B59" s="2" t="str">
        <v>-4.75</v>
      </c>
      <c r="C59" s="2">
        <f>IF(C27&lt;3,3-C27,"")</f>
        <v>1</v>
      </c>
      <c r="D59" s="2" t="str">
        <f>IF(D27&lt;3,3-D27,"")</f>
        <v/>
      </c>
      <c r="E59" s="2">
        <f>IF(E27&lt;3,3-E27,"")</f>
        <v>1</v>
      </c>
      <c r="F59" s="2" t="str">
        <f>IF(F27&lt;3,3-F27,"")</f>
        <v/>
      </c>
      <c r="G59" s="2" t="str">
        <f>IF(G27&lt;3,3-G27,"")</f>
        <v/>
      </c>
      <c r="H59" s="2" t="str">
        <f>IF(H27&lt;3,3-H27,"")</f>
        <v/>
      </c>
      <c r="I59" s="2" t="str">
        <f>IF(I27&lt;3,3-I27,"")</f>
        <v/>
      </c>
      <c r="J59" s="2" t="str">
        <f>IF(J27&lt;3,3-J27,"")</f>
        <v/>
      </c>
      <c r="K59" s="2" t="str">
        <f>IF(K27&lt;3,3-K27,"")</f>
        <v/>
      </c>
      <c r="V59" s="2" t="str">
        <v>+5.00</v>
      </c>
    </row>
    <row r="60">
      <c r="B60" s="2" t="str">
        <v>-5.00</v>
      </c>
      <c r="C60" s="2" t="str">
        <f>IF(C28&lt;3,3-C28,"")</f>
        <v/>
      </c>
      <c r="D60" s="2" t="str">
        <f>IF(D28&lt;3,3-D28,"")</f>
        <v/>
      </c>
      <c r="E60" s="2" t="str">
        <f>IF(E28&lt;3,3-E28,"")</f>
        <v/>
      </c>
      <c r="F60" s="2" t="str">
        <f>IF(F28&lt;3,3-F28,"")</f>
        <v/>
      </c>
      <c r="G60" s="2" t="str">
        <f>IF(G28&lt;3,3-G28,"")</f>
        <v/>
      </c>
      <c r="H60" s="2" t="str">
        <f>IF(H28&lt;3,3-H28,"")</f>
        <v/>
      </c>
      <c r="I60" s="2" t="str">
        <f>IF(I28&lt;3,3-I28,"")</f>
        <v/>
      </c>
      <c r="J60" s="2" t="str">
        <f>IF(J28&lt;3,3-J28,"")</f>
        <v/>
      </c>
      <c r="K60" s="2" t="str">
        <f>IF(K28&lt;3,3-K28,"")</f>
        <v/>
      </c>
      <c r="V60" s="2" t="str">
        <v>+5.25</v>
      </c>
    </row>
    <row r="61">
      <c r="B61" s="2" t="str">
        <v>-5.25</v>
      </c>
      <c r="V61" s="2" t="str">
        <v>+5.50</v>
      </c>
    </row>
    <row r="62">
      <c r="B62" s="2" t="str">
        <v>-5.50</v>
      </c>
      <c r="V62" s="2" t="str">
        <v>+5.75</v>
      </c>
    </row>
    <row r="63">
      <c r="B63" s="2" t="str">
        <v>-5.75</v>
      </c>
      <c r="V63" s="2" t="str">
        <v>+6.00</v>
      </c>
    </row>
    <row r="64">
      <c r="B64" s="2" t="str">
        <v>-6.00</v>
      </c>
    </row>
    <row r="66">
      <c r="E66" s="2" t="str">
        <v>PIEZAS</v>
      </c>
      <c r="Y66" s="2" t="str">
        <v>PIEZAS</v>
      </c>
    </row>
    <row r="67">
      <c r="C67" s="2" t="str">
        <v>1RA SERIE</v>
      </c>
      <c r="E67" s="2">
        <f>SUM(C40:K64)</f>
        <v>252</v>
      </c>
      <c r="G67" s="2" t="str">
        <v>COSTO</v>
      </c>
      <c r="I67" s="2">
        <f>30*E67</f>
        <v>7560</v>
      </c>
      <c r="W67" s="2" t="str">
        <v>1RA SERIE</v>
      </c>
      <c r="Y67" s="2">
        <f>SUM(W40:AE63)</f>
        <v>80</v>
      </c>
      <c r="AA67" s="2" t="str">
        <v>COSTO</v>
      </c>
      <c r="AC67" s="2">
        <f>30*Y67</f>
        <v>2400</v>
      </c>
    </row>
    <row r="68">
      <c r="C68" s="2" t="str">
        <v>2DA SERIE</v>
      </c>
      <c r="E68" s="2">
        <f>SUM(L40:S64)</f>
        <v>17</v>
      </c>
      <c r="G68" s="2" t="str">
        <v>COSTO</v>
      </c>
      <c r="I68" s="2">
        <f>47.5*E68</f>
        <v>807.5</v>
      </c>
      <c r="W68" s="2" t="str">
        <v>2DA SERIE</v>
      </c>
      <c r="Y68" s="2">
        <f>SUM(AF40:AM63)</f>
        <v>0</v>
      </c>
      <c r="AA68" s="2" t="str">
        <v>COSTO</v>
      </c>
      <c r="AC68" s="2">
        <f>47.5*Y68</f>
        <v>0</v>
      </c>
    </row>
    <row r="70">
      <c r="E70" s="2">
        <f>SUM(E67:E69)</f>
        <v>269</v>
      </c>
      <c r="I70" s="2">
        <f>SUM(I67:I69)</f>
        <v>8367.5</v>
      </c>
      <c r="Y70" s="2">
        <f>SUM(Y67:Y69)</f>
        <v>80</v>
      </c>
      <c r="AC70" s="2">
        <f>SUM(AC67:AC69)</f>
        <v>2400</v>
      </c>
    </row>
  </sheetData>
  <mergeCells count="20">
    <mergeCell ref="A40:A64"/>
    <mergeCell ref="U40:U64"/>
    <mergeCell ref="A35:AI35"/>
    <mergeCell ref="C37:O37"/>
    <mergeCell ref="C38:O38"/>
    <mergeCell ref="W37:AM37"/>
    <mergeCell ref="W38:AM38"/>
    <mergeCell ref="A8:A32"/>
    <mergeCell ref="U8:U32"/>
    <mergeCell ref="A2:AI2"/>
    <mergeCell ref="C5:O5"/>
    <mergeCell ref="C6:O6"/>
    <mergeCell ref="W5:AM5"/>
    <mergeCell ref="W6:AM6"/>
    <mergeCell ref="AC67:AD67"/>
    <mergeCell ref="AC68:AD68"/>
    <mergeCell ref="AC70:AD70"/>
    <mergeCell ref="I67:K67"/>
    <mergeCell ref="I68:K68"/>
    <mergeCell ref="I70:K70"/>
  </mergeCells>
  <pageMargins left="0.25" right="0.25" top="0.75" bottom="0.75" header="0.3" footer="0.3"/>
  <ignoredErrors>
    <ignoredError numberStoredAsText="1" sqref="A2:AM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67"/>
  <sheetViews>
    <sheetView workbookViewId="0" rightToLeft="0"/>
  </sheetViews>
  <sheetData>
    <row r="1">
      <c r="A1" s="2" t="str">
        <v>MONOFOCAL FOTO AR (VP)</v>
      </c>
    </row>
    <row r="3">
      <c r="C3" s="2" t="str">
        <v>CILINDRO</v>
      </c>
      <c r="S3" s="2" t="str">
        <v>CILINDRO</v>
      </c>
    </row>
    <row r="4">
      <c r="C4" s="2" t="str">
        <v>(-)</v>
      </c>
      <c r="S4" s="2" t="str">
        <v>(-)</v>
      </c>
    </row>
    <row r="5">
      <c r="A5" s="2" t="str">
        <v>(-)</v>
      </c>
      <c r="C5" s="2" t="str">
        <v>0.00</v>
      </c>
      <c r="D5" s="2" t="str">
        <v>-0.25</v>
      </c>
      <c r="E5" s="2" t="str">
        <v>-0.50</v>
      </c>
      <c r="F5" s="2" t="str">
        <v>-0.75</v>
      </c>
      <c r="G5" s="2" t="str">
        <v>-1.00</v>
      </c>
      <c r="H5" s="2" t="str">
        <v>-1.25</v>
      </c>
      <c r="I5" s="2" t="str">
        <v>-1.50</v>
      </c>
      <c r="J5" s="2" t="str">
        <v>-1.75</v>
      </c>
      <c r="K5" s="2" t="str">
        <v>-2.00</v>
      </c>
      <c r="L5" s="2" t="str">
        <v>-2.25</v>
      </c>
      <c r="M5" s="2" t="str">
        <v>-2.50</v>
      </c>
      <c r="N5" s="2" t="str">
        <v>-2.75</v>
      </c>
      <c r="O5" s="2" t="str">
        <v>-3.00</v>
      </c>
      <c r="Q5" s="2" t="str">
        <v>(+)</v>
      </c>
      <c r="S5" s="2" t="str">
        <v>0.00</v>
      </c>
      <c r="T5" s="2" t="str">
        <v>-0.25</v>
      </c>
      <c r="U5" s="2" t="str">
        <v>-0.50</v>
      </c>
      <c r="V5" s="2" t="str">
        <v>-0.75</v>
      </c>
      <c r="W5" s="2" t="str">
        <v>-1.00</v>
      </c>
      <c r="X5" s="2" t="str">
        <v>-1.25</v>
      </c>
      <c r="Y5" s="2" t="str">
        <v>-1.50</v>
      </c>
      <c r="Z5" s="2" t="str">
        <v>-1.75</v>
      </c>
      <c r="AA5" s="2" t="str">
        <v>-2.00</v>
      </c>
      <c r="AB5" s="2" t="str">
        <v>-2.25</v>
      </c>
      <c r="AC5" s="2" t="str">
        <v>-2.50</v>
      </c>
      <c r="AD5" s="2" t="str">
        <v>-2.75</v>
      </c>
      <c r="AE5" s="2" t="str">
        <v>-3.00</v>
      </c>
    </row>
    <row r="6">
      <c r="A6" s="2" t="str">
        <v>ESFERA</v>
      </c>
      <c r="B6" s="2" t="str">
        <v>0.00</v>
      </c>
      <c r="C6" s="2">
        <v>10</v>
      </c>
      <c r="D6" s="2">
        <v>7</v>
      </c>
      <c r="E6" s="2">
        <v>7</v>
      </c>
      <c r="F6" s="2">
        <v>10</v>
      </c>
      <c r="G6" s="2">
        <v>6</v>
      </c>
      <c r="H6" s="2">
        <v>2</v>
      </c>
      <c r="I6" s="2">
        <v>1</v>
      </c>
      <c r="J6" s="2">
        <v>4</v>
      </c>
      <c r="K6" s="2">
        <v>3</v>
      </c>
      <c r="L6" s="2">
        <v>3</v>
      </c>
      <c r="M6" s="2">
        <v>3</v>
      </c>
      <c r="N6" s="2">
        <v>4</v>
      </c>
      <c r="O6" s="2">
        <v>1</v>
      </c>
      <c r="Q6" s="2" t="str">
        <v>ESFERA</v>
      </c>
      <c r="R6" s="2" t="str">
        <v>+0.25</v>
      </c>
      <c r="S6" s="2">
        <v>4</v>
      </c>
      <c r="T6" s="2">
        <v>6</v>
      </c>
      <c r="U6" s="2">
        <v>6</v>
      </c>
      <c r="V6" s="2">
        <v>6</v>
      </c>
      <c r="W6" s="2">
        <v>6</v>
      </c>
      <c r="X6" s="2">
        <v>4</v>
      </c>
      <c r="Y6" s="2">
        <v>4</v>
      </c>
      <c r="Z6" s="2">
        <v>3</v>
      </c>
      <c r="AA6" s="2">
        <v>4</v>
      </c>
      <c r="AB6" s="2">
        <v>4</v>
      </c>
      <c r="AC6" s="2">
        <v>4</v>
      </c>
      <c r="AD6" s="2">
        <v>4</v>
      </c>
      <c r="AE6" s="2">
        <v>4</v>
      </c>
    </row>
    <row r="7">
      <c r="B7" s="2" t="str">
        <v>-0.25</v>
      </c>
      <c r="C7" s="2">
        <v>6</v>
      </c>
      <c r="D7" s="2">
        <v>6</v>
      </c>
      <c r="E7" s="2">
        <v>4</v>
      </c>
      <c r="F7" s="2">
        <v>6</v>
      </c>
      <c r="G7" s="2">
        <v>6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4</v>
      </c>
      <c r="O7" s="2">
        <v>4</v>
      </c>
      <c r="R7" s="2" t="str">
        <v>+0.50</v>
      </c>
      <c r="S7" s="2">
        <v>3</v>
      </c>
      <c r="T7" s="2">
        <v>2</v>
      </c>
      <c r="U7" s="2">
        <v>4</v>
      </c>
      <c r="V7" s="2">
        <v>4</v>
      </c>
      <c r="W7" s="2">
        <v>4</v>
      </c>
      <c r="X7" s="2">
        <v>4</v>
      </c>
      <c r="Y7" s="2">
        <v>4</v>
      </c>
      <c r="Z7" s="2">
        <v>5</v>
      </c>
      <c r="AA7" s="2">
        <v>3</v>
      </c>
      <c r="AB7" s="2">
        <v>4</v>
      </c>
      <c r="AC7" s="2">
        <v>4</v>
      </c>
      <c r="AD7" s="2">
        <v>4</v>
      </c>
      <c r="AE7" s="2">
        <v>4</v>
      </c>
    </row>
    <row r="8">
      <c r="B8" s="2" t="str">
        <v>-0.50</v>
      </c>
      <c r="C8" s="2">
        <v>5</v>
      </c>
      <c r="D8" s="2">
        <v>9</v>
      </c>
      <c r="E8" s="2">
        <v>6</v>
      </c>
      <c r="F8" s="2">
        <v>8</v>
      </c>
      <c r="G8" s="2">
        <v>7</v>
      </c>
      <c r="H8" s="2">
        <v>4</v>
      </c>
      <c r="I8" s="2">
        <v>4</v>
      </c>
      <c r="J8" s="2">
        <v>4</v>
      </c>
      <c r="K8" s="2">
        <v>4</v>
      </c>
      <c r="L8" s="2">
        <v>3</v>
      </c>
      <c r="M8" s="2">
        <v>4</v>
      </c>
      <c r="N8" s="2">
        <v>4</v>
      </c>
      <c r="O8" s="2">
        <v>4</v>
      </c>
      <c r="R8" s="2" t="str">
        <v>+0.75</v>
      </c>
      <c r="S8" s="2">
        <v>4</v>
      </c>
      <c r="T8" s="2">
        <v>3</v>
      </c>
      <c r="U8" s="2">
        <v>4</v>
      </c>
      <c r="V8" s="2">
        <v>4</v>
      </c>
      <c r="W8" s="2">
        <v>5</v>
      </c>
      <c r="X8" s="2">
        <v>4</v>
      </c>
      <c r="Y8" s="2">
        <v>4</v>
      </c>
      <c r="Z8" s="2">
        <v>4</v>
      </c>
      <c r="AA8" s="2">
        <v>5</v>
      </c>
      <c r="AB8" s="2">
        <v>4</v>
      </c>
      <c r="AC8" s="2">
        <v>4</v>
      </c>
      <c r="AD8" s="2">
        <v>4</v>
      </c>
      <c r="AE8" s="2">
        <v>4</v>
      </c>
    </row>
    <row r="9">
      <c r="B9" s="2" t="str">
        <v>-0.75</v>
      </c>
      <c r="C9" s="2">
        <v>7</v>
      </c>
      <c r="D9" s="2">
        <v>6</v>
      </c>
      <c r="E9" s="2">
        <v>6</v>
      </c>
      <c r="F9" s="2">
        <v>7</v>
      </c>
      <c r="G9" s="2">
        <v>6</v>
      </c>
      <c r="H9" s="2">
        <v>4</v>
      </c>
      <c r="I9" s="2">
        <v>3</v>
      </c>
      <c r="J9" s="2">
        <v>4</v>
      </c>
      <c r="K9" s="2">
        <v>4</v>
      </c>
      <c r="L9" s="2">
        <v>5</v>
      </c>
      <c r="M9" s="2">
        <v>4</v>
      </c>
      <c r="N9" s="2">
        <v>4</v>
      </c>
      <c r="O9" s="2">
        <v>4</v>
      </c>
      <c r="R9" s="2" t="str">
        <v>+1.00</v>
      </c>
      <c r="S9" s="2">
        <v>4</v>
      </c>
      <c r="T9" s="2">
        <v>4</v>
      </c>
      <c r="U9" s="2">
        <v>4</v>
      </c>
      <c r="V9" s="2">
        <v>4</v>
      </c>
      <c r="W9" s="2">
        <v>4</v>
      </c>
      <c r="X9" s="2">
        <v>4</v>
      </c>
      <c r="Y9" s="2">
        <v>4</v>
      </c>
      <c r="Z9" s="2">
        <v>4</v>
      </c>
      <c r="AA9" s="2">
        <v>4</v>
      </c>
      <c r="AB9" s="2">
        <v>4</v>
      </c>
      <c r="AC9" s="2">
        <v>4</v>
      </c>
      <c r="AD9" s="2">
        <v>4</v>
      </c>
      <c r="AE9" s="2">
        <v>2</v>
      </c>
    </row>
    <row r="10">
      <c r="B10" s="2" t="str">
        <v>-1.00</v>
      </c>
      <c r="C10" s="2">
        <v>7</v>
      </c>
      <c r="D10" s="2">
        <v>6</v>
      </c>
      <c r="E10" s="2">
        <v>5</v>
      </c>
      <c r="F10" s="2">
        <v>5</v>
      </c>
      <c r="G10" s="2">
        <v>6</v>
      </c>
      <c r="H10" s="2">
        <v>3</v>
      </c>
      <c r="I10" s="2">
        <v>2</v>
      </c>
      <c r="J10" s="2">
        <v>2</v>
      </c>
      <c r="K10" s="2">
        <v>3</v>
      </c>
      <c r="L10" s="2">
        <v>4</v>
      </c>
      <c r="M10" s="2">
        <v>3</v>
      </c>
      <c r="N10" s="2">
        <v>4</v>
      </c>
      <c r="O10" s="2">
        <v>4</v>
      </c>
      <c r="R10" s="2" t="str">
        <v>+1.25</v>
      </c>
      <c r="S10" s="2">
        <v>3</v>
      </c>
      <c r="T10" s="2">
        <v>3</v>
      </c>
      <c r="U10" s="2">
        <v>4</v>
      </c>
      <c r="V10" s="2">
        <v>4</v>
      </c>
      <c r="W10" s="2">
        <v>4</v>
      </c>
      <c r="X10" s="2">
        <v>4</v>
      </c>
      <c r="Y10" s="2">
        <v>4</v>
      </c>
      <c r="Z10" s="2">
        <v>4</v>
      </c>
      <c r="AA10" s="2">
        <v>4</v>
      </c>
      <c r="AB10" s="2">
        <v>4</v>
      </c>
      <c r="AC10" s="2">
        <v>4</v>
      </c>
      <c r="AD10" s="2">
        <v>4</v>
      </c>
      <c r="AE10" s="2">
        <v>4</v>
      </c>
    </row>
    <row r="11">
      <c r="B11" s="2" t="str">
        <v>-1.25</v>
      </c>
      <c r="C11" s="2">
        <v>7</v>
      </c>
      <c r="D11" s="2">
        <v>3</v>
      </c>
      <c r="E11" s="2">
        <v>3</v>
      </c>
      <c r="F11" s="2">
        <v>4</v>
      </c>
      <c r="G11" s="2">
        <v>3</v>
      </c>
      <c r="H11" s="2">
        <v>3</v>
      </c>
      <c r="I11" s="2">
        <v>3</v>
      </c>
      <c r="J11" s="2">
        <v>3</v>
      </c>
      <c r="K11" s="2">
        <v>1</v>
      </c>
      <c r="L11" s="2">
        <v>3</v>
      </c>
      <c r="M11" s="2">
        <v>3</v>
      </c>
      <c r="N11" s="2">
        <v>3</v>
      </c>
      <c r="O11" s="2">
        <v>3</v>
      </c>
      <c r="R11" s="2" t="str">
        <v>+1.50</v>
      </c>
      <c r="S11" s="2">
        <v>3</v>
      </c>
      <c r="T11" s="2">
        <v>4</v>
      </c>
      <c r="U11" s="2">
        <v>4</v>
      </c>
      <c r="V11" s="2">
        <v>4</v>
      </c>
      <c r="W11" s="2">
        <v>4</v>
      </c>
      <c r="X11" s="2">
        <v>4</v>
      </c>
      <c r="Y11" s="2">
        <v>4</v>
      </c>
      <c r="Z11" s="2">
        <v>4</v>
      </c>
      <c r="AA11" s="2">
        <v>4</v>
      </c>
      <c r="AB11" s="2">
        <v>4</v>
      </c>
      <c r="AC11" s="2">
        <v>4</v>
      </c>
      <c r="AD11" s="2">
        <v>4</v>
      </c>
      <c r="AE11" s="2">
        <v>4</v>
      </c>
    </row>
    <row r="12">
      <c r="B12" s="2" t="str">
        <v>-1.50</v>
      </c>
      <c r="C12" s="2">
        <v>7</v>
      </c>
      <c r="D12" s="2">
        <v>3</v>
      </c>
      <c r="E12" s="2">
        <v>2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2</v>
      </c>
      <c r="L12" s="2">
        <v>3</v>
      </c>
      <c r="M12" s="2">
        <v>3</v>
      </c>
      <c r="N12" s="2">
        <v>3</v>
      </c>
      <c r="O12" s="2">
        <v>2</v>
      </c>
      <c r="R12" s="2" t="str">
        <v>+1.75</v>
      </c>
      <c r="S12" s="2">
        <v>4</v>
      </c>
      <c r="T12" s="2">
        <v>4</v>
      </c>
      <c r="U12" s="2">
        <v>4</v>
      </c>
      <c r="V12" s="2">
        <v>4</v>
      </c>
      <c r="W12" s="2">
        <v>4</v>
      </c>
      <c r="X12" s="2">
        <v>4</v>
      </c>
      <c r="Y12" s="2">
        <v>4</v>
      </c>
      <c r="Z12" s="2">
        <v>3</v>
      </c>
      <c r="AA12" s="2">
        <v>4</v>
      </c>
      <c r="AB12" s="2">
        <v>4</v>
      </c>
      <c r="AC12" s="2">
        <v>4</v>
      </c>
      <c r="AD12" s="2">
        <v>4</v>
      </c>
      <c r="AE12" s="2">
        <v>4</v>
      </c>
    </row>
    <row r="13">
      <c r="B13" s="2" t="str">
        <v>-1.75</v>
      </c>
      <c r="C13" s="2">
        <v>4</v>
      </c>
      <c r="D13" s="2">
        <v>3</v>
      </c>
      <c r="E13" s="2">
        <v>3</v>
      </c>
      <c r="F13" s="2">
        <v>3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2">
        <v>3</v>
      </c>
      <c r="N13" s="2">
        <v>3</v>
      </c>
      <c r="O13" s="2">
        <v>3</v>
      </c>
      <c r="R13" s="2" t="str">
        <v>+2.00</v>
      </c>
      <c r="S13" s="2">
        <v>4</v>
      </c>
      <c r="T13" s="2">
        <v>4</v>
      </c>
      <c r="U13" s="2">
        <v>4</v>
      </c>
      <c r="V13" s="2">
        <v>4</v>
      </c>
      <c r="W13" s="2">
        <v>4</v>
      </c>
      <c r="X13" s="2">
        <v>4</v>
      </c>
      <c r="Y13" s="2">
        <v>4</v>
      </c>
      <c r="Z13" s="2">
        <v>4</v>
      </c>
      <c r="AA13" s="2">
        <v>4</v>
      </c>
      <c r="AB13" s="2">
        <v>4</v>
      </c>
      <c r="AC13" s="2">
        <v>4</v>
      </c>
      <c r="AD13" s="2">
        <v>4</v>
      </c>
      <c r="AE13" s="2">
        <v>4</v>
      </c>
    </row>
    <row r="14">
      <c r="B14" s="2" t="str">
        <v>-2.00</v>
      </c>
      <c r="C14" s="2">
        <v>5</v>
      </c>
      <c r="D14" s="2">
        <v>3</v>
      </c>
      <c r="E14" s="2">
        <v>2</v>
      </c>
      <c r="F14" s="2">
        <v>3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4</v>
      </c>
      <c r="M14" s="2">
        <v>2</v>
      </c>
      <c r="N14" s="2">
        <v>3</v>
      </c>
      <c r="O14" s="2">
        <v>3</v>
      </c>
      <c r="R14" s="2" t="str">
        <v>+2.25</v>
      </c>
      <c r="S14" s="2">
        <v>4</v>
      </c>
      <c r="T14" s="2">
        <v>4</v>
      </c>
      <c r="U14" s="2">
        <v>4</v>
      </c>
      <c r="V14" s="2">
        <v>4</v>
      </c>
      <c r="W14" s="2">
        <v>4</v>
      </c>
      <c r="X14" s="2">
        <v>4</v>
      </c>
      <c r="Y14" s="2">
        <v>4</v>
      </c>
      <c r="Z14" s="2">
        <v>4</v>
      </c>
      <c r="AA14" s="2">
        <v>7</v>
      </c>
      <c r="AB14" s="2">
        <v>4</v>
      </c>
      <c r="AC14" s="2">
        <v>4</v>
      </c>
      <c r="AD14" s="2">
        <v>3</v>
      </c>
      <c r="AE14" s="2">
        <v>4</v>
      </c>
    </row>
    <row r="15">
      <c r="B15" s="2" t="str">
        <v>-2.25</v>
      </c>
      <c r="C15" s="2">
        <v>6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4</v>
      </c>
      <c r="J15" s="2">
        <v>3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R15" s="2" t="str">
        <v>+2.50</v>
      </c>
      <c r="S15" s="2">
        <v>4</v>
      </c>
      <c r="T15" s="2">
        <v>4</v>
      </c>
      <c r="U15" s="2">
        <v>4</v>
      </c>
      <c r="V15" s="2">
        <v>4</v>
      </c>
      <c r="W15" s="2">
        <v>4</v>
      </c>
      <c r="X15" s="2">
        <v>4</v>
      </c>
      <c r="Y15" s="2">
        <v>4</v>
      </c>
      <c r="Z15" s="2">
        <v>4</v>
      </c>
      <c r="AA15" s="2">
        <v>3</v>
      </c>
      <c r="AB15" s="2">
        <v>4</v>
      </c>
      <c r="AC15" s="2">
        <v>5</v>
      </c>
      <c r="AD15" s="2">
        <v>4</v>
      </c>
      <c r="AE15" s="2">
        <v>4</v>
      </c>
    </row>
    <row r="16">
      <c r="B16" s="2" t="str">
        <v>-2.50</v>
      </c>
      <c r="C16" s="2">
        <v>4</v>
      </c>
      <c r="D16" s="2">
        <v>5</v>
      </c>
      <c r="E16" s="2">
        <v>3</v>
      </c>
      <c r="F16" s="2">
        <v>3</v>
      </c>
      <c r="G16" s="2">
        <v>3</v>
      </c>
      <c r="H16" s="2">
        <v>3</v>
      </c>
      <c r="I16" s="2">
        <v>2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R16" s="2" t="str">
        <v>+2.75</v>
      </c>
      <c r="S16" s="2">
        <v>5</v>
      </c>
      <c r="T16" s="2">
        <v>4</v>
      </c>
      <c r="U16" s="2">
        <v>4</v>
      </c>
      <c r="V16" s="2">
        <v>4</v>
      </c>
      <c r="W16" s="2">
        <v>4</v>
      </c>
      <c r="X16" s="2">
        <v>5</v>
      </c>
      <c r="Y16" s="2">
        <v>5</v>
      </c>
      <c r="Z16" s="2">
        <v>4</v>
      </c>
      <c r="AA16" s="2">
        <v>4</v>
      </c>
      <c r="AB16" s="2">
        <v>4</v>
      </c>
      <c r="AC16" s="2">
        <v>3</v>
      </c>
      <c r="AD16" s="2">
        <v>4</v>
      </c>
      <c r="AE16" s="2">
        <v>4</v>
      </c>
    </row>
    <row r="17">
      <c r="B17" s="2" t="str">
        <v>-2.75</v>
      </c>
      <c r="C17" s="2">
        <v>4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3</v>
      </c>
      <c r="N17" s="2">
        <v>3</v>
      </c>
      <c r="O17" s="2">
        <v>3</v>
      </c>
      <c r="R17" s="2" t="str">
        <v>+3.00</v>
      </c>
      <c r="S17" s="2">
        <v>4</v>
      </c>
      <c r="T17" s="2">
        <v>4</v>
      </c>
      <c r="U17" s="2">
        <v>4</v>
      </c>
      <c r="V17" s="2">
        <v>4</v>
      </c>
      <c r="W17" s="2">
        <v>4</v>
      </c>
      <c r="X17" s="2">
        <v>4</v>
      </c>
      <c r="Y17" s="2">
        <v>4</v>
      </c>
      <c r="Z17" s="2">
        <v>4</v>
      </c>
      <c r="AA17" s="2">
        <v>4</v>
      </c>
      <c r="AB17" s="2">
        <v>4</v>
      </c>
      <c r="AC17" s="2">
        <v>4</v>
      </c>
      <c r="AD17" s="2">
        <v>4</v>
      </c>
      <c r="AE17" s="2">
        <v>4</v>
      </c>
    </row>
    <row r="18">
      <c r="B18" s="2" t="str">
        <v>-3.00</v>
      </c>
      <c r="C18" s="2">
        <v>6</v>
      </c>
      <c r="D18" s="2">
        <v>3</v>
      </c>
      <c r="E18" s="2">
        <v>3</v>
      </c>
      <c r="F18" s="2">
        <v>3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3</v>
      </c>
      <c r="N18" s="2">
        <v>3</v>
      </c>
      <c r="O18" s="2">
        <v>3</v>
      </c>
      <c r="R18" s="2" t="str">
        <v>+3.25</v>
      </c>
    </row>
    <row r="19">
      <c r="B19" s="2" t="str">
        <v>-3.25</v>
      </c>
      <c r="R19" s="2" t="str">
        <v>+3.50</v>
      </c>
    </row>
    <row r="20">
      <c r="B20" s="2" t="str">
        <v>-3.50</v>
      </c>
      <c r="R20" s="2" t="str">
        <v>+3.75</v>
      </c>
    </row>
    <row r="21">
      <c r="B21" s="2" t="str">
        <v>-3.75</v>
      </c>
      <c r="R21" s="2" t="str">
        <v>+4.00</v>
      </c>
    </row>
    <row r="22">
      <c r="B22" s="2" t="str">
        <v>-4.00</v>
      </c>
      <c r="R22" s="2" t="str">
        <v>+4.25</v>
      </c>
    </row>
    <row r="23">
      <c r="B23" s="2" t="str">
        <v>-4.25</v>
      </c>
      <c r="R23" s="2" t="str">
        <v>+4.50</v>
      </c>
    </row>
    <row r="24">
      <c r="B24" s="2" t="str">
        <v>-4.50</v>
      </c>
      <c r="R24" s="2" t="str">
        <v>+4.75</v>
      </c>
    </row>
    <row r="25">
      <c r="B25" s="2" t="str">
        <v>-4.75</v>
      </c>
      <c r="R25" s="2" t="str">
        <v>+5.00</v>
      </c>
      <c r="S25" s="2" t="str">
        <v>2</v>
      </c>
    </row>
    <row r="26">
      <c r="B26" s="2" t="str">
        <v>-5.00</v>
      </c>
      <c r="R26" s="2" t="str">
        <v>+5.25</v>
      </c>
    </row>
    <row r="27">
      <c r="B27" s="2" t="str">
        <v>-5.25</v>
      </c>
      <c r="R27" s="2" t="str">
        <v>+5.50</v>
      </c>
    </row>
    <row r="28">
      <c r="B28" s="2" t="str">
        <v>-5.50</v>
      </c>
      <c r="R28" s="2" t="str">
        <v>+5.75</v>
      </c>
    </row>
    <row r="29">
      <c r="B29" s="2" t="str">
        <v>-5.75</v>
      </c>
      <c r="R29" s="2" t="str">
        <v>+6.00</v>
      </c>
    </row>
    <row r="30">
      <c r="B30" s="2" t="str">
        <v>-6.00</v>
      </c>
    </row>
    <row r="32">
      <c r="A32" s="2" t="str">
        <v>PEDIDO SUGERIDO MONOFOCAL FOTOCROMATICO AR</v>
      </c>
    </row>
    <row r="33">
      <c r="B33" s="2" t="str">
        <v>PEDIDO SUGERIDO MONOFOCAL FOTOCROMATICO AR (PIEZAS)</v>
      </c>
      <c r="S33" s="2" t="str">
        <v>PEDIDO SUGERIDO MONOFOCAL FOTOCROMATICO AR (PIEZAS)</v>
      </c>
    </row>
    <row r="34">
      <c r="C34" s="2" t="str">
        <v>CILINDRO</v>
      </c>
      <c r="S34" s="2" t="str">
        <v>CILINDRO</v>
      </c>
    </row>
    <row r="35">
      <c r="C35" s="2" t="str">
        <v>(-)</v>
      </c>
      <c r="S35" s="2" t="str">
        <v>(-)</v>
      </c>
    </row>
    <row r="36">
      <c r="A36" s="2" t="str">
        <v>(-)</v>
      </c>
      <c r="C36" s="2" t="str">
        <v>0.00</v>
      </c>
      <c r="D36" s="2" t="str">
        <v>-0.25</v>
      </c>
      <c r="E36" s="2" t="str">
        <v>-0.50</v>
      </c>
      <c r="F36" s="2" t="str">
        <v>-0.75</v>
      </c>
      <c r="G36" s="2" t="str">
        <v>-1.00</v>
      </c>
      <c r="H36" s="2" t="str">
        <v>-1.25</v>
      </c>
      <c r="I36" s="2" t="str">
        <v>-1.50</v>
      </c>
      <c r="J36" s="2" t="str">
        <v>-1.75</v>
      </c>
      <c r="K36" s="2" t="str">
        <v>-2.00</v>
      </c>
      <c r="L36" s="2" t="str">
        <v>-2.25</v>
      </c>
      <c r="M36" s="2" t="str">
        <v>-2.50</v>
      </c>
      <c r="N36" s="2" t="str">
        <v>-2.75</v>
      </c>
      <c r="O36" s="2" t="str">
        <v>-3.00</v>
      </c>
      <c r="Q36" s="2" t="str">
        <v>(+)</v>
      </c>
      <c r="S36" s="2" t="str">
        <v>0.00</v>
      </c>
      <c r="T36" s="2" t="str">
        <v>-0.25</v>
      </c>
      <c r="U36" s="2" t="str">
        <v>-0.50</v>
      </c>
      <c r="V36" s="2" t="str">
        <v>-0.75</v>
      </c>
      <c r="W36" s="2" t="str">
        <v>-1.00</v>
      </c>
      <c r="X36" s="2" t="str">
        <v>-1.25</v>
      </c>
      <c r="Y36" s="2" t="str">
        <v>-1.50</v>
      </c>
      <c r="Z36" s="2" t="str">
        <v>-1.75</v>
      </c>
      <c r="AA36" s="2" t="str">
        <v>-2.00</v>
      </c>
      <c r="AB36" s="2" t="str">
        <v>-2.25</v>
      </c>
      <c r="AC36" s="2" t="str">
        <v>-2.50</v>
      </c>
      <c r="AD36" s="2" t="str">
        <v>-2.75</v>
      </c>
      <c r="AE36" s="2" t="str">
        <v>-3.00</v>
      </c>
    </row>
    <row r="37">
      <c r="A37" s="2" t="str">
        <v>ESFERA (-)</v>
      </c>
      <c r="B37" s="2" t="str">
        <v>0.00</v>
      </c>
      <c r="C37" s="2" t="str">
        <f>IF(C6&lt;10,10-C6,"")</f>
        <v/>
      </c>
      <c r="D37" s="2">
        <f>IF(D6&lt;10,10-D6,"")</f>
        <v>3</v>
      </c>
      <c r="E37" s="2">
        <f>IF(E6&lt;10,10-E6,"")</f>
        <v>3</v>
      </c>
      <c r="F37" s="2" t="str">
        <f>IF(F6&lt;10,10-F6,"")</f>
        <v/>
      </c>
      <c r="G37" s="2">
        <f>IF(G6&lt;10,10-G6,"")</f>
        <v>4</v>
      </c>
      <c r="H37" s="2">
        <f>IF(H6&lt;4,4-H6,"")</f>
        <v>2</v>
      </c>
      <c r="I37" s="2">
        <f>IF(I6&lt;4,4-I6,"")</f>
        <v>3</v>
      </c>
      <c r="J37" s="2" t="str">
        <f>IF(J6&lt;4,4-J6,"")</f>
        <v/>
      </c>
      <c r="K37" s="2">
        <f>IF(K6&lt;4,4-K6,"")</f>
        <v>1</v>
      </c>
      <c r="L37" s="2">
        <f>IF(L6&lt;4,4-L6,"")</f>
        <v>1</v>
      </c>
      <c r="M37" s="2">
        <f>IF(M6&lt;4,4-M6,"")</f>
        <v>1</v>
      </c>
      <c r="N37" s="2" t="str">
        <f>IF(N6&lt;4,4-N6,"")</f>
        <v/>
      </c>
      <c r="O37" s="2">
        <f>IF(O6&lt;4,4-O6,"")</f>
        <v>3</v>
      </c>
      <c r="Q37" s="2" t="str">
        <v>ESFERA (+)</v>
      </c>
      <c r="R37" s="2" t="str">
        <v>+0.25</v>
      </c>
      <c r="S37" s="2">
        <f>IF(S6&lt;6,6-S6,"")</f>
        <v>2</v>
      </c>
      <c r="T37" s="2" t="str">
        <f>IF(T6&lt;6,6-T6,"")</f>
        <v/>
      </c>
      <c r="U37" s="2" t="str">
        <f>IF(U6&lt;6,6-U6,"")</f>
        <v/>
      </c>
      <c r="V37" s="2" t="str">
        <f>IF(V6&lt;6,6-V6,"")</f>
        <v/>
      </c>
      <c r="W37" s="2" t="str">
        <f>IF(W6&lt;6,6-W6,"")</f>
        <v/>
      </c>
      <c r="X37" s="2" t="str">
        <f>IF(X6&lt;4,4-X6,"")</f>
        <v/>
      </c>
      <c r="Y37" s="2" t="str">
        <f>IF(Y6&lt;4,4-Y6,"")</f>
        <v/>
      </c>
      <c r="Z37" s="2">
        <f>IF(Z6&lt;4,4-Z6,"")</f>
        <v>1</v>
      </c>
      <c r="AA37" s="2" t="str">
        <f>IF(AA6&lt;4,4-AA6,"")</f>
        <v/>
      </c>
      <c r="AB37" s="2" t="str">
        <f>IF(AB6&lt;4,4-AB6,"")</f>
        <v/>
      </c>
      <c r="AC37" s="2" t="str">
        <f>IF(AC6&lt;4,4-AC6,"")</f>
        <v/>
      </c>
      <c r="AD37" s="2" t="str">
        <f>IF(AD6&lt;4,4-AD6,"")</f>
        <v/>
      </c>
      <c r="AE37" s="2" t="str">
        <f>IF(AE6&lt;4,4-AE6,"")</f>
        <v/>
      </c>
    </row>
    <row r="38">
      <c r="B38" s="2" t="str">
        <v>-0.25</v>
      </c>
      <c r="C38" s="2">
        <f>IF(C7&lt;8,8-C7,"")</f>
        <v>2</v>
      </c>
      <c r="D38" s="2">
        <f>IF(D7&lt;8,8-D7,"")</f>
        <v>2</v>
      </c>
      <c r="E38" s="2">
        <f>IF(E7&lt;8,8-E7,"")</f>
        <v>4</v>
      </c>
      <c r="F38" s="2">
        <f>IF(F7&lt;8,8-F7,"")</f>
        <v>2</v>
      </c>
      <c r="G38" s="2">
        <f>IF(G7&lt;8,8-G7,"")</f>
        <v>2</v>
      </c>
      <c r="H38" s="2" t="str">
        <f>IF(H7&lt;4,4-H7,"")</f>
        <v/>
      </c>
      <c r="I38" s="2" t="str">
        <f>IF(I7&lt;4,4-I7,"")</f>
        <v/>
      </c>
      <c r="J38" s="2" t="str">
        <f>IF(J7&lt;4,4-J7,"")</f>
        <v/>
      </c>
      <c r="K38" s="2" t="str">
        <f>IF(K7&lt;4,4-K7,"")</f>
        <v/>
      </c>
      <c r="L38" s="2" t="str">
        <f>IF(L7&lt;4,4-L7,"")</f>
        <v/>
      </c>
      <c r="M38" s="2" t="str">
        <f>IF(M7&lt;4,4-M7,"")</f>
        <v/>
      </c>
      <c r="N38" s="2" t="str">
        <f>IF(N7&lt;4,4-N7,"")</f>
        <v/>
      </c>
      <c r="O38" s="2" t="str">
        <f>IF(O7&lt;4,4-O7,"")</f>
        <v/>
      </c>
      <c r="R38" s="2" t="str">
        <v>+0.50</v>
      </c>
      <c r="S38" s="2">
        <f>IF(S7&lt;4,4-S7,"")</f>
        <v>1</v>
      </c>
      <c r="T38" s="2">
        <f>IF(T7&lt;4,4-T7,"")</f>
        <v>2</v>
      </c>
      <c r="U38" s="2" t="str">
        <f>IF(U7&lt;4,4-U7,"")</f>
        <v/>
      </c>
      <c r="V38" s="2" t="str">
        <f>IF(V7&lt;4,4-V7,"")</f>
        <v/>
      </c>
      <c r="W38" s="2" t="str">
        <f>IF(W7&lt;4,4-W7,"")</f>
        <v/>
      </c>
      <c r="X38" s="2" t="str">
        <f>IF(X7&lt;4,4-X7,"")</f>
        <v/>
      </c>
      <c r="Y38" s="2" t="str">
        <f>IF(Y7&lt;4,4-Y7,"")</f>
        <v/>
      </c>
      <c r="Z38" s="2" t="str">
        <f>IF(Z7&lt;4,4-Z7,"")</f>
        <v/>
      </c>
      <c r="AA38" s="2">
        <f>IF(AA7&lt;4,4-AA7,"")</f>
        <v>1</v>
      </c>
      <c r="AB38" s="2" t="str">
        <f>IF(AB7&lt;4,4-AB7,"")</f>
        <v/>
      </c>
      <c r="AC38" s="2" t="str">
        <f>IF(AC7&lt;4,4-AC7,"")</f>
        <v/>
      </c>
      <c r="AD38" s="2" t="str">
        <f>IF(AD7&lt;4,4-AD7,"")</f>
        <v/>
      </c>
      <c r="AE38" s="2" t="str">
        <f>IF(AE7&lt;4,4-AE7,"")</f>
        <v/>
      </c>
    </row>
    <row r="39">
      <c r="B39" s="2" t="str">
        <v>-0.50</v>
      </c>
      <c r="C39" s="2">
        <f>IF(C8&lt;8,8-C8,"")</f>
        <v>3</v>
      </c>
      <c r="D39" s="2" t="str">
        <f>IF(D8&lt;8,8-D8,"")</f>
        <v/>
      </c>
      <c r="E39" s="2">
        <f>IF(E8&lt;8,8-E8,"")</f>
        <v>2</v>
      </c>
      <c r="F39" s="2" t="str">
        <f>IF(F8&lt;8,8-F8,"")</f>
        <v/>
      </c>
      <c r="G39" s="2">
        <f>IF(G8&lt;8,8-G8,"")</f>
        <v>1</v>
      </c>
      <c r="H39" s="2" t="str">
        <f>IF(H8&lt;4,4-H8,"")</f>
        <v/>
      </c>
      <c r="I39" s="2" t="str">
        <f>IF(I8&lt;4,4-I8,"")</f>
        <v/>
      </c>
      <c r="J39" s="2" t="str">
        <f>IF(J8&lt;4,4-J8,"")</f>
        <v/>
      </c>
      <c r="K39" s="2" t="str">
        <f>IF(K8&lt;4,4-K8,"")</f>
        <v/>
      </c>
      <c r="L39" s="2">
        <f>IF(L8&lt;4,4-L8,"")</f>
        <v>1</v>
      </c>
      <c r="M39" s="2" t="str">
        <f>IF(M8&lt;4,4-M8,"")</f>
        <v/>
      </c>
      <c r="N39" s="2" t="str">
        <f>IF(N8&lt;4,4-N8,"")</f>
        <v/>
      </c>
      <c r="O39" s="2" t="str">
        <f>IF(O8&lt;4,4-O8,"")</f>
        <v/>
      </c>
      <c r="R39" s="2" t="str">
        <v>+0.75</v>
      </c>
      <c r="S39" s="2" t="str">
        <f>IF(S8&lt;4,4-S8,"")</f>
        <v/>
      </c>
      <c r="T39" s="2">
        <f>IF(T8&lt;4,4-T8,"")</f>
        <v>1</v>
      </c>
      <c r="U39" s="2" t="str">
        <f>IF(U8&lt;4,4-U8,"")</f>
        <v/>
      </c>
      <c r="V39" s="2" t="str">
        <f>IF(V8&lt;4,4-V8,"")</f>
        <v/>
      </c>
      <c r="W39" s="2" t="str">
        <f>IF(W8&lt;4,4-W8,"")</f>
        <v/>
      </c>
      <c r="X39" s="2" t="str">
        <f>IF(X8&lt;4,4-X8,"")</f>
        <v/>
      </c>
      <c r="Y39" s="2" t="str">
        <f>IF(Y8&lt;4,4-Y8,"")</f>
        <v/>
      </c>
      <c r="Z39" s="2" t="str">
        <f>IF(Z8&lt;4,4-Z8,"")</f>
        <v/>
      </c>
      <c r="AA39" s="2" t="str">
        <f>IF(AA8&lt;4,4-AA8,"")</f>
        <v/>
      </c>
      <c r="AB39" s="2" t="str">
        <f>IF(AB8&lt;4,4-AB8,"")</f>
        <v/>
      </c>
      <c r="AC39" s="2" t="str">
        <f>IF(AC8&lt;4,4-AC8,"")</f>
        <v/>
      </c>
      <c r="AD39" s="2" t="str">
        <f>IF(AD8&lt;4,4-AD8,"")</f>
        <v/>
      </c>
      <c r="AE39" s="2" t="str">
        <f>IF(AE8&lt;4,4-AE8,"")</f>
        <v/>
      </c>
    </row>
    <row r="40">
      <c r="B40" s="2" t="str">
        <v>-0.75</v>
      </c>
      <c r="C40" s="2">
        <f>IF(C9&lt;8,8-C9,"")</f>
        <v>1</v>
      </c>
      <c r="D40" s="2">
        <f>IF(D9&lt;8,8-D9,"")</f>
        <v>2</v>
      </c>
      <c r="E40" s="2">
        <f>IF(E9&lt;8,8-E9,"")</f>
        <v>2</v>
      </c>
      <c r="F40" s="2">
        <f>IF(F9&lt;8,8-F9,"")</f>
        <v>1</v>
      </c>
      <c r="G40" s="2">
        <f>IF(G9&lt;8,8-G9,"")</f>
        <v>2</v>
      </c>
      <c r="H40" s="2" t="str">
        <f>IF(H9&lt;4,4-H9,"")</f>
        <v/>
      </c>
      <c r="I40" s="2">
        <f>IF(I9&lt;4,4-I9,"")</f>
        <v>1</v>
      </c>
      <c r="J40" s="2" t="str">
        <f>IF(J9&lt;4,4-J9,"")</f>
        <v/>
      </c>
      <c r="K40" s="2" t="str">
        <f>IF(K9&lt;4,4-K9,"")</f>
        <v/>
      </c>
      <c r="L40" s="2" t="str">
        <f>IF(L9&lt;4,4-L9,"")</f>
        <v/>
      </c>
      <c r="M40" s="2" t="str">
        <f>IF(M9&lt;4,4-M9,"")</f>
        <v/>
      </c>
      <c r="N40" s="2" t="str">
        <f>IF(N9&lt;4,4-N9,"")</f>
        <v/>
      </c>
      <c r="O40" s="2" t="str">
        <f>IF(O9&lt;4,4-O9,"")</f>
        <v/>
      </c>
      <c r="R40" s="2" t="str">
        <v>+1.00</v>
      </c>
      <c r="S40" s="2" t="str">
        <f>IF(S9&lt;4,4-S9,"")</f>
        <v/>
      </c>
      <c r="T40" s="2" t="str">
        <f>IF(T9&lt;4,4-T9,"")</f>
        <v/>
      </c>
      <c r="U40" s="2" t="str">
        <f>IF(U9&lt;4,4-U9,"")</f>
        <v/>
      </c>
      <c r="V40" s="2" t="str">
        <f>IF(V9&lt;4,4-V9,"")</f>
        <v/>
      </c>
      <c r="W40" s="2" t="str">
        <f>IF(W9&lt;4,4-W9,"")</f>
        <v/>
      </c>
      <c r="X40" s="2" t="str">
        <f>IF(X9&lt;4,4-X9,"")</f>
        <v/>
      </c>
      <c r="Y40" s="2" t="str">
        <f>IF(Y9&lt;4,4-Y9,"")</f>
        <v/>
      </c>
      <c r="Z40" s="2" t="str">
        <f>IF(Z9&lt;4,4-Z9,"")</f>
        <v/>
      </c>
      <c r="AA40" s="2" t="str">
        <f>IF(AA9&lt;4,4-AA9,"")</f>
        <v/>
      </c>
      <c r="AB40" s="2" t="str">
        <f>IF(AB9&lt;4,4-AB9,"")</f>
        <v/>
      </c>
      <c r="AC40" s="2" t="str">
        <f>IF(AC9&lt;4,4-AC9,"")</f>
        <v/>
      </c>
      <c r="AD40" s="2" t="str">
        <f>IF(AD9&lt;4,4-AD9,"")</f>
        <v/>
      </c>
      <c r="AE40" s="2">
        <f>IF(AE9&lt;4,4-AE9,"")</f>
        <v>2</v>
      </c>
    </row>
    <row r="41">
      <c r="B41" s="2" t="str">
        <v>-1.00</v>
      </c>
      <c r="C41" s="2">
        <f>IF(C10&lt;8,8-C10,"")</f>
        <v>1</v>
      </c>
      <c r="D41" s="2" t="str">
        <f>IF(D10&lt;6,6-D10,"")</f>
        <v/>
      </c>
      <c r="E41" s="2">
        <f>IF(E10&lt;6,6-E10,"")</f>
        <v>1</v>
      </c>
      <c r="F41" s="2">
        <f>IF(F10&lt;6,6-F10,"")</f>
        <v>1</v>
      </c>
      <c r="G41" s="2" t="str">
        <f>IF(G10&lt;6,6-G10,"")</f>
        <v/>
      </c>
      <c r="H41" s="2">
        <f>IF(H10&lt;4,4-H10,"")</f>
        <v>1</v>
      </c>
      <c r="I41" s="2">
        <f>IF(I10&lt;4,4-I10,"")</f>
        <v>2</v>
      </c>
      <c r="J41" s="2">
        <f>IF(J10&lt;4,4-J10,"")</f>
        <v>2</v>
      </c>
      <c r="K41" s="2">
        <f>IF(K10&lt;4,4-K10,"")</f>
        <v>1</v>
      </c>
      <c r="L41" s="2" t="str">
        <f>IF(L10&lt;4,4-L10,"")</f>
        <v/>
      </c>
      <c r="M41" s="2">
        <f>IF(M10&lt;4,4-M10,"")</f>
        <v>1</v>
      </c>
      <c r="N41" s="2" t="str">
        <f>IF(N10&lt;4,4-N10,"")</f>
        <v/>
      </c>
      <c r="O41" s="2" t="str">
        <f>IF(O10&lt;4,4-O10,"")</f>
        <v/>
      </c>
      <c r="R41" s="2" t="str">
        <v>+1.25</v>
      </c>
      <c r="S41" s="2">
        <f>IF(S10&lt;4,4-S10,"")</f>
        <v>1</v>
      </c>
      <c r="T41" s="2">
        <f>IF(T10&lt;4,4-T10,"")</f>
        <v>1</v>
      </c>
      <c r="U41" s="2" t="str">
        <f>IF(U10&lt;4,4-U10,"")</f>
        <v/>
      </c>
      <c r="V41" s="2" t="str">
        <f>IF(V10&lt;4,4-V10,"")</f>
        <v/>
      </c>
      <c r="W41" s="2" t="str">
        <f>IF(W10&lt;4,4-W10,"")</f>
        <v/>
      </c>
      <c r="X41" s="2" t="str">
        <f>IF(X10&lt;4,4-X10,"")</f>
        <v/>
      </c>
      <c r="Y41" s="2" t="str">
        <f>IF(Y10&lt;4,4-Y10,"")</f>
        <v/>
      </c>
      <c r="Z41" s="2" t="str">
        <f>IF(Z10&lt;4,4-Z10,"")</f>
        <v/>
      </c>
      <c r="AA41" s="2" t="str">
        <f>IF(AA10&lt;4,4-AA10,"")</f>
        <v/>
      </c>
      <c r="AB41" s="2" t="str">
        <f>IF(AB10&lt;4,4-AB10,"")</f>
        <v/>
      </c>
      <c r="AC41" s="2" t="str">
        <f>IF(AC10&lt;4,4-AC10,"")</f>
        <v/>
      </c>
      <c r="AD41" s="2" t="str">
        <f>IF(AD10&lt;4,4-AD10,"")</f>
        <v/>
      </c>
      <c r="AE41" s="2" t="str">
        <f>IF(AE10&lt;4,4-AE10,"")</f>
        <v/>
      </c>
    </row>
    <row r="42">
      <c r="B42" s="2" t="str">
        <v>-1.25</v>
      </c>
      <c r="C42" s="2">
        <f>IF(C11&lt;8,8-C11,"")</f>
        <v>1</v>
      </c>
      <c r="D42" s="2" t="str">
        <f>IF(D11&lt;3,3-D11,"")</f>
        <v/>
      </c>
      <c r="E42" s="2" t="str">
        <f>IF(E11&lt;3,3-E11,"")</f>
        <v/>
      </c>
      <c r="F42" s="2" t="str">
        <f>IF(F11&lt;3,3-F11,"")</f>
        <v/>
      </c>
      <c r="G42" s="2" t="str">
        <f>IF(G11&lt;3,3-G11,"")</f>
        <v/>
      </c>
      <c r="H42" s="2" t="str">
        <f>IF(H11&lt;3,3-H11,"")</f>
        <v/>
      </c>
      <c r="I42" s="2" t="str">
        <f>IF(I11&lt;3,3-I11,"")</f>
        <v/>
      </c>
      <c r="J42" s="2" t="str">
        <f>IF(J11&lt;3,3-J11,"")</f>
        <v/>
      </c>
      <c r="K42" s="2">
        <f>IF(K11&lt;3,3-K11,"")</f>
        <v>2</v>
      </c>
      <c r="L42" s="2" t="str">
        <f>IF(L11&lt;3,3-L11,"")</f>
        <v/>
      </c>
      <c r="M42" s="2" t="str">
        <f>IF(M11&lt;3,3-M11,"")</f>
        <v/>
      </c>
      <c r="N42" s="2" t="str">
        <f>IF(N11&lt;3,3-N11,"")</f>
        <v/>
      </c>
      <c r="O42" s="2" t="str">
        <f>IF(O11&lt;3,3-O11,"")</f>
        <v/>
      </c>
      <c r="R42" s="2" t="str">
        <v>+1.50</v>
      </c>
      <c r="S42" s="2">
        <f>IF(S11&lt;4,4-S11,"")</f>
        <v>1</v>
      </c>
      <c r="T42" s="2" t="str">
        <f>IF(T11&lt;4,4-T11,"")</f>
        <v/>
      </c>
      <c r="U42" s="2" t="str">
        <f>IF(U11&lt;4,4-U11,"")</f>
        <v/>
      </c>
      <c r="V42" s="2" t="str">
        <f>IF(V11&lt;4,4-V11,"")</f>
        <v/>
      </c>
      <c r="W42" s="2" t="str">
        <f>IF(W11&lt;4,4-W11,"")</f>
        <v/>
      </c>
      <c r="X42" s="2" t="str">
        <f>IF(X11&lt;4,4-X11,"")</f>
        <v/>
      </c>
      <c r="Y42" s="2" t="str">
        <f>IF(Y11&lt;4,4-Y11,"")</f>
        <v/>
      </c>
      <c r="Z42" s="2" t="str">
        <f>IF(Z11&lt;4,4-Z11,"")</f>
        <v/>
      </c>
      <c r="AA42" s="2" t="str">
        <f>IF(AA11&lt;4,4-AA11,"")</f>
        <v/>
      </c>
      <c r="AB42" s="2" t="str">
        <f>IF(AB11&lt;4,4-AB11,"")</f>
        <v/>
      </c>
      <c r="AC42" s="2" t="str">
        <f>IF(AC11&lt;4,4-AC11,"")</f>
        <v/>
      </c>
      <c r="AD42" s="2" t="str">
        <f>IF(AD11&lt;4,4-AD11,"")</f>
        <v/>
      </c>
      <c r="AE42" s="2" t="str">
        <f>IF(AE11&lt;4,4-AE11,"")</f>
        <v/>
      </c>
    </row>
    <row r="43">
      <c r="B43" s="2" t="str">
        <v>-1.50</v>
      </c>
      <c r="C43" s="2">
        <f>IF(C12&lt;8,8-C12,"")</f>
        <v>1</v>
      </c>
      <c r="D43" s="2" t="str">
        <f>IF(D12&lt;3,3-D12,"")</f>
        <v/>
      </c>
      <c r="E43" s="2">
        <f>IF(E12&lt;3,3-E12,"")</f>
        <v>1</v>
      </c>
      <c r="F43" s="2" t="str">
        <f>IF(F12&lt;3,3-F12,"")</f>
        <v/>
      </c>
      <c r="G43" s="2" t="str">
        <f>IF(G12&lt;3,3-G12,"")</f>
        <v/>
      </c>
      <c r="H43" s="2" t="str">
        <f>IF(H12&lt;3,3-H12,"")</f>
        <v/>
      </c>
      <c r="I43" s="2" t="str">
        <f>IF(I12&lt;3,3-I12,"")</f>
        <v/>
      </c>
      <c r="J43" s="2" t="str">
        <f>IF(J12&lt;3,3-J12,"")</f>
        <v/>
      </c>
      <c r="K43" s="2">
        <f>IF(K12&lt;3,3-K12,"")</f>
        <v>1</v>
      </c>
      <c r="L43" s="2" t="str">
        <f>IF(L12&lt;3,3-L12,"")</f>
        <v/>
      </c>
      <c r="M43" s="2" t="str">
        <f>IF(M12&lt;3,3-M12,"")</f>
        <v/>
      </c>
      <c r="N43" s="2" t="str">
        <f>IF(N12&lt;3,3-N12,"")</f>
        <v/>
      </c>
      <c r="O43" s="2">
        <f>IF(O12&lt;3,3-O12,"")</f>
        <v>1</v>
      </c>
      <c r="R43" s="2" t="str">
        <v>+1.75</v>
      </c>
      <c r="S43" s="2" t="str">
        <f>IF(S12&lt;4,4-S12,"")</f>
        <v/>
      </c>
      <c r="T43" s="2" t="str">
        <f>IF(T12&lt;4,4-T12,"")</f>
        <v/>
      </c>
      <c r="U43" s="2" t="str">
        <f>IF(U12&lt;4,4-U12,"")</f>
        <v/>
      </c>
      <c r="V43" s="2" t="str">
        <f>IF(V12&lt;4,4-V12,"")</f>
        <v/>
      </c>
      <c r="W43" s="2" t="str">
        <f>IF(W12&lt;4,4-W12,"")</f>
        <v/>
      </c>
      <c r="X43" s="2" t="str">
        <f>IF(X12&lt;4,4-X12,"")</f>
        <v/>
      </c>
      <c r="Y43" s="2" t="str">
        <f>IF(Y12&lt;4,4-Y12,"")</f>
        <v/>
      </c>
      <c r="Z43" s="2">
        <f>IF(Z12&lt;4,4-Z12,"")</f>
        <v>1</v>
      </c>
      <c r="AA43" s="2" t="str">
        <f>IF(AA12&lt;4,4-AA12,"")</f>
        <v/>
      </c>
      <c r="AB43" s="2" t="str">
        <f>IF(AB12&lt;4,4-AB12,"")</f>
        <v/>
      </c>
      <c r="AC43" s="2" t="str">
        <f>IF(AC12&lt;4,4-AC12,"")</f>
        <v/>
      </c>
      <c r="AD43" s="2" t="str">
        <f>IF(AD12&lt;4,4-AD12,"")</f>
        <v/>
      </c>
      <c r="AE43" s="2" t="str">
        <f>IF(AE12&lt;4,4-AE12,"")</f>
        <v/>
      </c>
    </row>
    <row r="44">
      <c r="B44" s="2" t="str">
        <v>-1.75</v>
      </c>
      <c r="C44" s="2">
        <f>IF(C13&lt;6,6-C13,"")</f>
        <v>2</v>
      </c>
      <c r="D44" s="2" t="str">
        <f>IF(D13&lt;3,3-D13,"")</f>
        <v/>
      </c>
      <c r="E44" s="2" t="str">
        <f>IF(E13&lt;3,3-E13,"")</f>
        <v/>
      </c>
      <c r="F44" s="2" t="str">
        <f>IF(F13&lt;3,3-F13,"")</f>
        <v/>
      </c>
      <c r="G44" s="2" t="str">
        <f>IF(G13&lt;3,3-G13,"")</f>
        <v/>
      </c>
      <c r="H44" s="2" t="str">
        <f>IF(H13&lt;3,3-H13,"")</f>
        <v/>
      </c>
      <c r="I44" s="2" t="str">
        <f>IF(I13&lt;3,3-I13,"")</f>
        <v/>
      </c>
      <c r="J44" s="2" t="str">
        <f>IF(J13&lt;3,3-J13,"")</f>
        <v/>
      </c>
      <c r="K44" s="2" t="str">
        <f>IF(K13&lt;3,3-K13,"")</f>
        <v/>
      </c>
      <c r="L44" s="2" t="str">
        <f>IF(L13&lt;3,3-L13,"")</f>
        <v/>
      </c>
      <c r="M44" s="2" t="str">
        <f>IF(M13&lt;3,3-M13,"")</f>
        <v/>
      </c>
      <c r="N44" s="2" t="str">
        <f>IF(N13&lt;3,3-N13,"")</f>
        <v/>
      </c>
      <c r="O44" s="2" t="str">
        <f>IF(O13&lt;3,3-O13,"")</f>
        <v/>
      </c>
      <c r="R44" s="2" t="str">
        <v>+2.00</v>
      </c>
      <c r="S44" s="2" t="str">
        <f>IF(S13&lt;4,4-S13,"")</f>
        <v/>
      </c>
      <c r="T44" s="2" t="str">
        <f>IF(T13&lt;4,4-T13,"")</f>
        <v/>
      </c>
      <c r="U44" s="2" t="str">
        <f>IF(U13&lt;4,4-U13,"")</f>
        <v/>
      </c>
      <c r="V44" s="2" t="str">
        <f>IF(V13&lt;4,4-V13,"")</f>
        <v/>
      </c>
      <c r="W44" s="2" t="str">
        <f>IF(W13&lt;4,4-W13,"")</f>
        <v/>
      </c>
      <c r="X44" s="2" t="str">
        <f>IF(X13&lt;4,4-X13,"")</f>
        <v/>
      </c>
      <c r="Y44" s="2" t="str">
        <f>IF(Y13&lt;4,4-Y13,"")</f>
        <v/>
      </c>
      <c r="Z44" s="2" t="str">
        <f>IF(Z13&lt;4,4-Z13,"")</f>
        <v/>
      </c>
      <c r="AA44" s="2" t="str">
        <f>IF(AA13&lt;4,4-AA13,"")</f>
        <v/>
      </c>
      <c r="AB44" s="2" t="str">
        <f>IF(AB13&lt;4,4-AB13,"")</f>
        <v/>
      </c>
      <c r="AC44" s="2" t="str">
        <f>IF(AC13&lt;4,4-AC13,"")</f>
        <v/>
      </c>
      <c r="AD44" s="2" t="str">
        <f>IF(AD13&lt;4,4-AD13,"")</f>
        <v/>
      </c>
      <c r="AE44" s="2" t="str">
        <f>IF(AE13&lt;4,4-AE13,"")</f>
        <v/>
      </c>
    </row>
    <row r="45">
      <c r="B45" s="2" t="str">
        <v>-2.00</v>
      </c>
      <c r="C45" s="2">
        <f>IF(C14&lt;6,6-C14,"")</f>
        <v>1</v>
      </c>
      <c r="D45" s="2" t="str">
        <f>IF(D14&lt;3,3-D14,"")</f>
        <v/>
      </c>
      <c r="E45" s="2">
        <f>IF(E14&lt;3,3-E14,"")</f>
        <v>1</v>
      </c>
      <c r="F45" s="2" t="str">
        <f>IF(F14&lt;3,3-F14,"")</f>
        <v/>
      </c>
      <c r="G45" s="2" t="str">
        <f>IF(G14&lt;3,3-G14,"")</f>
        <v/>
      </c>
      <c r="H45" s="2" t="str">
        <f>IF(H14&lt;3,3-H14,"")</f>
        <v/>
      </c>
      <c r="I45" s="2" t="str">
        <f>IF(I14&lt;3,3-I14,"")</f>
        <v/>
      </c>
      <c r="J45" s="2" t="str">
        <f>IF(J14&lt;3,3-J14,"")</f>
        <v/>
      </c>
      <c r="K45" s="2" t="str">
        <f>IF(K14&lt;3,3-K14,"")</f>
        <v/>
      </c>
      <c r="L45" s="2" t="str">
        <f>IF(L14&lt;3,3-L14,"")</f>
        <v/>
      </c>
      <c r="M45" s="2">
        <f>IF(M14&lt;3,3-M14,"")</f>
        <v>1</v>
      </c>
      <c r="N45" s="2" t="str">
        <f>IF(N14&lt;3,3-N14,"")</f>
        <v/>
      </c>
      <c r="O45" s="2" t="str">
        <f>IF(O14&lt;3,3-O14,"")</f>
        <v/>
      </c>
      <c r="R45" s="2" t="str">
        <v>+2.25</v>
      </c>
      <c r="S45" s="2" t="str">
        <f>IF(S14&lt;4,4-S14,"")</f>
        <v/>
      </c>
      <c r="T45" s="2" t="str">
        <f>IF(T14&lt;4,4-T14,"")</f>
        <v/>
      </c>
      <c r="U45" s="2" t="str">
        <f>IF(U14&lt;4,4-U14,"")</f>
        <v/>
      </c>
      <c r="V45" s="2" t="str">
        <f>IF(V14&lt;4,4-V14,"")</f>
        <v/>
      </c>
      <c r="W45" s="2" t="str">
        <f>IF(W14&lt;4,4-W14,"")</f>
        <v/>
      </c>
      <c r="X45" s="2" t="str">
        <f>IF(X14&lt;4,4-X14,"")</f>
        <v/>
      </c>
      <c r="Y45" s="2" t="str">
        <f>IF(Y14&lt;4,4-Y14,"")</f>
        <v/>
      </c>
      <c r="Z45" s="2" t="str">
        <f>IF(Z14&lt;4,4-Z14,"")</f>
        <v/>
      </c>
      <c r="AA45" s="2" t="str">
        <f>IF(AA14&lt;4,4-AA14,"")</f>
        <v/>
      </c>
      <c r="AB45" s="2" t="str">
        <f>IF(AB14&lt;4,4-AB14,"")</f>
        <v/>
      </c>
      <c r="AC45" s="2" t="str">
        <f>IF(AC14&lt;4,4-AC14,"")</f>
        <v/>
      </c>
      <c r="AD45" s="2">
        <f>IF(AD14&lt;4,4-AD14,"")</f>
        <v>1</v>
      </c>
      <c r="AE45" s="2" t="str">
        <f>IF(AE14&lt;4,4-AE14,"")</f>
        <v/>
      </c>
    </row>
    <row r="46">
      <c r="B46" s="2" t="str">
        <v>-2.25</v>
      </c>
      <c r="C46" s="2" t="str">
        <f>IF(C15&lt;6,6-C15,"")</f>
        <v/>
      </c>
      <c r="D46" s="2" t="str">
        <f>IF(D15&lt;3,3-D15,"")</f>
        <v/>
      </c>
      <c r="E46" s="2" t="str">
        <f>IF(E15&lt;3,3-E15,"")</f>
        <v/>
      </c>
      <c r="F46" s="2" t="str">
        <f>IF(F15&lt;3,3-F15,"")</f>
        <v/>
      </c>
      <c r="G46" s="2" t="str">
        <f>IF(G15&lt;3,3-G15,"")</f>
        <v/>
      </c>
      <c r="H46" s="2" t="str">
        <f>IF(H15&lt;3,3-H15,"")</f>
        <v/>
      </c>
      <c r="I46" s="2" t="str">
        <f>IF(I15&lt;3,3-I15,"")</f>
        <v/>
      </c>
      <c r="J46" s="2" t="str">
        <f>IF(J15&lt;3,3-J15,"")</f>
        <v/>
      </c>
      <c r="K46" s="2" t="str">
        <f>IF(K15&lt;3,3-K15,"")</f>
        <v/>
      </c>
      <c r="L46" s="2" t="str">
        <f>IF(L15&lt;3,3-L15,"")</f>
        <v/>
      </c>
      <c r="M46" s="2" t="str">
        <f>IF(M15&lt;3,3-M15,"")</f>
        <v/>
      </c>
      <c r="N46" s="2" t="str">
        <f>IF(N15&lt;3,3-N15,"")</f>
        <v/>
      </c>
      <c r="O46" s="2" t="str">
        <f>IF(O15&lt;3,3-O15,"")</f>
        <v/>
      </c>
      <c r="R46" s="2" t="str">
        <v>+2.50</v>
      </c>
      <c r="S46" s="2" t="str">
        <f>IF(S15&lt;4,4-S15,"")</f>
        <v/>
      </c>
      <c r="T46" s="2" t="str">
        <f>IF(T15&lt;4,4-T15,"")</f>
        <v/>
      </c>
      <c r="U46" s="2" t="str">
        <f>IF(U15&lt;4,4-U15,"")</f>
        <v/>
      </c>
      <c r="V46" s="2" t="str">
        <f>IF(V15&lt;4,4-V15,"")</f>
        <v/>
      </c>
      <c r="W46" s="2" t="str">
        <f>IF(W15&lt;4,4-W15,"")</f>
        <v/>
      </c>
      <c r="X46" s="2" t="str">
        <f>IF(X15&lt;4,4-X15,"")</f>
        <v/>
      </c>
      <c r="Y46" s="2" t="str">
        <f>IF(Y15&lt;4,4-Y15,"")</f>
        <v/>
      </c>
      <c r="Z46" s="2" t="str">
        <f>IF(Z15&lt;4,4-Z15,"")</f>
        <v/>
      </c>
      <c r="AA46" s="2">
        <f>IF(AA15&lt;4,4-AA15,"")</f>
        <v>1</v>
      </c>
      <c r="AB46" s="2" t="str">
        <f>IF(AB15&lt;4,4-AB15,"")</f>
        <v/>
      </c>
      <c r="AC46" s="2" t="str">
        <f>IF(AC15&lt;4,4-AC15,"")</f>
        <v/>
      </c>
      <c r="AD46" s="2" t="str">
        <f>IF(AD15&lt;4,4-AD15,"")</f>
        <v/>
      </c>
      <c r="AE46" s="2" t="str">
        <f>IF(AE15&lt;4,4-AE15,"")</f>
        <v/>
      </c>
    </row>
    <row r="47">
      <c r="B47" s="2" t="str">
        <v>-2.50</v>
      </c>
      <c r="C47" s="2">
        <f>IF(C16&lt;6,6-C16,"")</f>
        <v>2</v>
      </c>
      <c r="D47" s="2" t="str">
        <f>IF(D16&lt;3,3-D16,"")</f>
        <v/>
      </c>
      <c r="E47" s="2" t="str">
        <f>IF(E16&lt;3,3-E16,"")</f>
        <v/>
      </c>
      <c r="F47" s="2" t="str">
        <f>IF(F16&lt;3,3-F16,"")</f>
        <v/>
      </c>
      <c r="G47" s="2" t="str">
        <f>IF(G16&lt;3,3-G16,"")</f>
        <v/>
      </c>
      <c r="H47" s="2" t="str">
        <f>IF(H16&lt;3,3-H16,"")</f>
        <v/>
      </c>
      <c r="I47" s="2">
        <f>IF(I16&lt;3,3-I16,"")</f>
        <v>1</v>
      </c>
      <c r="J47" s="2" t="str">
        <f>IF(J16&lt;3,3-J16,"")</f>
        <v/>
      </c>
      <c r="K47" s="2" t="str">
        <f>IF(K16&lt;3,3-K16,"")</f>
        <v/>
      </c>
      <c r="L47" s="2" t="str">
        <f>IF(L16&lt;3,3-L16,"")</f>
        <v/>
      </c>
      <c r="M47" s="2" t="str">
        <f>IF(M16&lt;3,3-M16,"")</f>
        <v/>
      </c>
      <c r="N47" s="2" t="str">
        <f>IF(N16&lt;3,3-N16,"")</f>
        <v/>
      </c>
      <c r="O47" s="2" t="str">
        <f>IF(O16&lt;3,3-O16,"")</f>
        <v/>
      </c>
      <c r="R47" s="2" t="str">
        <v>+2.75</v>
      </c>
      <c r="S47" s="2" t="str">
        <f>IF(S16&lt;4,4-S16,"")</f>
        <v/>
      </c>
      <c r="T47" s="2" t="str">
        <f>IF(T16&lt;4,4-T16,"")</f>
        <v/>
      </c>
      <c r="U47" s="2" t="str">
        <f>IF(U16&lt;4,4-U16,"")</f>
        <v/>
      </c>
      <c r="V47" s="2" t="str">
        <f>IF(V16&lt;4,4-V16,"")</f>
        <v/>
      </c>
      <c r="W47" s="2" t="str">
        <f>IF(W16&lt;4,4-W16,"")</f>
        <v/>
      </c>
      <c r="X47" s="2" t="str">
        <f>IF(X16&lt;4,4-X16,"")</f>
        <v/>
      </c>
      <c r="Y47" s="2" t="str">
        <f>IF(Y16&lt;4,4-Y16,"")</f>
        <v/>
      </c>
      <c r="Z47" s="2" t="str">
        <f>IF(Z16&lt;4,4-Z16,"")</f>
        <v/>
      </c>
      <c r="AA47" s="2" t="str">
        <f>IF(AA16&lt;4,4-AA16,"")</f>
        <v/>
      </c>
      <c r="AB47" s="2" t="str">
        <f>IF(AB16&lt;4,4-AB16,"")</f>
        <v/>
      </c>
      <c r="AC47" s="2">
        <f>IF(AC16&lt;4,4-AC16,"")</f>
        <v>1</v>
      </c>
      <c r="AD47" s="2" t="str">
        <f>IF(AD16&lt;4,4-AD16,"")</f>
        <v/>
      </c>
      <c r="AE47" s="2" t="str">
        <f>IF(AE16&lt;4,4-AE16,"")</f>
        <v/>
      </c>
    </row>
    <row r="48">
      <c r="B48" s="2" t="str">
        <v>-2.75</v>
      </c>
      <c r="C48" s="2">
        <f>IF(C17&lt;6,6-C17,"")</f>
        <v>2</v>
      </c>
      <c r="D48" s="2" t="str">
        <f>IF(D17&lt;3,3-D17,"")</f>
        <v/>
      </c>
      <c r="E48" s="2" t="str">
        <f>IF(E17&lt;3,3-E17,"")</f>
        <v/>
      </c>
      <c r="F48" s="2" t="str">
        <f>IF(F17&lt;3,3-F17,"")</f>
        <v/>
      </c>
      <c r="G48" s="2" t="str">
        <f>IF(G17&lt;3,3-G17,"")</f>
        <v/>
      </c>
      <c r="H48" s="2" t="str">
        <f>IF(H17&lt;3,3-H17,"")</f>
        <v/>
      </c>
      <c r="I48" s="2" t="str">
        <f>IF(I17&lt;3,3-I17,"")</f>
        <v/>
      </c>
      <c r="J48" s="2" t="str">
        <f>IF(J17&lt;3,3-J17,"")</f>
        <v/>
      </c>
      <c r="K48" s="2" t="str">
        <f>IF(K17&lt;3,3-K17,"")</f>
        <v/>
      </c>
      <c r="L48" s="2" t="str">
        <f>IF(L17&lt;3,3-L17,"")</f>
        <v/>
      </c>
      <c r="M48" s="2" t="str">
        <f>IF(M17&lt;3,3-M17,"")</f>
        <v/>
      </c>
      <c r="N48" s="2" t="str">
        <f>IF(N17&lt;3,3-N17,"")</f>
        <v/>
      </c>
      <c r="O48" s="2" t="str">
        <f>IF(O17&lt;3,3-O17,"")</f>
        <v/>
      </c>
      <c r="R48" s="2" t="str">
        <v>+3.00</v>
      </c>
      <c r="S48" s="2" t="str">
        <f>IF(S17&lt;4,4-S17,"")</f>
        <v/>
      </c>
      <c r="T48" s="2" t="str">
        <f>IF(T17&lt;4,4-T17,"")</f>
        <v/>
      </c>
      <c r="U48" s="2" t="str">
        <f>IF(U17&lt;4,4-U17,"")</f>
        <v/>
      </c>
      <c r="V48" s="2" t="str">
        <f>IF(V17&lt;4,4-V17,"")</f>
        <v/>
      </c>
      <c r="W48" s="2" t="str">
        <f>IF(W17&lt;4,4-W17,"")</f>
        <v/>
      </c>
      <c r="X48" s="2" t="str">
        <f>IF(X17&lt;4,4-X17,"")</f>
        <v/>
      </c>
      <c r="Y48" s="2" t="str">
        <f>IF(Y17&lt;4,4-Y17,"")</f>
        <v/>
      </c>
      <c r="Z48" s="2" t="str">
        <f>IF(Z17&lt;4,4-Z17,"")</f>
        <v/>
      </c>
      <c r="AA48" s="2" t="str">
        <f>IF(AA17&lt;4,4-AA17,"")</f>
        <v/>
      </c>
      <c r="AB48" s="2" t="str">
        <f>IF(AB17&lt;4,4-AB17,"")</f>
        <v/>
      </c>
      <c r="AC48" s="2" t="str">
        <f>IF(AC17&lt;4,4-AC17,"")</f>
        <v/>
      </c>
      <c r="AD48" s="2" t="str">
        <f>IF(AD17&lt;4,4-AD17,"")</f>
        <v/>
      </c>
      <c r="AE48" s="2" t="str">
        <f>IF(AE17&lt;4,4-AE17,"")</f>
        <v/>
      </c>
    </row>
    <row r="49">
      <c r="B49" s="2" t="str">
        <v>-3.00</v>
      </c>
      <c r="C49" s="2" t="str">
        <f>IF(C18&lt;6,6-C18,"")</f>
        <v/>
      </c>
      <c r="D49" s="2" t="str">
        <f>IF(D18&lt;3,3-D18,"")</f>
        <v/>
      </c>
      <c r="E49" s="2" t="str">
        <f>IF(E18&lt;3,3-E18,"")</f>
        <v/>
      </c>
      <c r="F49" s="2" t="str">
        <f>IF(F18&lt;3,3-F18,"")</f>
        <v/>
      </c>
      <c r="G49" s="2" t="str">
        <f>IF(G18&lt;3,3-G18,"")</f>
        <v/>
      </c>
      <c r="H49" s="2" t="str">
        <f>IF(H18&lt;3,3-H18,"")</f>
        <v/>
      </c>
      <c r="I49" s="2" t="str">
        <f>IF(I18&lt;3,3-I18,"")</f>
        <v/>
      </c>
      <c r="J49" s="2" t="str">
        <f>IF(J18&lt;3,3-J18,"")</f>
        <v/>
      </c>
      <c r="K49" s="2" t="str">
        <f>IF(K18&lt;3,3-K18,"")</f>
        <v/>
      </c>
      <c r="L49" s="2" t="str">
        <f>IF(L18&lt;3,3-L18,"")</f>
        <v/>
      </c>
      <c r="M49" s="2" t="str">
        <f>IF(M18&lt;3,3-M18,"")</f>
        <v/>
      </c>
      <c r="N49" s="2" t="str">
        <f>IF(N18&lt;3,3-N18,"")</f>
        <v/>
      </c>
      <c r="O49" s="2" t="str">
        <f>IF(O18&lt;3,3-O18,"")</f>
        <v/>
      </c>
      <c r="R49" s="2" t="str">
        <v>+3.25</v>
      </c>
    </row>
    <row r="50">
      <c r="B50" s="2" t="str">
        <v>-3.25</v>
      </c>
      <c r="R50" s="2" t="str">
        <v>+3.50</v>
      </c>
    </row>
    <row r="51">
      <c r="B51" s="2" t="str">
        <v>-3.50</v>
      </c>
      <c r="R51" s="2" t="str">
        <v>+3.75</v>
      </c>
    </row>
    <row r="52">
      <c r="B52" s="2" t="str">
        <v>-3.75</v>
      </c>
      <c r="R52" s="2" t="str">
        <v>+4.00</v>
      </c>
    </row>
    <row r="53">
      <c r="B53" s="2" t="str">
        <v>-4.00</v>
      </c>
      <c r="R53" s="2" t="str">
        <v>+4.25</v>
      </c>
    </row>
    <row r="54">
      <c r="B54" s="2" t="str">
        <v>-4.25</v>
      </c>
      <c r="R54" s="2" t="str">
        <v>+4.50</v>
      </c>
    </row>
    <row r="55">
      <c r="B55" s="2" t="str">
        <v>-4.50</v>
      </c>
      <c r="R55" s="2" t="str">
        <v>+4.75</v>
      </c>
    </row>
    <row r="56">
      <c r="B56" s="2" t="str">
        <v>-4.75</v>
      </c>
      <c r="R56" s="2" t="str">
        <v>+5.00</v>
      </c>
    </row>
    <row r="57">
      <c r="B57" s="2" t="str">
        <v>-5.00</v>
      </c>
      <c r="R57" s="2" t="str">
        <v>+5.25</v>
      </c>
    </row>
    <row r="58">
      <c r="B58" s="2" t="str">
        <v>-5.25</v>
      </c>
      <c r="R58" s="2" t="str">
        <v>+5.50</v>
      </c>
    </row>
    <row r="59">
      <c r="B59" s="2" t="str">
        <v>-5.50</v>
      </c>
      <c r="R59" s="2" t="str">
        <v>+5.75</v>
      </c>
    </row>
    <row r="60">
      <c r="B60" s="2" t="str">
        <v>-5.75</v>
      </c>
      <c r="R60" s="2" t="str">
        <v>+6.00</v>
      </c>
    </row>
    <row r="61">
      <c r="B61" s="2" t="str">
        <v>-6.00</v>
      </c>
    </row>
    <row r="63">
      <c r="E63" s="2" t="str">
        <v>PIEZAS</v>
      </c>
      <c r="G63" s="2" t="str">
        <v>COSTO</v>
      </c>
      <c r="U63" s="2" t="str">
        <v>PIEZAS</v>
      </c>
      <c r="W63" s="2" t="str">
        <v>COSTO</v>
      </c>
    </row>
    <row r="64">
      <c r="C64" s="2" t="str">
        <v>1RA SERIE</v>
      </c>
      <c r="E64" s="2">
        <f>SUM(C37:K61)</f>
        <v>67</v>
      </c>
      <c r="G64" s="2">
        <f>E64*37.5</f>
        <v>2512.5</v>
      </c>
      <c r="S64" s="2" t="str">
        <v>1RA SERIE</v>
      </c>
      <c r="U64" s="2">
        <f>SUM(S37:AA60)</f>
        <v>13</v>
      </c>
      <c r="W64" s="2">
        <f>U64*37.5</f>
        <v>487.5</v>
      </c>
    </row>
    <row r="65">
      <c r="C65" s="2" t="str">
        <v>2DA SERIE</v>
      </c>
      <c r="E65" s="2">
        <f>SUM(L37:O61)</f>
        <v>9</v>
      </c>
      <c r="G65" s="2">
        <f>E65*60</f>
        <v>540</v>
      </c>
      <c r="S65" s="2" t="str">
        <v>2DA SERIE</v>
      </c>
      <c r="U65" s="2">
        <f>SUM(AB37:AE60)</f>
        <v>4</v>
      </c>
      <c r="W65" s="2">
        <f>U65*60</f>
        <v>240</v>
      </c>
    </row>
    <row r="67">
      <c r="E67" s="2">
        <f>SUM(E64:E66)</f>
        <v>76</v>
      </c>
      <c r="G67" s="2">
        <f>SUM(G64:G66)</f>
        <v>3052.5</v>
      </c>
      <c r="U67" s="2">
        <f>SUM(U64:U66)</f>
        <v>17</v>
      </c>
      <c r="W67" s="2">
        <f>SUM(W64:W66)</f>
        <v>727.5</v>
      </c>
    </row>
  </sheetData>
  <mergeCells count="22">
    <mergeCell ref="S33:AE33"/>
    <mergeCell ref="A1:AE1"/>
    <mergeCell ref="A6:A30"/>
    <mergeCell ref="Q6:Q30"/>
    <mergeCell ref="A32:AD32"/>
    <mergeCell ref="C3:O3"/>
    <mergeCell ref="S3:AE3"/>
    <mergeCell ref="C4:O4"/>
    <mergeCell ref="S4:AE4"/>
    <mergeCell ref="B33:O33"/>
    <mergeCell ref="C34:O34"/>
    <mergeCell ref="S34:AE34"/>
    <mergeCell ref="C35:O35"/>
    <mergeCell ref="S35:AE35"/>
    <mergeCell ref="A37:A61"/>
    <mergeCell ref="Q37:Q61"/>
    <mergeCell ref="G64:H64"/>
    <mergeCell ref="G65:H65"/>
    <mergeCell ref="W64:X64"/>
    <mergeCell ref="W65:X65"/>
    <mergeCell ref="G67:H67"/>
    <mergeCell ref="W67:X67"/>
  </mergeCells>
  <pageMargins left="0.53" right="0.7" top="0.75" bottom="0.75" header="0.3" footer="0.3"/>
  <ignoredErrors>
    <ignoredError numberStoredAsText="1" sqref="A1:AE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67"/>
  <sheetViews>
    <sheetView workbookViewId="0" rightToLeft="0"/>
  </sheetViews>
  <sheetData>
    <row r="1">
      <c r="A1" s="2" t="str">
        <v>MONOFOCAL FOTO BLUEBLOCK</v>
      </c>
    </row>
    <row r="3">
      <c r="C3" s="2" t="str">
        <v>CILINDRO</v>
      </c>
      <c r="S3" s="2" t="str">
        <v>CILINDRO</v>
      </c>
    </row>
    <row r="4">
      <c r="C4" s="2" t="str">
        <v>(-)</v>
      </c>
      <c r="S4" s="2" t="str">
        <v>(-)</v>
      </c>
    </row>
    <row r="5">
      <c r="A5" s="2" t="str">
        <v>(-)</v>
      </c>
      <c r="C5" s="2" t="str">
        <v>0.00</v>
      </c>
      <c r="D5" s="2" t="str">
        <v>-0.25</v>
      </c>
      <c r="E5" s="2" t="str">
        <v>-0.50</v>
      </c>
      <c r="F5" s="2" t="str">
        <v>-0.75</v>
      </c>
      <c r="G5" s="2" t="str">
        <v>-1.00</v>
      </c>
      <c r="H5" s="2" t="str">
        <v>-1.25</v>
      </c>
      <c r="I5" s="2" t="str">
        <v>-1.50</v>
      </c>
      <c r="J5" s="2" t="str">
        <v>-1.75</v>
      </c>
      <c r="K5" s="2" t="str">
        <v>-2.00</v>
      </c>
      <c r="L5" s="2" t="str">
        <v>-2.25</v>
      </c>
      <c r="M5" s="2" t="str">
        <v>-2.50</v>
      </c>
      <c r="N5" s="2" t="str">
        <v>-2.75</v>
      </c>
      <c r="O5" s="2" t="str">
        <v>-3.00</v>
      </c>
      <c r="Q5" s="2" t="str">
        <v>(+)</v>
      </c>
      <c r="S5" s="2" t="str">
        <v>0.00</v>
      </c>
      <c r="T5" s="2" t="str">
        <v>-0.25</v>
      </c>
      <c r="U5" s="2" t="str">
        <v>-0.50</v>
      </c>
      <c r="V5" s="2" t="str">
        <v>-0.75</v>
      </c>
      <c r="W5" s="2" t="str">
        <v>-1.00</v>
      </c>
      <c r="X5" s="2" t="str">
        <v>-1.25</v>
      </c>
      <c r="Y5" s="2" t="str">
        <v>-1.50</v>
      </c>
      <c r="Z5" s="2" t="str">
        <v>-1.75</v>
      </c>
      <c r="AA5" s="2" t="str">
        <v>-2.00</v>
      </c>
      <c r="AB5" s="2" t="str">
        <v>-2.25</v>
      </c>
      <c r="AC5" s="2" t="str">
        <v>-2.50</v>
      </c>
      <c r="AD5" s="2" t="str">
        <v>-2.75</v>
      </c>
      <c r="AE5" s="2" t="str">
        <v>-3.00</v>
      </c>
    </row>
    <row r="6">
      <c r="A6" s="2" t="str">
        <v>ESFERA</v>
      </c>
      <c r="B6" s="2" t="str">
        <v>0.00</v>
      </c>
      <c r="C6" s="2">
        <v>3</v>
      </c>
      <c r="D6" s="2">
        <v>4</v>
      </c>
      <c r="E6" s="2">
        <v>4</v>
      </c>
      <c r="F6" s="2">
        <v>4</v>
      </c>
      <c r="G6" s="2">
        <v>4</v>
      </c>
      <c r="H6" s="2">
        <v>4</v>
      </c>
      <c r="I6" s="2">
        <v>3</v>
      </c>
      <c r="J6" s="2">
        <v>4</v>
      </c>
      <c r="K6" s="2">
        <v>3</v>
      </c>
      <c r="Q6" s="2" t="str">
        <v>ESFERA</v>
      </c>
      <c r="R6" s="2" t="str">
        <v>+0.25</v>
      </c>
      <c r="S6" s="2">
        <v>2</v>
      </c>
      <c r="T6" s="2">
        <v>2</v>
      </c>
      <c r="U6" s="2">
        <v>2</v>
      </c>
      <c r="V6" s="2">
        <v>2</v>
      </c>
      <c r="W6" s="2">
        <v>2</v>
      </c>
      <c r="X6" s="2">
        <v>2</v>
      </c>
      <c r="Y6" s="2">
        <v>2</v>
      </c>
      <c r="Z6" s="2">
        <v>2</v>
      </c>
    </row>
    <row r="7">
      <c r="B7" s="2" t="str">
        <v>-0.25</v>
      </c>
      <c r="C7" s="2">
        <v>4</v>
      </c>
      <c r="D7" s="2">
        <v>4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2</v>
      </c>
      <c r="K7" s="2">
        <v>4</v>
      </c>
      <c r="R7" s="2" t="str">
        <v>+0.50</v>
      </c>
      <c r="S7" s="2">
        <v>2</v>
      </c>
      <c r="T7" s="2">
        <v>2</v>
      </c>
      <c r="U7" s="2">
        <v>2</v>
      </c>
      <c r="V7" s="2">
        <v>2</v>
      </c>
      <c r="W7" s="2">
        <v>2</v>
      </c>
      <c r="X7" s="2">
        <v>2</v>
      </c>
      <c r="Y7" s="2">
        <v>2</v>
      </c>
      <c r="Z7" s="2">
        <v>2</v>
      </c>
      <c r="AA7" s="2">
        <v>2</v>
      </c>
    </row>
    <row r="8">
      <c r="B8" s="2" t="str">
        <v>-0.50</v>
      </c>
      <c r="C8" s="2">
        <v>4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R8" s="2" t="str">
        <v>+0.75</v>
      </c>
      <c r="S8" s="2">
        <v>2</v>
      </c>
      <c r="T8" s="2">
        <v>2</v>
      </c>
      <c r="U8" s="2">
        <v>2</v>
      </c>
      <c r="V8" s="2">
        <v>2</v>
      </c>
      <c r="W8" s="2">
        <v>2</v>
      </c>
      <c r="X8" s="2">
        <v>2</v>
      </c>
      <c r="Y8" s="2">
        <v>1</v>
      </c>
      <c r="Z8" s="2">
        <v>2</v>
      </c>
      <c r="AA8" s="2">
        <v>2</v>
      </c>
    </row>
    <row r="9">
      <c r="B9" s="2" t="str">
        <v>-0.75</v>
      </c>
      <c r="C9" s="2">
        <v>2</v>
      </c>
      <c r="D9" s="2">
        <v>4</v>
      </c>
      <c r="E9" s="2">
        <v>4</v>
      </c>
      <c r="F9" s="2">
        <v>4</v>
      </c>
      <c r="G9" s="2">
        <v>4</v>
      </c>
      <c r="H9" s="2">
        <v>4</v>
      </c>
      <c r="I9" s="2">
        <v>2</v>
      </c>
      <c r="J9" s="2">
        <v>4</v>
      </c>
      <c r="K9" s="2">
        <v>4</v>
      </c>
      <c r="R9" s="2" t="str">
        <v>+1.00</v>
      </c>
      <c r="S9" s="2">
        <v>2</v>
      </c>
      <c r="T9" s="2">
        <v>2</v>
      </c>
      <c r="U9" s="2">
        <v>2</v>
      </c>
      <c r="V9" s="2">
        <v>1</v>
      </c>
      <c r="W9" s="2">
        <v>2</v>
      </c>
      <c r="X9" s="2">
        <v>2</v>
      </c>
      <c r="Y9" s="2">
        <v>2</v>
      </c>
      <c r="Z9" s="2">
        <v>2</v>
      </c>
      <c r="AA9" s="2">
        <v>2</v>
      </c>
    </row>
    <row r="10">
      <c r="B10" s="2" t="str">
        <v>-1.00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R10" s="2" t="str">
        <v>+1.25</v>
      </c>
      <c r="S10" s="2">
        <v>2</v>
      </c>
      <c r="T10" s="2">
        <v>2</v>
      </c>
      <c r="U10" s="2">
        <v>2</v>
      </c>
      <c r="V10" s="2">
        <v>2</v>
      </c>
      <c r="W10" s="2">
        <v>2</v>
      </c>
      <c r="X10" s="2">
        <v>2</v>
      </c>
      <c r="Y10" s="2">
        <v>2</v>
      </c>
      <c r="Z10" s="2">
        <v>2</v>
      </c>
      <c r="AA10" s="2">
        <v>2</v>
      </c>
    </row>
    <row r="11">
      <c r="B11" s="2" t="str">
        <v>-1.25</v>
      </c>
      <c r="C11" s="2">
        <v>3</v>
      </c>
      <c r="D11" s="2">
        <v>3</v>
      </c>
      <c r="E11" s="2">
        <v>4</v>
      </c>
      <c r="F11" s="2">
        <v>2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R11" s="2" t="str">
        <v>+1.50</v>
      </c>
      <c r="S11" s="2">
        <v>2</v>
      </c>
      <c r="T11" s="2">
        <v>2</v>
      </c>
      <c r="U11" s="2">
        <v>2</v>
      </c>
      <c r="V11" s="2">
        <v>3</v>
      </c>
      <c r="W11" s="2">
        <v>2</v>
      </c>
      <c r="X11" s="2">
        <v>2</v>
      </c>
      <c r="Y11" s="2">
        <v>2</v>
      </c>
      <c r="Z11" s="2">
        <v>2</v>
      </c>
      <c r="AA11" s="2">
        <v>2</v>
      </c>
    </row>
    <row r="12">
      <c r="B12" s="2" t="str">
        <v>-1.50</v>
      </c>
      <c r="C12" s="2">
        <v>4</v>
      </c>
      <c r="D12" s="2">
        <v>4</v>
      </c>
      <c r="E12" s="2">
        <v>3</v>
      </c>
      <c r="F12" s="2">
        <v>3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R12" s="2" t="str">
        <v>+1.75</v>
      </c>
      <c r="S12" s="2">
        <v>2</v>
      </c>
      <c r="T12" s="2">
        <v>2</v>
      </c>
      <c r="U12" s="2">
        <v>2</v>
      </c>
      <c r="V12" s="2">
        <v>2</v>
      </c>
      <c r="W12" s="2">
        <v>2</v>
      </c>
      <c r="X12" s="2">
        <v>2</v>
      </c>
      <c r="Y12" s="2">
        <v>2</v>
      </c>
      <c r="Z12" s="2">
        <v>2</v>
      </c>
      <c r="AA12" s="2">
        <v>2</v>
      </c>
    </row>
    <row r="13">
      <c r="B13" s="2" t="str">
        <v>-1.75</v>
      </c>
      <c r="C13" s="2">
        <v>4</v>
      </c>
      <c r="D13" s="2">
        <v>4</v>
      </c>
      <c r="E13" s="2">
        <v>4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R13" s="2" t="str">
        <v>+2.00</v>
      </c>
      <c r="T13" s="2">
        <v>2</v>
      </c>
      <c r="U13" s="2">
        <v>2</v>
      </c>
      <c r="V13" s="2">
        <v>2</v>
      </c>
      <c r="W13" s="2">
        <v>2</v>
      </c>
      <c r="X13" s="2">
        <v>2</v>
      </c>
      <c r="Y13" s="2">
        <v>2</v>
      </c>
      <c r="Z13" s="2">
        <v>2</v>
      </c>
      <c r="AA13" s="2">
        <v>2</v>
      </c>
    </row>
    <row r="14">
      <c r="B14" s="2" t="str">
        <v>-2.00</v>
      </c>
      <c r="C14" s="2">
        <v>4</v>
      </c>
      <c r="D14" s="2">
        <v>4</v>
      </c>
      <c r="E14" s="2">
        <v>4</v>
      </c>
      <c r="F14" s="2">
        <v>4</v>
      </c>
      <c r="G14" s="2">
        <v>4</v>
      </c>
      <c r="H14" s="2">
        <v>2</v>
      </c>
      <c r="I14" s="2">
        <v>5</v>
      </c>
      <c r="J14" s="2">
        <v>4</v>
      </c>
      <c r="K14" s="2">
        <v>4</v>
      </c>
      <c r="R14" s="2" t="str">
        <v>+2.25</v>
      </c>
      <c r="S14" s="2">
        <v>2</v>
      </c>
      <c r="T14" s="2">
        <v>2</v>
      </c>
      <c r="U14" s="2">
        <v>2</v>
      </c>
      <c r="V14" s="2">
        <v>2</v>
      </c>
      <c r="W14" s="2">
        <v>2</v>
      </c>
      <c r="X14" s="2">
        <v>2</v>
      </c>
      <c r="Y14" s="2">
        <v>2</v>
      </c>
      <c r="Z14" s="2">
        <v>2</v>
      </c>
      <c r="AA14" s="2">
        <v>2</v>
      </c>
    </row>
    <row r="15">
      <c r="B15" s="2" t="str">
        <v>-2.25</v>
      </c>
      <c r="C15" s="2">
        <v>4</v>
      </c>
      <c r="D15" s="2">
        <v>4</v>
      </c>
      <c r="E15" s="2">
        <v>4</v>
      </c>
      <c r="F15" s="2">
        <v>3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R15" s="2" t="str">
        <v>+2.50</v>
      </c>
      <c r="S15" s="2">
        <v>2</v>
      </c>
      <c r="T15" s="2">
        <v>2</v>
      </c>
      <c r="U15" s="2">
        <v>2</v>
      </c>
      <c r="V15" s="2">
        <v>2</v>
      </c>
      <c r="W15" s="2">
        <v>2</v>
      </c>
      <c r="X15" s="2">
        <v>2</v>
      </c>
      <c r="Y15" s="2">
        <v>2</v>
      </c>
      <c r="Z15" s="2">
        <v>2</v>
      </c>
      <c r="AA15" s="2">
        <v>2</v>
      </c>
    </row>
    <row r="16">
      <c r="B16" s="2" t="str">
        <v>-2.50</v>
      </c>
      <c r="C16" s="2">
        <v>4</v>
      </c>
      <c r="D16" s="2">
        <v>4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R16" s="2" t="str">
        <v>+2.75</v>
      </c>
      <c r="S16" s="2">
        <v>2</v>
      </c>
      <c r="T16" s="2">
        <v>2</v>
      </c>
      <c r="U16" s="2">
        <v>2</v>
      </c>
      <c r="V16" s="2">
        <v>2</v>
      </c>
      <c r="W16" s="2">
        <v>2</v>
      </c>
      <c r="X16" s="2">
        <v>2</v>
      </c>
      <c r="Y16" s="2">
        <v>2</v>
      </c>
      <c r="Z16" s="2">
        <v>2</v>
      </c>
      <c r="AA16" s="2">
        <v>2</v>
      </c>
    </row>
    <row r="17">
      <c r="B17" s="2" t="str">
        <v>-2.75</v>
      </c>
      <c r="C17" s="2">
        <v>4</v>
      </c>
      <c r="D17" s="2">
        <v>4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4</v>
      </c>
      <c r="K17" s="2">
        <v>4</v>
      </c>
      <c r="R17" s="2" t="str">
        <v>+3.00</v>
      </c>
      <c r="S17" s="2">
        <v>2</v>
      </c>
      <c r="T17" s="2">
        <v>2</v>
      </c>
      <c r="U17" s="2">
        <v>2</v>
      </c>
      <c r="V17" s="2">
        <v>2</v>
      </c>
      <c r="W17" s="2">
        <v>2</v>
      </c>
      <c r="X17" s="2">
        <v>2</v>
      </c>
      <c r="Y17" s="2">
        <v>2</v>
      </c>
      <c r="Z17" s="2">
        <v>2</v>
      </c>
      <c r="AA17" s="2">
        <v>2</v>
      </c>
    </row>
    <row r="18">
      <c r="B18" s="2" t="str">
        <v>-3.00</v>
      </c>
      <c r="C18" s="2">
        <v>4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R18" s="2" t="str">
        <v>+3.25</v>
      </c>
    </row>
    <row r="19">
      <c r="B19" s="2" t="str">
        <v>-3.25</v>
      </c>
      <c r="R19" s="2" t="str">
        <v>+3.50</v>
      </c>
    </row>
    <row r="20">
      <c r="B20" s="2" t="str">
        <v>-3.50</v>
      </c>
      <c r="R20" s="2" t="str">
        <v>+3.75</v>
      </c>
    </row>
    <row r="21">
      <c r="B21" s="2" t="str">
        <v>-3.75</v>
      </c>
      <c r="R21" s="2" t="str">
        <v>+4.00</v>
      </c>
    </row>
    <row r="22">
      <c r="B22" s="2" t="str">
        <v>-4.00</v>
      </c>
      <c r="R22" s="2" t="str">
        <v>+4.25</v>
      </c>
    </row>
    <row r="23">
      <c r="B23" s="2" t="str">
        <v>-4.25</v>
      </c>
      <c r="R23" s="2" t="str">
        <v>+4.50</v>
      </c>
    </row>
    <row r="24">
      <c r="B24" s="2" t="str">
        <v>-4.50</v>
      </c>
      <c r="R24" s="2" t="str">
        <v>+4.75</v>
      </c>
    </row>
    <row r="25">
      <c r="B25" s="2" t="str">
        <v>-4.75</v>
      </c>
      <c r="R25" s="2" t="str">
        <v>+5.00</v>
      </c>
    </row>
    <row r="26">
      <c r="B26" s="2" t="str">
        <v>-5.00</v>
      </c>
      <c r="R26" s="2" t="str">
        <v>+5.25</v>
      </c>
    </row>
    <row r="27">
      <c r="B27" s="2" t="str">
        <v>-5.25</v>
      </c>
      <c r="R27" s="2" t="str">
        <v>+5.50</v>
      </c>
    </row>
    <row r="28">
      <c r="B28" s="2" t="str">
        <v>-5.50</v>
      </c>
      <c r="R28" s="2" t="str">
        <v>+5.75</v>
      </c>
    </row>
    <row r="29">
      <c r="B29" s="2" t="str">
        <v>-5.75</v>
      </c>
      <c r="R29" s="2" t="str">
        <v>+6.00</v>
      </c>
    </row>
    <row r="30">
      <c r="B30" s="2" t="str">
        <v>-6.00</v>
      </c>
    </row>
    <row r="32">
      <c r="A32" s="2" t="str">
        <v>PEDIDO SUGERIDO MONOFOCAL FOTOCROMATICO BLUEBLOCK RETURN VERDE</v>
      </c>
    </row>
    <row r="33">
      <c r="B33" s="2" t="str">
        <v>PEDIDO SUGERIDO MONOFOCAL FOTOCROMATICO AR (PIEZAS)</v>
      </c>
      <c r="S33" s="2" t="str">
        <v>PEDIDO SUGERIDO MONOFOCAL FOTOCROMATICO AR (PIEZAS)</v>
      </c>
    </row>
    <row r="34">
      <c r="C34" s="2" t="str">
        <v>CILINDRO</v>
      </c>
      <c r="S34" s="2" t="str">
        <v>CILINDRO</v>
      </c>
    </row>
    <row r="35">
      <c r="C35" s="2" t="str">
        <v>(-)</v>
      </c>
      <c r="S35" s="2" t="str">
        <v>(-)</v>
      </c>
    </row>
    <row r="36">
      <c r="A36" s="2" t="str">
        <v>(-)</v>
      </c>
      <c r="C36" s="2" t="str">
        <v>0.00</v>
      </c>
      <c r="D36" s="2" t="str">
        <v>-0.25</v>
      </c>
      <c r="E36" s="2" t="str">
        <v>-0.50</v>
      </c>
      <c r="F36" s="2" t="str">
        <v>-0.75</v>
      </c>
      <c r="G36" s="2" t="str">
        <v>-1.00</v>
      </c>
      <c r="H36" s="2" t="str">
        <v>-1.25</v>
      </c>
      <c r="I36" s="2" t="str">
        <v>-1.50</v>
      </c>
      <c r="J36" s="2" t="str">
        <v>-1.75</v>
      </c>
      <c r="K36" s="2" t="str">
        <v>-2.00</v>
      </c>
      <c r="L36" s="2" t="str">
        <v>-2.25</v>
      </c>
      <c r="M36" s="2" t="str">
        <v>-2.50</v>
      </c>
      <c r="N36" s="2" t="str">
        <v>-2.75</v>
      </c>
      <c r="O36" s="2" t="str">
        <v>-3.00</v>
      </c>
      <c r="Q36" s="2" t="str">
        <v>(+)</v>
      </c>
      <c r="S36" s="2" t="str">
        <v>0.00</v>
      </c>
      <c r="T36" s="2" t="str">
        <v>-0.25</v>
      </c>
      <c r="U36" s="2" t="str">
        <v>-0.50</v>
      </c>
      <c r="V36" s="2" t="str">
        <v>-0.75</v>
      </c>
      <c r="W36" s="2" t="str">
        <v>-1.00</v>
      </c>
      <c r="X36" s="2" t="str">
        <v>-1.25</v>
      </c>
      <c r="Y36" s="2" t="str">
        <v>-1.50</v>
      </c>
      <c r="Z36" s="2" t="str">
        <v>-1.75</v>
      </c>
      <c r="AA36" s="2" t="str">
        <v>-2.00</v>
      </c>
      <c r="AB36" s="2" t="str">
        <v>-2.25</v>
      </c>
      <c r="AC36" s="2" t="str">
        <v>-2.50</v>
      </c>
      <c r="AD36" s="2" t="str">
        <v>-2.75</v>
      </c>
      <c r="AE36" s="2" t="str">
        <v>-3.00</v>
      </c>
    </row>
    <row r="37">
      <c r="A37" s="2" t="str">
        <v>ESFERA (-)</v>
      </c>
      <c r="B37" s="2" t="str">
        <v>0.00</v>
      </c>
      <c r="C37" s="2">
        <f>IF(C6&lt;4,4-C6,"")</f>
        <v>1</v>
      </c>
      <c r="D37" s="2" t="str">
        <f>IF(D6&lt;4,4-D6,"")</f>
        <v/>
      </c>
      <c r="E37" s="2" t="str">
        <f>IF(E6&lt;4,4-E6,"")</f>
        <v/>
      </c>
      <c r="F37" s="2" t="str">
        <f>IF(F6&lt;4,4-F6,"")</f>
        <v/>
      </c>
      <c r="G37" s="2" t="str">
        <f>IF(G6&lt;4,4-G6,"")</f>
        <v/>
      </c>
      <c r="H37" s="2" t="str">
        <f>IF(H6&lt;4,4-H6,"")</f>
        <v/>
      </c>
      <c r="I37" s="2">
        <f>IF(I6&lt;4,4-I6,"")</f>
        <v>1</v>
      </c>
      <c r="J37" s="2" t="str">
        <f>IF(J6&lt;4,4-J6,"")</f>
        <v/>
      </c>
      <c r="K37" s="2">
        <f>IF(K6&lt;4,4-K6,"")</f>
        <v>1</v>
      </c>
      <c r="Q37" s="2" t="str">
        <v>ESFERA (+)</v>
      </c>
      <c r="R37" s="2" t="str">
        <v>+0.25</v>
      </c>
      <c r="S37" s="2" t="str">
        <f>IF(S6&lt;2,2-S6,"")</f>
        <v/>
      </c>
      <c r="T37" s="2" t="str">
        <f>IF(T6&lt;2,2-T6,"")</f>
        <v/>
      </c>
      <c r="U37" s="2" t="str">
        <f>IF(U6&lt;2,2-U6,"")</f>
        <v/>
      </c>
      <c r="V37" s="2" t="str">
        <f>IF(V6&lt;2,2-V6,"")</f>
        <v/>
      </c>
      <c r="W37" s="2" t="str">
        <f>IF(W6&lt;2,2-W6,"")</f>
        <v/>
      </c>
      <c r="X37" s="2" t="str">
        <f>IF(X6&lt;2,2-X6,"")</f>
        <v/>
      </c>
      <c r="Y37" s="2" t="str">
        <f>IF(Y6&lt;2,2-Y6,"")</f>
        <v/>
      </c>
      <c r="Z37" s="2" t="str">
        <f>IF(Z6&lt;2,2-Z6,"")</f>
        <v/>
      </c>
      <c r="AA37" s="2">
        <f>IF(AA6&lt;2,2-AA6,"")</f>
        <v>2</v>
      </c>
    </row>
    <row r="38">
      <c r="B38" s="2" t="str">
        <v>-0.25</v>
      </c>
      <c r="C38" s="2" t="str">
        <f>IF(C7&lt;4,4-C7,"")</f>
        <v/>
      </c>
      <c r="D38" s="2" t="str">
        <f>IF(D7&lt;4,4-D7,"")</f>
        <v/>
      </c>
      <c r="E38" s="2" t="str">
        <f>IF(E7&lt;4,4-E7,"")</f>
        <v/>
      </c>
      <c r="F38" s="2" t="str">
        <f>IF(F7&lt;4,4-F7,"")</f>
        <v/>
      </c>
      <c r="G38" s="2" t="str">
        <f>IF(G7&lt;4,4-G7,"")</f>
        <v/>
      </c>
      <c r="H38" s="2" t="str">
        <f>IF(H7&lt;4,4-H7,"")</f>
        <v/>
      </c>
      <c r="I38" s="2" t="str">
        <f>IF(I7&lt;4,4-I7,"")</f>
        <v/>
      </c>
      <c r="J38" s="2">
        <f>IF(J7&lt;4,4-J7,"")</f>
        <v>2</v>
      </c>
      <c r="K38" s="2" t="str">
        <f>IF(K7&lt;4,4-K7,"")</f>
        <v/>
      </c>
      <c r="R38" s="2" t="str">
        <v>+0.50</v>
      </c>
      <c r="S38" s="2" t="str">
        <f>IF(S7&lt;2,2-S7,"")</f>
        <v/>
      </c>
      <c r="T38" s="2" t="str">
        <f>IF(T7&lt;2,2-T7,"")</f>
        <v/>
      </c>
      <c r="U38" s="2" t="str">
        <f>IF(U7&lt;2,2-U7,"")</f>
        <v/>
      </c>
      <c r="V38" s="2" t="str">
        <f>IF(V7&lt;2,2-V7,"")</f>
        <v/>
      </c>
      <c r="W38" s="2" t="str">
        <f>IF(W7&lt;2,2-W7,"")</f>
        <v/>
      </c>
      <c r="X38" s="2" t="str">
        <f>IF(X7&lt;2,2-X7,"")</f>
        <v/>
      </c>
      <c r="Y38" s="2" t="str">
        <f>IF(Y7&lt;2,2-Y7,"")</f>
        <v/>
      </c>
      <c r="Z38" s="2" t="str">
        <f>IF(Z7&lt;2,2-Z7,"")</f>
        <v/>
      </c>
      <c r="AA38" s="2" t="str">
        <f>IF(AA7&lt;2,2-AA7,"")</f>
        <v/>
      </c>
    </row>
    <row r="39">
      <c r="B39" s="2" t="str">
        <v>-0.50</v>
      </c>
      <c r="C39" s="2" t="str">
        <f>IF(C8&lt;4,4-C8,"")</f>
        <v/>
      </c>
      <c r="D39" s="2" t="str">
        <f>IF(D8&lt;4,4-D8,"")</f>
        <v/>
      </c>
      <c r="E39" s="2" t="str">
        <f>IF(E8&lt;4,4-E8,"")</f>
        <v/>
      </c>
      <c r="F39" s="2" t="str">
        <f>IF(F8&lt;4,4-F8,"")</f>
        <v/>
      </c>
      <c r="G39" s="2" t="str">
        <f>IF(G8&lt;4,4-G8,"")</f>
        <v/>
      </c>
      <c r="H39" s="2" t="str">
        <f>IF(H8&lt;4,4-H8,"")</f>
        <v/>
      </c>
      <c r="I39" s="2" t="str">
        <f>IF(I8&lt;4,4-I8,"")</f>
        <v/>
      </c>
      <c r="J39" s="2" t="str">
        <f>IF(J8&lt;4,4-J8,"")</f>
        <v/>
      </c>
      <c r="K39" s="2" t="str">
        <f>IF(K8&lt;4,4-K8,"")</f>
        <v/>
      </c>
      <c r="R39" s="2" t="str">
        <v>+0.75</v>
      </c>
      <c r="S39" s="2" t="str">
        <f>IF(S8&lt;2,2-S8,"")</f>
        <v/>
      </c>
      <c r="T39" s="2" t="str">
        <f>IF(T8&lt;2,2-T8,"")</f>
        <v/>
      </c>
      <c r="U39" s="2" t="str">
        <f>IF(U8&lt;2,2-U8,"")</f>
        <v/>
      </c>
      <c r="V39" s="2" t="str">
        <f>IF(V8&lt;2,2-V8,"")</f>
        <v/>
      </c>
      <c r="W39" s="2" t="str">
        <f>IF(W8&lt;2,2-W8,"")</f>
        <v/>
      </c>
      <c r="X39" s="2" t="str">
        <f>IF(X8&lt;2,2-X8,"")</f>
        <v/>
      </c>
      <c r="Y39" s="2">
        <f>IF(Y8&lt;2,2-Y8,"")</f>
        <v>1</v>
      </c>
      <c r="Z39" s="2" t="str">
        <f>IF(Z8&lt;2,2-Z8,"")</f>
        <v/>
      </c>
      <c r="AA39" s="2" t="str">
        <f>IF(AA8&lt;2,2-AA8,"")</f>
        <v/>
      </c>
    </row>
    <row r="40">
      <c r="B40" s="2" t="str">
        <v>-0.75</v>
      </c>
      <c r="C40" s="2">
        <f>IF(C9&lt;4,4-C9,"")</f>
        <v>2</v>
      </c>
      <c r="D40" s="2" t="str">
        <f>IF(D9&lt;4,4-D9,"")</f>
        <v/>
      </c>
      <c r="E40" s="2" t="str">
        <f>IF(E9&lt;4,4-E9,"")</f>
        <v/>
      </c>
      <c r="F40" s="2" t="str">
        <f>IF(F9&lt;4,4-F9,"")</f>
        <v/>
      </c>
      <c r="G40" s="2" t="str">
        <f>IF(G9&lt;4,4-G9,"")</f>
        <v/>
      </c>
      <c r="H40" s="2" t="str">
        <f>IF(H9&lt;4,4-H9,"")</f>
        <v/>
      </c>
      <c r="I40" s="2">
        <f>IF(I9&lt;4,4-I9,"")</f>
        <v>2</v>
      </c>
      <c r="J40" s="2" t="str">
        <f>IF(J9&lt;4,4-J9,"")</f>
        <v/>
      </c>
      <c r="K40" s="2" t="str">
        <f>IF(K9&lt;4,4-K9,"")</f>
        <v/>
      </c>
      <c r="R40" s="2" t="str">
        <v>+1.00</v>
      </c>
      <c r="S40" s="2" t="str">
        <f>IF(S9&lt;2,2-S9,"")</f>
        <v/>
      </c>
      <c r="T40" s="2" t="str">
        <f>IF(T9&lt;2,2-T9,"")</f>
        <v/>
      </c>
      <c r="U40" s="2" t="str">
        <f>IF(U9&lt;2,2-U9,"")</f>
        <v/>
      </c>
      <c r="V40" s="2">
        <f>IF(V9&lt;2,2-V9,"")</f>
        <v>1</v>
      </c>
      <c r="W40" s="2" t="str">
        <f>IF(W9&lt;2,2-W9,"")</f>
        <v/>
      </c>
      <c r="X40" s="2" t="str">
        <f>IF(X9&lt;2,2-X9,"")</f>
        <v/>
      </c>
      <c r="Y40" s="2" t="str">
        <f>IF(Y9&lt;2,2-Y9,"")</f>
        <v/>
      </c>
      <c r="Z40" s="2" t="str">
        <f>IF(Z9&lt;2,2-Z9,"")</f>
        <v/>
      </c>
      <c r="AA40" s="2" t="str">
        <f>IF(AA9&lt;2,2-AA9,"")</f>
        <v/>
      </c>
    </row>
    <row r="41">
      <c r="B41" s="2" t="str">
        <v>-1.00</v>
      </c>
      <c r="C41" s="2" t="str">
        <f>IF(C10&lt;4,4-C10,"")</f>
        <v/>
      </c>
      <c r="D41" s="2" t="str">
        <f>IF(D10&lt;4,4-D10,"")</f>
        <v/>
      </c>
      <c r="E41" s="2" t="str">
        <f>IF(E10&lt;4,4-E10,"")</f>
        <v/>
      </c>
      <c r="F41" s="2" t="str">
        <f>IF(F10&lt;4,4-F10,"")</f>
        <v/>
      </c>
      <c r="G41" s="2" t="str">
        <f>IF(G10&lt;4,4-G10,"")</f>
        <v/>
      </c>
      <c r="H41" s="2" t="str">
        <f>IF(H10&lt;4,4-H10,"")</f>
        <v/>
      </c>
      <c r="I41" s="2" t="str">
        <f>IF(I10&lt;4,4-I10,"")</f>
        <v/>
      </c>
      <c r="J41" s="2" t="str">
        <f>IF(J10&lt;4,4-J10,"")</f>
        <v/>
      </c>
      <c r="K41" s="2" t="str">
        <f>IF(K10&lt;4,4-K10,"")</f>
        <v/>
      </c>
      <c r="R41" s="2" t="str">
        <v>+1.25</v>
      </c>
      <c r="S41" s="2" t="str">
        <f>IF(S10&lt;2,2-S10,"")</f>
        <v/>
      </c>
      <c r="T41" s="2" t="str">
        <f>IF(T10&lt;2,2-T10,"")</f>
        <v/>
      </c>
      <c r="U41" s="2" t="str">
        <f>IF(U10&lt;2,2-U10,"")</f>
        <v/>
      </c>
      <c r="V41" s="2" t="str">
        <f>IF(V10&lt;2,2-V10,"")</f>
        <v/>
      </c>
      <c r="W41" s="2" t="str">
        <f>IF(W10&lt;2,2-W10,"")</f>
        <v/>
      </c>
      <c r="X41" s="2" t="str">
        <f>IF(X10&lt;2,2-X10,"")</f>
        <v/>
      </c>
      <c r="Y41" s="2" t="str">
        <f>IF(Y10&lt;2,2-Y10,"")</f>
        <v/>
      </c>
      <c r="Z41" s="2" t="str">
        <f>IF(Z10&lt;2,2-Z10,"")</f>
        <v/>
      </c>
      <c r="AA41" s="2" t="str">
        <f>IF(AA10&lt;2,2-AA10,"")</f>
        <v/>
      </c>
    </row>
    <row r="42">
      <c r="B42" s="2" t="str">
        <v>-1.25</v>
      </c>
      <c r="C42" s="2">
        <f>IF(C11&lt;4,4-C11,"")</f>
        <v>1</v>
      </c>
      <c r="D42" s="2">
        <f>IF(D11&lt;4,4-D11,"")</f>
        <v>1</v>
      </c>
      <c r="E42" s="2" t="str">
        <f>IF(E11&lt;4,4-E11,"")</f>
        <v/>
      </c>
      <c r="F42" s="2">
        <f>IF(F11&lt;4,4-F11,"")</f>
        <v>2</v>
      </c>
      <c r="G42" s="2" t="str">
        <f>IF(G11&lt;4,4-G11,"")</f>
        <v/>
      </c>
      <c r="H42" s="2" t="str">
        <f>IF(H11&lt;4,4-H11,"")</f>
        <v/>
      </c>
      <c r="I42" s="2" t="str">
        <f>IF(I11&lt;4,4-I11,"")</f>
        <v/>
      </c>
      <c r="J42" s="2" t="str">
        <f>IF(J11&lt;4,4-J11,"")</f>
        <v/>
      </c>
      <c r="K42" s="2" t="str">
        <f>IF(K11&lt;4,4-K11,"")</f>
        <v/>
      </c>
      <c r="R42" s="2" t="str">
        <v>+1.50</v>
      </c>
      <c r="S42" s="2" t="str">
        <f>IF(S11&lt;2,2-S11,"")</f>
        <v/>
      </c>
      <c r="T42" s="2" t="str">
        <f>IF(T11&lt;2,2-T11,"")</f>
        <v/>
      </c>
      <c r="U42" s="2" t="str">
        <f>IF(U11&lt;2,2-U11,"")</f>
        <v/>
      </c>
      <c r="V42" s="2" t="str">
        <f>IF(V11&lt;2,2-V11,"")</f>
        <v/>
      </c>
      <c r="W42" s="2" t="str">
        <f>IF(W11&lt;2,2-W11,"")</f>
        <v/>
      </c>
      <c r="X42" s="2" t="str">
        <f>IF(X11&lt;2,2-X11,"")</f>
        <v/>
      </c>
      <c r="Y42" s="2" t="str">
        <f>IF(Y11&lt;2,2-Y11,"")</f>
        <v/>
      </c>
      <c r="Z42" s="2" t="str">
        <f>IF(Z11&lt;2,2-Z11,"")</f>
        <v/>
      </c>
      <c r="AA42" s="2" t="str">
        <f>IF(AA11&lt;2,2-AA11,"")</f>
        <v/>
      </c>
    </row>
    <row r="43">
      <c r="B43" s="2" t="str">
        <v>-1.50</v>
      </c>
      <c r="C43" s="2" t="str">
        <f>IF(C12&lt;4,4-C12,"")</f>
        <v/>
      </c>
      <c r="D43" s="2" t="str">
        <f>IF(D12&lt;4,4-D12,"")</f>
        <v/>
      </c>
      <c r="E43" s="2">
        <f>IF(E12&lt;4,4-E12,"")</f>
        <v>1</v>
      </c>
      <c r="F43" s="2">
        <f>IF(F12&lt;4,4-F12,"")</f>
        <v>1</v>
      </c>
      <c r="G43" s="2" t="str">
        <f>IF(G12&lt;4,4-G12,"")</f>
        <v/>
      </c>
      <c r="H43" s="2" t="str">
        <f>IF(H12&lt;4,4-H12,"")</f>
        <v/>
      </c>
      <c r="I43" s="2" t="str">
        <f>IF(I12&lt;4,4-I12,"")</f>
        <v/>
      </c>
      <c r="J43" s="2" t="str">
        <f>IF(J12&lt;4,4-J12,"")</f>
        <v/>
      </c>
      <c r="K43" s="2" t="str">
        <f>IF(K12&lt;4,4-K12,"")</f>
        <v/>
      </c>
      <c r="R43" s="2" t="str">
        <v>+1.75</v>
      </c>
      <c r="S43" s="2" t="str">
        <f>IF(S12&lt;2,2-S12,"")</f>
        <v/>
      </c>
      <c r="T43" s="2" t="str">
        <f>IF(T12&lt;2,2-T12,"")</f>
        <v/>
      </c>
      <c r="U43" s="2" t="str">
        <f>IF(U12&lt;2,2-U12,"")</f>
        <v/>
      </c>
      <c r="V43" s="2" t="str">
        <f>IF(V12&lt;2,2-V12,"")</f>
        <v/>
      </c>
      <c r="W43" s="2" t="str">
        <f>IF(W12&lt;2,2-W12,"")</f>
        <v/>
      </c>
      <c r="X43" s="2" t="str">
        <f>IF(X12&lt;2,2-X12,"")</f>
        <v/>
      </c>
      <c r="Y43" s="2" t="str">
        <f>IF(Y12&lt;2,2-Y12,"")</f>
        <v/>
      </c>
      <c r="Z43" s="2" t="str">
        <f>IF(Z12&lt;2,2-Z12,"")</f>
        <v/>
      </c>
      <c r="AA43" s="2" t="str">
        <f>IF(AA12&lt;2,2-AA12,"")</f>
        <v/>
      </c>
    </row>
    <row r="44">
      <c r="B44" s="2" t="str">
        <v>-1.75</v>
      </c>
      <c r="C44" s="2" t="str">
        <f>IF(C13&lt;4,4-C13,"")</f>
        <v/>
      </c>
      <c r="D44" s="2" t="str">
        <f>IF(D13&lt;4,4-D13,"")</f>
        <v/>
      </c>
      <c r="E44" s="2" t="str">
        <f>IF(E13&lt;4,4-E13,"")</f>
        <v/>
      </c>
      <c r="F44" s="2" t="str">
        <f>IF(F13&lt;4,4-F13,"")</f>
        <v/>
      </c>
      <c r="G44" s="2" t="str">
        <f>IF(G13&lt;4,4-G13,"")</f>
        <v/>
      </c>
      <c r="H44" s="2" t="str">
        <f>IF(H13&lt;4,4-H13,"")</f>
        <v/>
      </c>
      <c r="I44" s="2" t="str">
        <f>IF(I13&lt;4,4-I13,"")</f>
        <v/>
      </c>
      <c r="J44" s="2" t="str">
        <f>IF(J13&lt;4,4-J13,"")</f>
        <v/>
      </c>
      <c r="K44" s="2" t="str">
        <f>IF(K13&lt;4,4-K13,"")</f>
        <v/>
      </c>
      <c r="R44" s="2" t="str">
        <v>+2.00</v>
      </c>
      <c r="S44" s="2">
        <f>IF(S13&lt;2,2-S13,"")</f>
        <v>2</v>
      </c>
      <c r="T44" s="2" t="str">
        <f>IF(T13&lt;2,2-T13,"")</f>
        <v/>
      </c>
      <c r="U44" s="2" t="str">
        <f>IF(U13&lt;2,2-U13,"")</f>
        <v/>
      </c>
      <c r="V44" s="2" t="str">
        <f>IF(V13&lt;2,2-V13,"")</f>
        <v/>
      </c>
      <c r="W44" s="2" t="str">
        <f>IF(W13&lt;2,2-W13,"")</f>
        <v/>
      </c>
      <c r="X44" s="2" t="str">
        <f>IF(X13&lt;2,2-X13,"")</f>
        <v/>
      </c>
      <c r="Y44" s="2" t="str">
        <f>IF(Y13&lt;2,2-Y13,"")</f>
        <v/>
      </c>
      <c r="Z44" s="2" t="str">
        <f>IF(Z13&lt;2,2-Z13,"")</f>
        <v/>
      </c>
      <c r="AA44" s="2" t="str">
        <f>IF(AA13&lt;2,2-AA13,"")</f>
        <v/>
      </c>
    </row>
    <row r="45">
      <c r="B45" s="2" t="str">
        <v>-2.00</v>
      </c>
      <c r="C45" s="2" t="str">
        <f>IF(C14&lt;4,4-C14,"")</f>
        <v/>
      </c>
      <c r="D45" s="2" t="str">
        <f>IF(D14&lt;4,4-D14,"")</f>
        <v/>
      </c>
      <c r="E45" s="2" t="str">
        <f>IF(E14&lt;4,4-E14,"")</f>
        <v/>
      </c>
      <c r="F45" s="2" t="str">
        <f>IF(F14&lt;4,4-F14,"")</f>
        <v/>
      </c>
      <c r="G45" s="2" t="str">
        <f>IF(G14&lt;4,4-G14,"")</f>
        <v/>
      </c>
      <c r="H45" s="2">
        <f>IF(H14&lt;4,4-H14,"")</f>
        <v>2</v>
      </c>
      <c r="I45" s="2" t="str">
        <f>IF(I14&lt;4,4-I14,"")</f>
        <v/>
      </c>
      <c r="J45" s="2" t="str">
        <f>IF(J14&lt;4,4-J14,"")</f>
        <v/>
      </c>
      <c r="K45" s="2" t="str">
        <f>IF(K14&lt;4,4-K14,"")</f>
        <v/>
      </c>
      <c r="R45" s="2" t="str">
        <v>+2.25</v>
      </c>
      <c r="S45" s="2" t="str">
        <f>IF(S14&lt;2,2-S14,"")</f>
        <v/>
      </c>
      <c r="T45" s="2" t="str">
        <f>IF(T14&lt;2,2-T14,"")</f>
        <v/>
      </c>
      <c r="U45" s="2" t="str">
        <f>IF(U14&lt;2,2-U14,"")</f>
        <v/>
      </c>
      <c r="V45" s="2" t="str">
        <f>IF(V14&lt;2,2-V14,"")</f>
        <v/>
      </c>
      <c r="W45" s="2" t="str">
        <f>IF(W14&lt;2,2-W14,"")</f>
        <v/>
      </c>
      <c r="X45" s="2" t="str">
        <f>IF(X14&lt;2,2-X14,"")</f>
        <v/>
      </c>
      <c r="Y45" s="2" t="str">
        <f>IF(Y14&lt;2,2-Y14,"")</f>
        <v/>
      </c>
      <c r="Z45" s="2" t="str">
        <f>IF(Z14&lt;2,2-Z14,"")</f>
        <v/>
      </c>
      <c r="AA45" s="2" t="str">
        <f>IF(AA14&lt;2,2-AA14,"")</f>
        <v/>
      </c>
    </row>
    <row r="46">
      <c r="B46" s="2" t="str">
        <v>-2.25</v>
      </c>
      <c r="C46" s="2" t="str">
        <f>IF(C15&lt;4,4-C15,"")</f>
        <v/>
      </c>
      <c r="D46" s="2" t="str">
        <f>IF(D15&lt;4,4-D15,"")</f>
        <v/>
      </c>
      <c r="E46" s="2" t="str">
        <f>IF(E15&lt;4,4-E15,"")</f>
        <v/>
      </c>
      <c r="F46" s="2">
        <f>IF(F15&lt;4,4-F15,"")</f>
        <v>1</v>
      </c>
      <c r="G46" s="2" t="str">
        <f>IF(G15&lt;4,4-G15,"")</f>
        <v/>
      </c>
      <c r="H46" s="2" t="str">
        <f>IF(H15&lt;4,4-H15,"")</f>
        <v/>
      </c>
      <c r="I46" s="2" t="str">
        <f>IF(I15&lt;4,4-I15,"")</f>
        <v/>
      </c>
      <c r="J46" s="2" t="str">
        <f>IF(J15&lt;4,4-J15,"")</f>
        <v/>
      </c>
      <c r="K46" s="2" t="str">
        <f>IF(K15&lt;4,4-K15,"")</f>
        <v/>
      </c>
      <c r="R46" s="2" t="str">
        <v>+2.50</v>
      </c>
      <c r="S46" s="2" t="str">
        <f>IF(S15&lt;2,2-S15,"")</f>
        <v/>
      </c>
      <c r="T46" s="2" t="str">
        <f>IF(T15&lt;2,2-T15,"")</f>
        <v/>
      </c>
      <c r="U46" s="2" t="str">
        <f>IF(U15&lt;2,2-U15,"")</f>
        <v/>
      </c>
      <c r="V46" s="2" t="str">
        <f>IF(V15&lt;2,2-V15,"")</f>
        <v/>
      </c>
      <c r="W46" s="2" t="str">
        <f>IF(W15&lt;2,2-W15,"")</f>
        <v/>
      </c>
      <c r="X46" s="2" t="str">
        <f>IF(X15&lt;2,2-X15,"")</f>
        <v/>
      </c>
      <c r="Y46" s="2" t="str">
        <f>IF(Y15&lt;2,2-Y15,"")</f>
        <v/>
      </c>
      <c r="Z46" s="2" t="str">
        <f>IF(Z15&lt;2,2-Z15,"")</f>
        <v/>
      </c>
      <c r="AA46" s="2" t="str">
        <f>IF(AA15&lt;2,2-AA15,"")</f>
        <v/>
      </c>
    </row>
    <row r="47">
      <c r="B47" s="2" t="str">
        <v>-2.50</v>
      </c>
      <c r="C47" s="2" t="str">
        <f>IF(C16&lt;4,4-C16,"")</f>
        <v/>
      </c>
      <c r="D47" s="2" t="str">
        <f>IF(D16&lt;4,4-D16,"")</f>
        <v/>
      </c>
      <c r="E47" s="2" t="str">
        <f>IF(E16&lt;4,4-E16,"")</f>
        <v/>
      </c>
      <c r="F47" s="2" t="str">
        <f>IF(F16&lt;4,4-F16,"")</f>
        <v/>
      </c>
      <c r="G47" s="2" t="str">
        <f>IF(G16&lt;4,4-G16,"")</f>
        <v/>
      </c>
      <c r="H47" s="2" t="str">
        <f>IF(H16&lt;4,4-H16,"")</f>
        <v/>
      </c>
      <c r="I47" s="2" t="str">
        <f>IF(I16&lt;4,4-I16,"")</f>
        <v/>
      </c>
      <c r="J47" s="2" t="str">
        <f>IF(J16&lt;4,4-J16,"")</f>
        <v/>
      </c>
      <c r="K47" s="2" t="str">
        <f>IF(K16&lt;4,4-K16,"")</f>
        <v/>
      </c>
      <c r="R47" s="2" t="str">
        <v>+2.75</v>
      </c>
      <c r="S47" s="2" t="str">
        <f>IF(S16&lt;2,2-S16,"")</f>
        <v/>
      </c>
      <c r="T47" s="2" t="str">
        <f>IF(T16&lt;2,2-T16,"")</f>
        <v/>
      </c>
      <c r="U47" s="2" t="str">
        <f>IF(U16&lt;2,2-U16,"")</f>
        <v/>
      </c>
      <c r="V47" s="2" t="str">
        <f>IF(V16&lt;2,2-V16,"")</f>
        <v/>
      </c>
      <c r="W47" s="2" t="str">
        <f>IF(W16&lt;2,2-W16,"")</f>
        <v/>
      </c>
      <c r="X47" s="2" t="str">
        <f>IF(X16&lt;2,2-X16,"")</f>
        <v/>
      </c>
      <c r="Y47" s="2" t="str">
        <f>IF(Y16&lt;2,2-Y16,"")</f>
        <v/>
      </c>
      <c r="Z47" s="2" t="str">
        <f>IF(Z16&lt;2,2-Z16,"")</f>
        <v/>
      </c>
      <c r="AA47" s="2" t="str">
        <f>IF(AA16&lt;2,2-AA16,"")</f>
        <v/>
      </c>
    </row>
    <row r="48">
      <c r="B48" s="2" t="str">
        <v>-2.75</v>
      </c>
      <c r="C48" s="2" t="str">
        <f>IF(C17&lt;4,4-C17,"")</f>
        <v/>
      </c>
      <c r="D48" s="2" t="str">
        <f>IF(D17&lt;4,4-D17,"")</f>
        <v/>
      </c>
      <c r="E48" s="2" t="str">
        <f>IF(E17&lt;4,4-E17,"")</f>
        <v/>
      </c>
      <c r="F48" s="2" t="str">
        <f>IF(F17&lt;4,4-F17,"")</f>
        <v/>
      </c>
      <c r="G48" s="2" t="str">
        <f>IF(G17&lt;4,4-G17,"")</f>
        <v/>
      </c>
      <c r="H48" s="2" t="str">
        <f>IF(H17&lt;4,4-H17,"")</f>
        <v/>
      </c>
      <c r="I48" s="2" t="str">
        <f>IF(I17&lt;4,4-I17,"")</f>
        <v/>
      </c>
      <c r="J48" s="2" t="str">
        <f>IF(J17&lt;4,4-J17,"")</f>
        <v/>
      </c>
      <c r="K48" s="2" t="str">
        <f>IF(K17&lt;4,4-K17,"")</f>
        <v/>
      </c>
      <c r="R48" s="2" t="str">
        <v>+3.00</v>
      </c>
      <c r="S48" s="2" t="str">
        <f>IF(S17&lt;2,2-S17,"")</f>
        <v/>
      </c>
      <c r="T48" s="2" t="str">
        <f>IF(T17&lt;2,2-T17,"")</f>
        <v/>
      </c>
      <c r="U48" s="2" t="str">
        <f>IF(U17&lt;2,2-U17,"")</f>
        <v/>
      </c>
      <c r="V48" s="2" t="str">
        <f>IF(V17&lt;2,2-V17,"")</f>
        <v/>
      </c>
      <c r="W48" s="2" t="str">
        <f>IF(W17&lt;2,2-W17,"")</f>
        <v/>
      </c>
      <c r="X48" s="2" t="str">
        <f>IF(X17&lt;2,2-X17,"")</f>
        <v/>
      </c>
      <c r="Y48" s="2" t="str">
        <f>IF(Y17&lt;2,2-Y17,"")</f>
        <v/>
      </c>
      <c r="Z48" s="2" t="str">
        <f>IF(Z17&lt;2,2-Z17,"")</f>
        <v/>
      </c>
      <c r="AA48" s="2" t="str">
        <f>IF(AA17&lt;2,2-AA17,"")</f>
        <v/>
      </c>
    </row>
    <row r="49">
      <c r="B49" s="2" t="str">
        <v>-3.00</v>
      </c>
      <c r="C49" s="2" t="str">
        <f>IF(C18&lt;4,4-C18,"")</f>
        <v/>
      </c>
      <c r="D49" s="2" t="str">
        <f>IF(D18&lt;4,4-D18,"")</f>
        <v/>
      </c>
      <c r="E49" s="2" t="str">
        <f>IF(E18&lt;4,4-E18,"")</f>
        <v/>
      </c>
      <c r="F49" s="2" t="str">
        <f>IF(F18&lt;4,4-F18,"")</f>
        <v/>
      </c>
      <c r="G49" s="2" t="str">
        <f>IF(G18&lt;4,4-G18,"")</f>
        <v/>
      </c>
      <c r="H49" s="2" t="str">
        <f>IF(H18&lt;4,4-H18,"")</f>
        <v/>
      </c>
      <c r="I49" s="2" t="str">
        <f>IF(I18&lt;4,4-I18,"")</f>
        <v/>
      </c>
      <c r="J49" s="2" t="str">
        <f>IF(J18&lt;4,4-J18,"")</f>
        <v/>
      </c>
      <c r="K49" s="2" t="str">
        <f>IF(K18&lt;4,4-K18,"")</f>
        <v/>
      </c>
      <c r="R49" s="2" t="str">
        <v>+3.25</v>
      </c>
    </row>
    <row r="50">
      <c r="B50" s="2" t="str">
        <v>-3.25</v>
      </c>
      <c r="R50" s="2" t="str">
        <v>+3.50</v>
      </c>
    </row>
    <row r="51">
      <c r="B51" s="2" t="str">
        <v>-3.50</v>
      </c>
      <c r="R51" s="2" t="str">
        <v>+3.75</v>
      </c>
    </row>
    <row r="52">
      <c r="B52" s="2" t="str">
        <v>-3.75</v>
      </c>
      <c r="R52" s="2" t="str">
        <v>+4.00</v>
      </c>
    </row>
    <row r="53">
      <c r="B53" s="2" t="str">
        <v>-4.00</v>
      </c>
      <c r="R53" s="2" t="str">
        <v>+4.25</v>
      </c>
    </row>
    <row r="54">
      <c r="B54" s="2" t="str">
        <v>-4.25</v>
      </c>
      <c r="R54" s="2" t="str">
        <v>+4.50</v>
      </c>
    </row>
    <row r="55">
      <c r="B55" s="2" t="str">
        <v>-4.50</v>
      </c>
      <c r="R55" s="2" t="str">
        <v>+4.75</v>
      </c>
    </row>
    <row r="56">
      <c r="B56" s="2" t="str">
        <v>-4.75</v>
      </c>
      <c r="R56" s="2" t="str">
        <v>+5.00</v>
      </c>
    </row>
    <row r="57">
      <c r="B57" s="2" t="str">
        <v>-5.00</v>
      </c>
      <c r="R57" s="2" t="str">
        <v>+5.25</v>
      </c>
    </row>
    <row r="58">
      <c r="B58" s="2" t="str">
        <v>-5.25</v>
      </c>
      <c r="R58" s="2" t="str">
        <v>+5.50</v>
      </c>
    </row>
    <row r="59">
      <c r="B59" s="2" t="str">
        <v>-5.50</v>
      </c>
      <c r="R59" s="2" t="str">
        <v>+5.75</v>
      </c>
    </row>
    <row r="60">
      <c r="B60" s="2" t="str">
        <v>-5.75</v>
      </c>
      <c r="R60" s="2" t="str">
        <v>+6.00</v>
      </c>
    </row>
    <row r="61">
      <c r="B61" s="2" t="str">
        <v>-6.00</v>
      </c>
    </row>
    <row r="63">
      <c r="E63" s="2" t="str">
        <v>PIEZAS</v>
      </c>
      <c r="G63" s="2" t="str">
        <v>COSTO</v>
      </c>
      <c r="U63" s="2" t="str">
        <v>PIEZAS</v>
      </c>
      <c r="W63" s="2" t="str">
        <v>COSTO</v>
      </c>
    </row>
    <row r="64">
      <c r="C64" s="2" t="str">
        <v>1RA SERIE</v>
      </c>
      <c r="E64" s="2">
        <f>SUM(C6:K18)</f>
        <v>451</v>
      </c>
      <c r="G64" s="2">
        <f>E64*60</f>
        <v>27060</v>
      </c>
      <c r="S64" s="2" t="str">
        <v>1RA SERIE</v>
      </c>
      <c r="U64" s="2">
        <f>SUM(S6:AA17)</f>
        <v>211</v>
      </c>
      <c r="W64" s="2">
        <f>U64*60</f>
        <v>12660</v>
      </c>
    </row>
    <row r="65">
      <c r="C65" s="2" t="str">
        <v>2DA SERIE</v>
      </c>
      <c r="E65" s="2">
        <f>SUM(L37:O61)</f>
        <v>0</v>
      </c>
      <c r="G65" s="2">
        <f>E65*60</f>
        <v>0</v>
      </c>
      <c r="S65" s="2" t="str">
        <v>2DA SERIE</v>
      </c>
      <c r="U65" s="2">
        <f>SUM(AB37:AE60)</f>
        <v>0</v>
      </c>
      <c r="W65" s="2">
        <f>U65*60</f>
        <v>0</v>
      </c>
    </row>
    <row r="67">
      <c r="E67" s="2">
        <f>SUM(E64:E66)</f>
        <v>451</v>
      </c>
      <c r="G67" s="2">
        <f>SUM(G64:G66)</f>
        <v>27060</v>
      </c>
      <c r="U67" s="2">
        <f>SUM(U64:U66)</f>
        <v>211</v>
      </c>
      <c r="W67" s="2">
        <f>SUM(W64:W66)</f>
        <v>12660</v>
      </c>
    </row>
  </sheetData>
  <mergeCells count="22">
    <mergeCell ref="C35:O35"/>
    <mergeCell ref="S35:AE35"/>
    <mergeCell ref="A1:AE1"/>
    <mergeCell ref="C3:O3"/>
    <mergeCell ref="S3:AE3"/>
    <mergeCell ref="C4:O4"/>
    <mergeCell ref="S4:AE4"/>
    <mergeCell ref="A6:A30"/>
    <mergeCell ref="Q6:Q30"/>
    <mergeCell ref="A32:AD32"/>
    <mergeCell ref="B33:O33"/>
    <mergeCell ref="S33:AE33"/>
    <mergeCell ref="C34:O34"/>
    <mergeCell ref="S34:AE34"/>
    <mergeCell ref="G67:H67"/>
    <mergeCell ref="W67:X67"/>
    <mergeCell ref="A37:A61"/>
    <mergeCell ref="Q37:Q61"/>
    <mergeCell ref="G64:H64"/>
    <mergeCell ref="W64:X64"/>
    <mergeCell ref="G65:H65"/>
    <mergeCell ref="W65:X65"/>
  </mergeCells>
  <pageMargins left="0.7" right="0.7" top="0.75" bottom="0.75" header="0.3" footer="0.3"/>
  <ignoredErrors>
    <ignoredError numberStoredAsText="1" sqref="A1:AE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30"/>
  <sheetViews>
    <sheetView workbookViewId="0" rightToLeft="0"/>
  </sheetViews>
  <sheetData>
    <row r="1">
      <c r="A1" s="2" t="str">
        <v>.</v>
      </c>
      <c r="C1" s="2" t="str">
        <v>MONOFOCAL FOTOCROMATICO</v>
      </c>
    </row>
    <row r="3">
      <c r="C3" s="2" t="str">
        <v>CILINDRO</v>
      </c>
      <c r="S3" s="2" t="str">
        <v>CILINDRO</v>
      </c>
    </row>
    <row r="4">
      <c r="C4" s="2" t="str">
        <v>(-)</v>
      </c>
      <c r="S4" s="2" t="str">
        <v>(-)</v>
      </c>
    </row>
    <row r="5">
      <c r="A5" s="2" t="str">
        <v>(-)</v>
      </c>
      <c r="C5" s="2" t="str">
        <v>0.00</v>
      </c>
      <c r="D5" s="2" t="str">
        <v>-0.25</v>
      </c>
      <c r="E5" s="2" t="str">
        <v>-0.50</v>
      </c>
      <c r="F5" s="2" t="str">
        <v>-0.75</v>
      </c>
      <c r="G5" s="2" t="str">
        <v>-1.00</v>
      </c>
      <c r="H5" s="2" t="str">
        <v>-1.25</v>
      </c>
      <c r="I5" s="2" t="str">
        <v>-1.50</v>
      </c>
      <c r="J5" s="2" t="str">
        <v>-1.75</v>
      </c>
      <c r="K5" s="2" t="str">
        <v>-2.00</v>
      </c>
      <c r="L5" s="2" t="str">
        <v>-2.25</v>
      </c>
      <c r="M5" s="2" t="str">
        <v>-2.50</v>
      </c>
      <c r="N5" s="2" t="str">
        <v>-2.75</v>
      </c>
      <c r="O5" s="2" t="str">
        <v>-3.00</v>
      </c>
      <c r="Q5" s="2" t="str">
        <v>(+)</v>
      </c>
      <c r="S5" s="2" t="str">
        <v>0.00</v>
      </c>
      <c r="T5" s="2" t="str">
        <v>-0.25</v>
      </c>
      <c r="U5" s="2" t="str">
        <v>-0.50</v>
      </c>
      <c r="V5" s="2" t="str">
        <v>-0.75</v>
      </c>
      <c r="W5" s="2" t="str">
        <v>-1.00</v>
      </c>
      <c r="X5" s="2" t="str">
        <v>-1.25</v>
      </c>
      <c r="Y5" s="2" t="str">
        <v>-1.50</v>
      </c>
      <c r="Z5" s="2" t="str">
        <v>-1.75</v>
      </c>
      <c r="AA5" s="2" t="str">
        <v>-2.00</v>
      </c>
      <c r="AB5" s="2" t="str">
        <v>-2.25</v>
      </c>
      <c r="AC5" s="2" t="str">
        <v>-2.50</v>
      </c>
      <c r="AD5" s="2" t="str">
        <v>-2.75</v>
      </c>
      <c r="AE5" s="2" t="str">
        <v>-3.00</v>
      </c>
    </row>
    <row r="6">
      <c r="A6" s="2" t="str">
        <v>ESFERA</v>
      </c>
      <c r="B6" s="2" t="str">
        <v>0.00</v>
      </c>
      <c r="C6" s="2">
        <v>5</v>
      </c>
      <c r="G6" s="2">
        <v>2</v>
      </c>
      <c r="I6" s="2">
        <v>3</v>
      </c>
      <c r="K6" s="2">
        <v>2</v>
      </c>
      <c r="Q6" s="2" t="str">
        <v>ESFERA</v>
      </c>
      <c r="R6" s="2" t="str">
        <v>+0.25</v>
      </c>
    </row>
    <row r="7">
      <c r="B7" s="2" t="str">
        <v>-0.25</v>
      </c>
      <c r="E7" s="2">
        <v>2</v>
      </c>
      <c r="I7" s="2">
        <v>3</v>
      </c>
      <c r="K7" s="2">
        <v>3</v>
      </c>
      <c r="R7" s="2" t="str">
        <v>+0.50</v>
      </c>
    </row>
    <row r="8">
      <c r="B8" s="2" t="str">
        <v>-0.50</v>
      </c>
      <c r="E8" s="2">
        <v>2</v>
      </c>
      <c r="G8" s="2">
        <v>3</v>
      </c>
      <c r="I8" s="2">
        <v>3</v>
      </c>
      <c r="K8" s="2">
        <v>2</v>
      </c>
      <c r="R8" s="2" t="str">
        <v>+0.75</v>
      </c>
    </row>
    <row r="9">
      <c r="B9" s="2" t="str">
        <v>-0.75</v>
      </c>
      <c r="E9" s="2">
        <v>2</v>
      </c>
      <c r="G9" s="2">
        <v>1</v>
      </c>
      <c r="I9" s="2">
        <v>2</v>
      </c>
      <c r="K9" s="2">
        <v>3</v>
      </c>
      <c r="R9" s="2" t="str">
        <v>+1.00</v>
      </c>
    </row>
    <row r="10">
      <c r="B10" s="2" t="str">
        <v>-1.00</v>
      </c>
      <c r="G10" s="2">
        <v>3</v>
      </c>
      <c r="I10" s="2">
        <v>2</v>
      </c>
      <c r="K10" s="2">
        <v>2</v>
      </c>
      <c r="R10" s="2" t="str">
        <v>+1.25</v>
      </c>
    </row>
    <row r="11">
      <c r="B11" s="2" t="str">
        <v>-1.25</v>
      </c>
      <c r="R11" s="2" t="str">
        <v>+1.50</v>
      </c>
    </row>
    <row r="12">
      <c r="B12" s="2" t="str">
        <v>-1.50</v>
      </c>
      <c r="G12" s="2">
        <v>1</v>
      </c>
      <c r="I12" s="2">
        <v>2</v>
      </c>
      <c r="K12" s="2">
        <v>2</v>
      </c>
      <c r="R12" s="2" t="str">
        <v>+1.75</v>
      </c>
    </row>
    <row r="13">
      <c r="B13" s="2" t="str">
        <v>-1.75</v>
      </c>
      <c r="R13" s="2" t="str">
        <v>+2.00</v>
      </c>
    </row>
    <row r="14">
      <c r="B14" s="2" t="str">
        <v>-2.00</v>
      </c>
      <c r="I14" s="2">
        <v>1</v>
      </c>
      <c r="K14" s="2">
        <v>1</v>
      </c>
      <c r="R14" s="2" t="str">
        <v>+2.25</v>
      </c>
    </row>
    <row r="15">
      <c r="B15" s="2" t="str">
        <v>-2.25</v>
      </c>
      <c r="R15" s="2" t="str">
        <v>+2.50</v>
      </c>
    </row>
    <row r="16">
      <c r="B16" s="2" t="str">
        <v>-2.50</v>
      </c>
      <c r="E16" s="2">
        <v>2</v>
      </c>
      <c r="G16" s="2">
        <v>2</v>
      </c>
      <c r="I16" s="2">
        <v>2</v>
      </c>
      <c r="K16" s="2">
        <v>1</v>
      </c>
      <c r="R16" s="2" t="str">
        <v>+2.75</v>
      </c>
    </row>
    <row r="17">
      <c r="B17" s="2" t="str">
        <v>-2.75</v>
      </c>
      <c r="R17" s="2" t="str">
        <v>+3.00</v>
      </c>
    </row>
    <row r="18">
      <c r="B18" s="2" t="str">
        <v>-3.00</v>
      </c>
      <c r="E18" s="2">
        <v>1</v>
      </c>
      <c r="I18" s="2">
        <v>2</v>
      </c>
      <c r="K18" s="2">
        <v>2</v>
      </c>
      <c r="R18" s="2" t="str">
        <v>+3.25</v>
      </c>
    </row>
    <row r="19">
      <c r="B19" s="2" t="str">
        <v>-3.25</v>
      </c>
      <c r="R19" s="2" t="str">
        <v>+3.50</v>
      </c>
    </row>
    <row r="20">
      <c r="B20" s="2" t="str">
        <v>-3.50</v>
      </c>
      <c r="R20" s="2" t="str">
        <v>+3.75</v>
      </c>
    </row>
    <row r="21">
      <c r="B21" s="2" t="str">
        <v>-3.75</v>
      </c>
      <c r="R21" s="2" t="str">
        <v>+4.00</v>
      </c>
    </row>
    <row r="22">
      <c r="B22" s="2" t="str">
        <v>-4.00</v>
      </c>
      <c r="R22" s="2" t="str">
        <v>+4.25</v>
      </c>
    </row>
    <row r="23">
      <c r="B23" s="2" t="str">
        <v>-4.25</v>
      </c>
      <c r="R23" s="2" t="str">
        <v>+4.50</v>
      </c>
    </row>
    <row r="24">
      <c r="B24" s="2" t="str">
        <v>-4.50</v>
      </c>
      <c r="R24" s="2" t="str">
        <v>+4.75</v>
      </c>
    </row>
    <row r="25">
      <c r="B25" s="2" t="str">
        <v>-4.75</v>
      </c>
      <c r="R25" s="2" t="str">
        <v>+5.00</v>
      </c>
    </row>
    <row r="26">
      <c r="B26" s="2" t="str">
        <v>-5.00</v>
      </c>
      <c r="R26" s="2" t="str">
        <v>+5.25</v>
      </c>
    </row>
    <row r="27">
      <c r="B27" s="2" t="str">
        <v>-5.25</v>
      </c>
      <c r="R27" s="2" t="str">
        <v>+5.50</v>
      </c>
    </row>
    <row r="28">
      <c r="B28" s="2" t="str">
        <v>-5.50</v>
      </c>
      <c r="R28" s="2" t="str">
        <v>+5.75</v>
      </c>
    </row>
    <row r="29">
      <c r="B29" s="2" t="str">
        <v>-5.75</v>
      </c>
      <c r="R29" s="2" t="str">
        <v>+6.00</v>
      </c>
    </row>
    <row r="30">
      <c r="B30" s="2" t="str">
        <v>-6.00</v>
      </c>
    </row>
  </sheetData>
  <mergeCells count="6">
    <mergeCell ref="A6:A30"/>
    <mergeCell ref="Q6:Q30"/>
    <mergeCell ref="C3:O3"/>
    <mergeCell ref="S3:AE3"/>
    <mergeCell ref="C4:O4"/>
    <mergeCell ref="S4:AE4"/>
  </mergeCells>
  <pageMargins left="0.7086614173228347" right="0.7086614173228347" top="0.7480314960629921" bottom="0.7480314960629921" header="0.31496062992125984" footer="0.31496062992125984"/>
  <ignoredErrors>
    <ignoredError numberStoredAsText="1" sqref="A1:AE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66"/>
  <sheetViews>
    <sheetView workbookViewId="0" rightToLeft="0"/>
  </sheetViews>
  <sheetData>
    <row r="1">
      <c r="C1" s="2" t="str">
        <v>BIFOCAL FT-L28 BLANCO</v>
      </c>
    </row>
    <row r="3">
      <c r="C3" s="2" t="str">
        <v>ADICION</v>
      </c>
      <c r="X3" s="2" t="str">
        <v>ADICION</v>
      </c>
    </row>
    <row r="5">
      <c r="A5" s="2" t="str">
        <v>(+)</v>
      </c>
      <c r="C5" s="2" t="str">
        <v>1.00</v>
      </c>
      <c r="E5" s="2" t="str">
        <v>1.25</v>
      </c>
      <c r="G5" s="2" t="str">
        <v>1.50</v>
      </c>
      <c r="I5" s="2" t="str">
        <v>1.75</v>
      </c>
      <c r="K5" s="2" t="str">
        <v>2.00</v>
      </c>
      <c r="M5" s="2" t="str">
        <v>2.25</v>
      </c>
      <c r="O5" s="2" t="str">
        <v>2.50</v>
      </c>
      <c r="Q5" s="2" t="str">
        <v>2.75</v>
      </c>
      <c r="S5" s="2" t="str">
        <v>3.00</v>
      </c>
      <c r="V5" s="2" t="str">
        <v>(-)</v>
      </c>
      <c r="X5" s="2" t="str">
        <v>1.00</v>
      </c>
      <c r="Z5" s="2" t="str">
        <v>1.25</v>
      </c>
      <c r="AB5" s="2" t="str">
        <v>1.50</v>
      </c>
      <c r="AD5" s="2" t="str">
        <v>1.75</v>
      </c>
      <c r="AF5" s="2" t="str">
        <v>2.00</v>
      </c>
      <c r="AH5" s="2" t="str">
        <v>2.25</v>
      </c>
      <c r="AJ5" s="2" t="str">
        <v>2.50</v>
      </c>
      <c r="AL5" s="2" t="str">
        <v>2.75</v>
      </c>
      <c r="AN5" s="2" t="str">
        <v>3.00</v>
      </c>
    </row>
    <row r="6">
      <c r="A6" s="2" t="str">
        <v>ESFERA</v>
      </c>
      <c r="B6" s="2" t="str">
        <v>0.00</v>
      </c>
      <c r="D6" s="2" t="str">
        <v>L</v>
      </c>
      <c r="E6" s="2">
        <v>2</v>
      </c>
      <c r="F6" s="2" t="str">
        <v>L</v>
      </c>
      <c r="G6" s="2">
        <v>2</v>
      </c>
      <c r="H6" s="2" t="str">
        <v>L</v>
      </c>
      <c r="I6" s="2">
        <v>3</v>
      </c>
      <c r="J6" s="2" t="str">
        <v>L</v>
      </c>
      <c r="K6" s="2">
        <v>3</v>
      </c>
      <c r="L6" s="2" t="str">
        <v>L</v>
      </c>
      <c r="M6" s="2">
        <v>3</v>
      </c>
      <c r="N6" s="2" t="str">
        <v>L</v>
      </c>
      <c r="O6" s="2">
        <v>1</v>
      </c>
      <c r="P6" s="2" t="str">
        <v>L</v>
      </c>
      <c r="Q6" s="2">
        <v>3</v>
      </c>
      <c r="R6" s="2" t="str">
        <v>L</v>
      </c>
      <c r="S6" s="2">
        <v>2</v>
      </c>
      <c r="T6" s="2" t="str">
        <v>L</v>
      </c>
      <c r="V6" s="2" t="str">
        <v>ESFERA</v>
      </c>
      <c r="W6" s="2" t="str">
        <v>-0.25</v>
      </c>
      <c r="Y6" s="2" t="str">
        <v>L</v>
      </c>
      <c r="Z6" s="2">
        <v>2</v>
      </c>
      <c r="AA6" s="2" t="str">
        <v>L</v>
      </c>
      <c r="AB6" s="2">
        <v>3</v>
      </c>
      <c r="AC6" s="2" t="str">
        <v>L</v>
      </c>
      <c r="AD6" s="2">
        <v>3</v>
      </c>
      <c r="AE6" s="2" t="str">
        <v>L</v>
      </c>
      <c r="AF6" s="2">
        <v>2</v>
      </c>
      <c r="AG6" s="2" t="str">
        <v>L</v>
      </c>
      <c r="AH6" s="2">
        <v>2</v>
      </c>
      <c r="AI6" s="2" t="str">
        <v>L</v>
      </c>
      <c r="AJ6" s="2">
        <v>2</v>
      </c>
      <c r="AK6" s="2" t="str">
        <v>L</v>
      </c>
      <c r="AL6" s="2">
        <v>3</v>
      </c>
      <c r="AM6" s="2" t="str">
        <v>L</v>
      </c>
      <c r="AN6" s="2">
        <v>1</v>
      </c>
      <c r="AO6" s="2" t="str">
        <v>L</v>
      </c>
    </row>
    <row r="7">
      <c r="D7" s="2" t="str">
        <v>R</v>
      </c>
      <c r="E7" s="2">
        <v>2</v>
      </c>
      <c r="F7" s="2" t="str">
        <v>R</v>
      </c>
      <c r="G7" s="2">
        <v>2</v>
      </c>
      <c r="H7" s="2" t="str">
        <v>R</v>
      </c>
      <c r="I7" s="2">
        <v>2</v>
      </c>
      <c r="J7" s="2" t="str">
        <v>R</v>
      </c>
      <c r="K7" s="2">
        <v>2</v>
      </c>
      <c r="L7" s="2" t="str">
        <v>R</v>
      </c>
      <c r="M7" s="2">
        <v>2</v>
      </c>
      <c r="N7" s="2" t="str">
        <v>R</v>
      </c>
      <c r="O7" s="2">
        <v>3</v>
      </c>
      <c r="P7" s="2" t="str">
        <v>R</v>
      </c>
      <c r="Q7" s="2">
        <v>2</v>
      </c>
      <c r="R7" s="2" t="str">
        <v>R</v>
      </c>
      <c r="T7" s="2" t="str">
        <v>R</v>
      </c>
      <c r="Y7" s="2" t="str">
        <v>R</v>
      </c>
      <c r="Z7" s="2">
        <v>2</v>
      </c>
      <c r="AA7" s="2" t="str">
        <v>R</v>
      </c>
      <c r="AB7" s="2">
        <v>2</v>
      </c>
      <c r="AC7" s="2" t="str">
        <v>R</v>
      </c>
      <c r="AD7" s="2">
        <v>2</v>
      </c>
      <c r="AE7" s="2" t="str">
        <v>R</v>
      </c>
      <c r="AF7" s="2">
        <v>3</v>
      </c>
      <c r="AG7" s="2" t="str">
        <v>R</v>
      </c>
      <c r="AH7" s="2">
        <v>2</v>
      </c>
      <c r="AI7" s="2" t="str">
        <v>R</v>
      </c>
      <c r="AJ7" s="2">
        <v>2</v>
      </c>
      <c r="AK7" s="2" t="str">
        <v>R</v>
      </c>
      <c r="AL7" s="2">
        <v>3</v>
      </c>
      <c r="AM7" s="2" t="str">
        <v>R</v>
      </c>
      <c r="AN7" s="2">
        <v>3</v>
      </c>
      <c r="AO7" s="2" t="str">
        <v>R</v>
      </c>
    </row>
    <row r="8">
      <c r="B8" s="2" t="str">
        <v>+0.25</v>
      </c>
      <c r="D8" s="2" t="str">
        <v>L</v>
      </c>
      <c r="E8" s="2">
        <v>2</v>
      </c>
      <c r="F8" s="2" t="str">
        <v>L</v>
      </c>
      <c r="G8" s="2">
        <v>3</v>
      </c>
      <c r="H8" s="2" t="str">
        <v>L</v>
      </c>
      <c r="I8" s="2">
        <v>3</v>
      </c>
      <c r="J8" s="2" t="str">
        <v>L</v>
      </c>
      <c r="K8" s="2">
        <v>2</v>
      </c>
      <c r="L8" s="2" t="str">
        <v>L</v>
      </c>
      <c r="M8" s="2">
        <v>2</v>
      </c>
      <c r="N8" s="2" t="str">
        <v>L</v>
      </c>
      <c r="O8" s="2">
        <v>2</v>
      </c>
      <c r="P8" s="2" t="str">
        <v>L</v>
      </c>
      <c r="Q8" s="2">
        <v>3</v>
      </c>
      <c r="R8" s="2" t="str">
        <v>L</v>
      </c>
      <c r="S8" s="2">
        <v>2</v>
      </c>
      <c r="T8" s="2" t="str">
        <v>L</v>
      </c>
      <c r="W8" s="2" t="str">
        <v>-0.50</v>
      </c>
      <c r="Y8" s="2" t="str">
        <v>L</v>
      </c>
      <c r="Z8" s="2">
        <v>2</v>
      </c>
      <c r="AA8" s="2" t="str">
        <v>L</v>
      </c>
      <c r="AB8" s="2">
        <v>2</v>
      </c>
      <c r="AC8" s="2" t="str">
        <v>L</v>
      </c>
      <c r="AD8" s="2">
        <v>2</v>
      </c>
      <c r="AE8" s="2" t="str">
        <v>L</v>
      </c>
      <c r="AF8" s="2">
        <v>2</v>
      </c>
      <c r="AG8" s="2" t="str">
        <v>L</v>
      </c>
      <c r="AH8" s="2">
        <v>2</v>
      </c>
      <c r="AI8" s="2" t="str">
        <v>L</v>
      </c>
      <c r="AJ8" s="2">
        <v>2</v>
      </c>
      <c r="AK8" s="2" t="str">
        <v>L</v>
      </c>
      <c r="AL8" s="2">
        <v>2</v>
      </c>
      <c r="AM8" s="2" t="str">
        <v>L</v>
      </c>
      <c r="AN8" s="2">
        <v>2</v>
      </c>
      <c r="AO8" s="2" t="str">
        <v>L</v>
      </c>
    </row>
    <row r="9">
      <c r="D9" s="2" t="str">
        <v>R</v>
      </c>
      <c r="E9" s="2">
        <v>3</v>
      </c>
      <c r="F9" s="2" t="str">
        <v>R</v>
      </c>
      <c r="G9" s="2">
        <v>1</v>
      </c>
      <c r="H9" s="2" t="str">
        <v>R</v>
      </c>
      <c r="I9" s="2">
        <v>3</v>
      </c>
      <c r="J9" s="2" t="str">
        <v>R</v>
      </c>
      <c r="K9" s="2">
        <v>2</v>
      </c>
      <c r="L9" s="2" t="str">
        <v>R</v>
      </c>
      <c r="M9" s="2">
        <v>2</v>
      </c>
      <c r="N9" s="2" t="str">
        <v>R</v>
      </c>
      <c r="O9" s="2">
        <v>2</v>
      </c>
      <c r="P9" s="2" t="str">
        <v>R</v>
      </c>
      <c r="Q9" s="2">
        <v>2</v>
      </c>
      <c r="R9" s="2" t="str">
        <v>R</v>
      </c>
      <c r="S9" s="2">
        <v>3</v>
      </c>
      <c r="T9" s="2" t="str">
        <v>R</v>
      </c>
      <c r="Y9" s="2" t="str">
        <v>R</v>
      </c>
      <c r="Z9" s="2">
        <v>2</v>
      </c>
      <c r="AA9" s="2" t="str">
        <v>R</v>
      </c>
      <c r="AB9" s="2">
        <v>3</v>
      </c>
      <c r="AC9" s="2" t="str">
        <v>R</v>
      </c>
      <c r="AD9" s="2">
        <v>2</v>
      </c>
      <c r="AE9" s="2" t="str">
        <v>R</v>
      </c>
      <c r="AF9" s="2">
        <v>2</v>
      </c>
      <c r="AG9" s="2" t="str">
        <v>R</v>
      </c>
      <c r="AH9" s="2">
        <v>2</v>
      </c>
      <c r="AI9" s="2" t="str">
        <v>R</v>
      </c>
      <c r="AJ9" s="2">
        <v>2</v>
      </c>
      <c r="AK9" s="2" t="str">
        <v>R</v>
      </c>
      <c r="AL9" s="2">
        <v>3</v>
      </c>
      <c r="AM9" s="2" t="str">
        <v>R</v>
      </c>
      <c r="AN9" s="2">
        <v>2</v>
      </c>
      <c r="AO9" s="2" t="str">
        <v>R</v>
      </c>
    </row>
    <row r="10">
      <c r="B10" s="2" t="str">
        <v>+0.50</v>
      </c>
      <c r="D10" s="2" t="str">
        <v>L</v>
      </c>
      <c r="E10" s="2">
        <v>1</v>
      </c>
      <c r="F10" s="2" t="str">
        <v>L</v>
      </c>
      <c r="H10" s="2" t="str">
        <v>L</v>
      </c>
      <c r="I10" s="2">
        <v>2</v>
      </c>
      <c r="J10" s="2" t="str">
        <v>L</v>
      </c>
      <c r="K10" s="2">
        <v>1</v>
      </c>
      <c r="L10" s="2" t="str">
        <v>L</v>
      </c>
      <c r="M10" s="2">
        <v>2</v>
      </c>
      <c r="N10" s="2" t="str">
        <v>L</v>
      </c>
      <c r="O10" s="2">
        <v>3</v>
      </c>
      <c r="P10" s="2" t="str">
        <v>L</v>
      </c>
      <c r="Q10" s="2">
        <v>3</v>
      </c>
      <c r="R10" s="2" t="str">
        <v>L</v>
      </c>
      <c r="S10" s="2">
        <v>2</v>
      </c>
      <c r="T10" s="2" t="str">
        <v>L</v>
      </c>
      <c r="W10" s="2" t="str">
        <v>-0.75</v>
      </c>
      <c r="Y10" s="2" t="str">
        <v>L</v>
      </c>
      <c r="Z10" s="2">
        <v>2</v>
      </c>
      <c r="AA10" s="2" t="str">
        <v>L</v>
      </c>
      <c r="AB10" s="2">
        <v>2</v>
      </c>
      <c r="AC10" s="2" t="str">
        <v>L</v>
      </c>
      <c r="AD10" s="2">
        <v>2</v>
      </c>
      <c r="AE10" s="2" t="str">
        <v>L</v>
      </c>
      <c r="AF10" s="2">
        <v>2</v>
      </c>
      <c r="AG10" s="2" t="str">
        <v>L</v>
      </c>
      <c r="AH10" s="2">
        <v>2</v>
      </c>
      <c r="AI10" s="2" t="str">
        <v>L</v>
      </c>
      <c r="AJ10" s="2">
        <v>2</v>
      </c>
      <c r="AK10" s="2" t="str">
        <v>L</v>
      </c>
      <c r="AL10" s="2" t="str">
        <v>3</v>
      </c>
      <c r="AM10" s="2" t="str">
        <v>L</v>
      </c>
      <c r="AN10" s="2" t="str">
        <v>2</v>
      </c>
      <c r="AO10" s="2" t="str">
        <v>L</v>
      </c>
    </row>
    <row r="11">
      <c r="D11" s="2" t="str">
        <v>R</v>
      </c>
      <c r="E11" s="2">
        <v>3</v>
      </c>
      <c r="F11" s="2" t="str">
        <v>R</v>
      </c>
      <c r="G11" s="2">
        <v>3</v>
      </c>
      <c r="H11" s="2" t="str">
        <v>R</v>
      </c>
      <c r="I11" s="2">
        <v>3</v>
      </c>
      <c r="J11" s="2" t="str">
        <v>R</v>
      </c>
      <c r="K11" s="2">
        <v>3</v>
      </c>
      <c r="L11" s="2" t="str">
        <v>R</v>
      </c>
      <c r="M11" s="2">
        <v>3</v>
      </c>
      <c r="N11" s="2" t="str">
        <v>R</v>
      </c>
      <c r="O11" s="2">
        <v>2</v>
      </c>
      <c r="P11" s="2" t="str">
        <v>R</v>
      </c>
      <c r="Q11" s="2">
        <v>2</v>
      </c>
      <c r="R11" s="2" t="str">
        <v>R</v>
      </c>
      <c r="S11" s="2">
        <v>3</v>
      </c>
      <c r="T11" s="2" t="str">
        <v>R</v>
      </c>
      <c r="Y11" s="2" t="str">
        <v>R</v>
      </c>
      <c r="Z11" s="2">
        <v>2</v>
      </c>
      <c r="AA11" s="2" t="str">
        <v>R</v>
      </c>
      <c r="AB11" s="2">
        <v>2</v>
      </c>
      <c r="AC11" s="2" t="str">
        <v>R</v>
      </c>
      <c r="AD11" s="2">
        <v>2</v>
      </c>
      <c r="AE11" s="2" t="str">
        <v>R</v>
      </c>
      <c r="AF11" s="2">
        <v>2</v>
      </c>
      <c r="AG11" s="2" t="str">
        <v>R</v>
      </c>
      <c r="AH11" s="2">
        <v>2</v>
      </c>
      <c r="AI11" s="2" t="str">
        <v>R</v>
      </c>
      <c r="AJ11" s="2">
        <v>2</v>
      </c>
      <c r="AK11" s="2" t="str">
        <v>R</v>
      </c>
      <c r="AL11" s="2">
        <v>2</v>
      </c>
      <c r="AM11" s="2" t="str">
        <v>R</v>
      </c>
      <c r="AN11" s="2">
        <v>2</v>
      </c>
      <c r="AO11" s="2" t="str">
        <v>R</v>
      </c>
    </row>
    <row r="12">
      <c r="B12" s="2" t="str">
        <v>+0.75</v>
      </c>
      <c r="D12" s="2" t="str">
        <v>L</v>
      </c>
      <c r="E12" s="2">
        <v>3</v>
      </c>
      <c r="F12" s="2" t="str">
        <v>L</v>
      </c>
      <c r="G12" s="2">
        <v>3</v>
      </c>
      <c r="H12" s="2" t="str">
        <v>L</v>
      </c>
      <c r="I12" s="2">
        <v>2</v>
      </c>
      <c r="J12" s="2" t="str">
        <v>L</v>
      </c>
      <c r="K12" s="2">
        <v>3</v>
      </c>
      <c r="L12" s="2" t="str">
        <v>L</v>
      </c>
      <c r="M12" s="2">
        <v>3</v>
      </c>
      <c r="N12" s="2" t="str">
        <v>L</v>
      </c>
      <c r="O12" s="2">
        <v>2</v>
      </c>
      <c r="P12" s="2" t="str">
        <v>L</v>
      </c>
      <c r="R12" s="2" t="str">
        <v>L</v>
      </c>
      <c r="S12" s="2">
        <v>1</v>
      </c>
      <c r="T12" s="2" t="str">
        <v>L</v>
      </c>
      <c r="W12" s="2" t="str">
        <v>-1.00</v>
      </c>
      <c r="Y12" s="2" t="str">
        <v>L</v>
      </c>
      <c r="Z12" s="2">
        <v>2</v>
      </c>
      <c r="AA12" s="2" t="str">
        <v>L</v>
      </c>
      <c r="AB12" s="2">
        <v>2</v>
      </c>
      <c r="AC12" s="2" t="str">
        <v>L</v>
      </c>
      <c r="AD12" s="2">
        <v>2</v>
      </c>
      <c r="AE12" s="2" t="str">
        <v>L</v>
      </c>
      <c r="AF12" s="2">
        <v>2</v>
      </c>
      <c r="AG12" s="2" t="str">
        <v>L</v>
      </c>
      <c r="AH12" s="2">
        <v>2</v>
      </c>
      <c r="AI12" s="2" t="str">
        <v>L</v>
      </c>
      <c r="AJ12" s="2">
        <v>2</v>
      </c>
      <c r="AK12" s="2" t="str">
        <v>L</v>
      </c>
      <c r="AL12" s="2">
        <v>2</v>
      </c>
      <c r="AM12" s="2" t="str">
        <v>L</v>
      </c>
      <c r="AN12" s="2">
        <v>3</v>
      </c>
      <c r="AO12" s="2" t="str">
        <v>L</v>
      </c>
    </row>
    <row r="13">
      <c r="D13" s="2" t="str">
        <v>R</v>
      </c>
      <c r="E13" s="2">
        <v>3</v>
      </c>
      <c r="F13" s="2" t="str">
        <v>R</v>
      </c>
      <c r="G13" s="2">
        <v>1</v>
      </c>
      <c r="H13" s="2" t="str">
        <v>R</v>
      </c>
      <c r="I13" s="2">
        <v>2</v>
      </c>
      <c r="J13" s="2" t="str">
        <v>R</v>
      </c>
      <c r="K13" s="2">
        <v>1</v>
      </c>
      <c r="L13" s="2" t="str">
        <v>R</v>
      </c>
      <c r="M13" s="2">
        <v>1</v>
      </c>
      <c r="N13" s="2" t="str">
        <v>R</v>
      </c>
      <c r="O13" s="2">
        <v>2</v>
      </c>
      <c r="P13" s="2" t="str">
        <v>R</v>
      </c>
      <c r="Q13" s="2">
        <v>4</v>
      </c>
      <c r="R13" s="2" t="str">
        <v>R</v>
      </c>
      <c r="S13" s="2">
        <v>3</v>
      </c>
      <c r="T13" s="2" t="str">
        <v>R</v>
      </c>
      <c r="Y13" s="2" t="str">
        <v>R</v>
      </c>
      <c r="Z13" s="2">
        <v>2</v>
      </c>
      <c r="AA13" s="2" t="str">
        <v>R</v>
      </c>
      <c r="AB13" s="2">
        <v>2</v>
      </c>
      <c r="AC13" s="2" t="str">
        <v>R</v>
      </c>
      <c r="AD13" s="2">
        <v>2</v>
      </c>
      <c r="AE13" s="2" t="str">
        <v>R</v>
      </c>
      <c r="AF13" s="2">
        <v>2</v>
      </c>
      <c r="AG13" s="2" t="str">
        <v>R</v>
      </c>
      <c r="AH13" s="2">
        <v>2</v>
      </c>
      <c r="AI13" s="2" t="str">
        <v>R</v>
      </c>
      <c r="AJ13" s="2">
        <v>2</v>
      </c>
      <c r="AK13" s="2" t="str">
        <v>R</v>
      </c>
      <c r="AL13" s="2">
        <v>2</v>
      </c>
      <c r="AM13" s="2" t="str">
        <v>R</v>
      </c>
      <c r="AN13" s="2">
        <v>2</v>
      </c>
      <c r="AO13" s="2" t="str">
        <v>R</v>
      </c>
    </row>
    <row r="14">
      <c r="B14" s="2" t="str">
        <v>+1.00</v>
      </c>
      <c r="D14" s="2" t="str">
        <v>L</v>
      </c>
      <c r="E14" s="2">
        <v>3</v>
      </c>
      <c r="F14" s="2" t="str">
        <v>L</v>
      </c>
      <c r="G14" s="2">
        <v>3</v>
      </c>
      <c r="H14" s="2" t="str">
        <v>L</v>
      </c>
      <c r="I14" s="2">
        <v>2</v>
      </c>
      <c r="J14" s="2" t="str">
        <v>L</v>
      </c>
      <c r="K14" s="2">
        <v>2</v>
      </c>
      <c r="L14" s="2" t="str">
        <v>L</v>
      </c>
      <c r="M14" s="2">
        <v>5</v>
      </c>
      <c r="N14" s="2" t="str">
        <v>L</v>
      </c>
      <c r="O14" s="2">
        <v>4</v>
      </c>
      <c r="P14" s="2" t="str">
        <v>L</v>
      </c>
      <c r="Q14" s="2">
        <v>2</v>
      </c>
      <c r="R14" s="2" t="str">
        <v>L</v>
      </c>
      <c r="S14" s="2">
        <v>2</v>
      </c>
      <c r="T14" s="2" t="str">
        <v>L</v>
      </c>
      <c r="W14" s="2" t="str">
        <v>-1.25</v>
      </c>
      <c r="Y14" s="2" t="str">
        <v>L</v>
      </c>
      <c r="Z14" s="2">
        <v>2</v>
      </c>
      <c r="AA14" s="2" t="str">
        <v>L</v>
      </c>
      <c r="AB14" s="2">
        <v>2</v>
      </c>
      <c r="AC14" s="2" t="str">
        <v>L</v>
      </c>
      <c r="AD14" s="2">
        <v>3</v>
      </c>
      <c r="AE14" s="2" t="str">
        <v>L</v>
      </c>
      <c r="AF14" s="2">
        <v>3</v>
      </c>
      <c r="AG14" s="2" t="str">
        <v>L</v>
      </c>
      <c r="AH14" s="2">
        <v>2</v>
      </c>
      <c r="AI14" s="2" t="str">
        <v>L</v>
      </c>
      <c r="AJ14" s="2">
        <v>3</v>
      </c>
      <c r="AK14" s="2" t="str">
        <v>L</v>
      </c>
      <c r="AL14" s="2">
        <v>2</v>
      </c>
      <c r="AM14" s="2" t="str">
        <v>L</v>
      </c>
      <c r="AN14" s="2">
        <v>2</v>
      </c>
      <c r="AO14" s="2" t="str">
        <v>L</v>
      </c>
    </row>
    <row r="15">
      <c r="D15" s="2" t="str">
        <v>R</v>
      </c>
      <c r="E15" s="2">
        <v>2</v>
      </c>
      <c r="F15" s="2" t="str">
        <v>R</v>
      </c>
      <c r="G15" s="2">
        <v>1</v>
      </c>
      <c r="H15" s="2" t="str">
        <v>R</v>
      </c>
      <c r="I15" s="2">
        <v>2</v>
      </c>
      <c r="J15" s="2" t="str">
        <v>R</v>
      </c>
      <c r="K15" s="2">
        <v>2</v>
      </c>
      <c r="L15" s="2" t="str">
        <v>R</v>
      </c>
      <c r="M15" s="2">
        <v>2</v>
      </c>
      <c r="N15" s="2" t="str">
        <v>R</v>
      </c>
      <c r="O15" s="2">
        <v>1</v>
      </c>
      <c r="P15" s="2" t="str">
        <v>R</v>
      </c>
      <c r="Q15" s="2">
        <v>1</v>
      </c>
      <c r="R15" s="2" t="str">
        <v>R</v>
      </c>
      <c r="S15" s="2">
        <v>3</v>
      </c>
      <c r="T15" s="2" t="str">
        <v>R</v>
      </c>
      <c r="Y15" s="2" t="str">
        <v>R</v>
      </c>
      <c r="Z15" s="2">
        <v>2</v>
      </c>
      <c r="AA15" s="2" t="str">
        <v>R</v>
      </c>
      <c r="AB15" s="2">
        <v>2</v>
      </c>
      <c r="AC15" s="2" t="str">
        <v>R</v>
      </c>
      <c r="AD15" s="2">
        <v>2</v>
      </c>
      <c r="AE15" s="2" t="str">
        <v>R</v>
      </c>
      <c r="AF15" s="2">
        <v>2</v>
      </c>
      <c r="AG15" s="2" t="str">
        <v>R</v>
      </c>
      <c r="AH15" s="2">
        <v>3</v>
      </c>
      <c r="AI15" s="2" t="str">
        <v>R</v>
      </c>
      <c r="AJ15" s="2">
        <v>2</v>
      </c>
      <c r="AK15" s="2" t="str">
        <v>R</v>
      </c>
      <c r="AL15" s="2">
        <v>3</v>
      </c>
      <c r="AM15" s="2" t="str">
        <v>R</v>
      </c>
      <c r="AN15" s="2">
        <v>3</v>
      </c>
      <c r="AO15" s="2" t="str">
        <v>R</v>
      </c>
    </row>
    <row r="16">
      <c r="B16" s="2" t="str">
        <v>+1.25</v>
      </c>
      <c r="D16" s="2" t="str">
        <v>L</v>
      </c>
      <c r="E16" s="2">
        <v>4</v>
      </c>
      <c r="F16" s="2" t="str">
        <v>L</v>
      </c>
      <c r="G16" s="2">
        <v>3</v>
      </c>
      <c r="H16" s="2" t="str">
        <v>L</v>
      </c>
      <c r="I16" s="2">
        <v>3</v>
      </c>
      <c r="J16" s="2" t="str">
        <v>L</v>
      </c>
      <c r="K16" s="2">
        <v>1</v>
      </c>
      <c r="L16" s="2" t="str">
        <v>L</v>
      </c>
      <c r="M16" s="2">
        <v>2</v>
      </c>
      <c r="N16" s="2" t="str">
        <v>L</v>
      </c>
      <c r="O16" s="2">
        <v>3</v>
      </c>
      <c r="P16" s="2" t="str">
        <v>L</v>
      </c>
      <c r="Q16" s="2">
        <v>1</v>
      </c>
      <c r="R16" s="2" t="str">
        <v>L</v>
      </c>
      <c r="S16" s="2">
        <v>2</v>
      </c>
      <c r="T16" s="2" t="str">
        <v>L</v>
      </c>
      <c r="W16" s="2" t="str">
        <v>-1.50</v>
      </c>
      <c r="Y16" s="2" t="str">
        <v>L</v>
      </c>
      <c r="Z16" s="2">
        <v>2</v>
      </c>
      <c r="AA16" s="2" t="str">
        <v>L</v>
      </c>
      <c r="AB16" s="2">
        <v>2</v>
      </c>
      <c r="AC16" s="2" t="str">
        <v>L</v>
      </c>
      <c r="AD16" s="2">
        <v>2</v>
      </c>
      <c r="AE16" s="2" t="str">
        <v>L</v>
      </c>
      <c r="AF16" s="2">
        <v>2</v>
      </c>
      <c r="AG16" s="2" t="str">
        <v>L</v>
      </c>
      <c r="AH16" s="2">
        <v>2</v>
      </c>
      <c r="AI16" s="2" t="str">
        <v>L</v>
      </c>
      <c r="AJ16" s="2">
        <v>2</v>
      </c>
      <c r="AK16" s="2" t="str">
        <v>L</v>
      </c>
      <c r="AL16" s="2">
        <v>2</v>
      </c>
      <c r="AM16" s="2" t="str">
        <v>L</v>
      </c>
      <c r="AN16" s="2">
        <v>3</v>
      </c>
      <c r="AO16" s="2" t="str">
        <v>L</v>
      </c>
    </row>
    <row r="17">
      <c r="D17" s="2" t="str">
        <v>R</v>
      </c>
      <c r="E17" s="2">
        <v>2</v>
      </c>
      <c r="F17" s="2" t="str">
        <v>R</v>
      </c>
      <c r="G17" s="2">
        <v>4</v>
      </c>
      <c r="H17" s="2" t="str">
        <v>R</v>
      </c>
      <c r="I17" s="2">
        <v>2</v>
      </c>
      <c r="J17" s="2" t="str">
        <v>R</v>
      </c>
      <c r="K17" s="2">
        <v>4</v>
      </c>
      <c r="L17" s="2" t="str">
        <v>R</v>
      </c>
      <c r="M17" s="2">
        <v>2</v>
      </c>
      <c r="N17" s="2" t="str">
        <v>R</v>
      </c>
      <c r="O17" s="2">
        <v>2</v>
      </c>
      <c r="P17" s="2" t="str">
        <v>R</v>
      </c>
      <c r="Q17" s="2">
        <v>2</v>
      </c>
      <c r="R17" s="2" t="str">
        <v>R</v>
      </c>
      <c r="S17" s="2">
        <v>2</v>
      </c>
      <c r="T17" s="2" t="str">
        <v>R</v>
      </c>
      <c r="Y17" s="2" t="str">
        <v>R</v>
      </c>
      <c r="Z17" s="2">
        <v>2</v>
      </c>
      <c r="AA17" s="2" t="str">
        <v>R</v>
      </c>
      <c r="AB17" s="2">
        <v>2</v>
      </c>
      <c r="AC17" s="2" t="str">
        <v>R</v>
      </c>
      <c r="AD17" s="2">
        <v>2</v>
      </c>
      <c r="AE17" s="2" t="str">
        <v>R</v>
      </c>
      <c r="AF17" s="2">
        <v>2</v>
      </c>
      <c r="AG17" s="2" t="str">
        <v>R</v>
      </c>
      <c r="AH17" s="2">
        <v>2</v>
      </c>
      <c r="AI17" s="2" t="str">
        <v>R</v>
      </c>
      <c r="AJ17" s="2">
        <v>2</v>
      </c>
      <c r="AK17" s="2" t="str">
        <v>R</v>
      </c>
      <c r="AL17" s="2">
        <v>2</v>
      </c>
      <c r="AM17" s="2" t="str">
        <v>R</v>
      </c>
      <c r="AN17" s="2">
        <v>1</v>
      </c>
      <c r="AO17" s="2" t="str">
        <v>R</v>
      </c>
    </row>
    <row r="18">
      <c r="B18" s="2" t="str">
        <v>+1.50</v>
      </c>
      <c r="D18" s="2" t="str">
        <v>L</v>
      </c>
      <c r="E18" s="2">
        <v>3</v>
      </c>
      <c r="F18" s="2" t="str">
        <v>L</v>
      </c>
      <c r="G18" s="2">
        <v>3</v>
      </c>
      <c r="H18" s="2" t="str">
        <v>L</v>
      </c>
      <c r="I18" s="2">
        <v>3</v>
      </c>
      <c r="J18" s="2" t="str">
        <v>L</v>
      </c>
      <c r="K18" s="2">
        <v>2</v>
      </c>
      <c r="L18" s="2" t="str">
        <v>L</v>
      </c>
      <c r="M18" s="2">
        <v>1</v>
      </c>
      <c r="N18" s="2" t="str">
        <v>L</v>
      </c>
      <c r="O18" s="2">
        <v>1</v>
      </c>
      <c r="P18" s="2" t="str">
        <v>L</v>
      </c>
      <c r="Q18" s="2">
        <v>1</v>
      </c>
      <c r="R18" s="2" t="str">
        <v>L</v>
      </c>
      <c r="S18" s="2">
        <v>2</v>
      </c>
      <c r="T18" s="2" t="str">
        <v>L</v>
      </c>
      <c r="W18" s="2" t="str">
        <v>-1.75</v>
      </c>
      <c r="Y18" s="2" t="str">
        <v>L</v>
      </c>
      <c r="Z18" s="2">
        <v>2</v>
      </c>
      <c r="AA18" s="2" t="str">
        <v>L</v>
      </c>
      <c r="AB18" s="2">
        <v>2</v>
      </c>
      <c r="AC18" s="2" t="str">
        <v>L</v>
      </c>
      <c r="AD18" s="2">
        <v>2</v>
      </c>
      <c r="AE18" s="2" t="str">
        <v>L</v>
      </c>
      <c r="AF18" s="2">
        <v>2</v>
      </c>
      <c r="AG18" s="2" t="str">
        <v>L</v>
      </c>
      <c r="AH18" s="2">
        <v>2</v>
      </c>
      <c r="AI18" s="2" t="str">
        <v>L</v>
      </c>
      <c r="AJ18" s="2">
        <v>2</v>
      </c>
      <c r="AK18" s="2" t="str">
        <v>L</v>
      </c>
      <c r="AL18" s="2">
        <v>2</v>
      </c>
      <c r="AM18" s="2" t="str">
        <v>L</v>
      </c>
      <c r="AN18" s="2">
        <v>2</v>
      </c>
      <c r="AO18" s="2" t="str">
        <v>L</v>
      </c>
    </row>
    <row r="19">
      <c r="D19" s="2" t="str">
        <v>R</v>
      </c>
      <c r="E19" s="2">
        <v>3</v>
      </c>
      <c r="F19" s="2" t="str">
        <v>R</v>
      </c>
      <c r="G19" s="2">
        <v>4</v>
      </c>
      <c r="H19" s="2" t="str">
        <v>R</v>
      </c>
      <c r="I19" s="2">
        <v>2</v>
      </c>
      <c r="J19" s="2" t="str">
        <v>R</v>
      </c>
      <c r="K19" s="2">
        <v>2</v>
      </c>
      <c r="L19" s="2" t="str">
        <v>R</v>
      </c>
      <c r="M19" s="2">
        <v>4</v>
      </c>
      <c r="N19" s="2" t="str">
        <v>R</v>
      </c>
      <c r="O19" s="2">
        <v>3</v>
      </c>
      <c r="P19" s="2" t="str">
        <v>R</v>
      </c>
      <c r="R19" s="2" t="str">
        <v>R</v>
      </c>
      <c r="S19" s="2">
        <v>2</v>
      </c>
      <c r="T19" s="2" t="str">
        <v>R</v>
      </c>
      <c r="Y19" s="2" t="str">
        <v>R</v>
      </c>
      <c r="Z19" s="2">
        <v>2</v>
      </c>
      <c r="AA19" s="2" t="str">
        <v>R</v>
      </c>
      <c r="AB19" s="2">
        <v>2</v>
      </c>
      <c r="AC19" s="2" t="str">
        <v>R</v>
      </c>
      <c r="AD19" s="2">
        <v>3</v>
      </c>
      <c r="AE19" s="2" t="str">
        <v>R</v>
      </c>
      <c r="AF19" s="2">
        <v>2</v>
      </c>
      <c r="AG19" s="2" t="str">
        <v>R</v>
      </c>
      <c r="AH19" s="2">
        <v>2</v>
      </c>
      <c r="AI19" s="2" t="str">
        <v>R</v>
      </c>
      <c r="AJ19" s="2">
        <v>2</v>
      </c>
      <c r="AK19" s="2" t="str">
        <v>R</v>
      </c>
      <c r="AL19" s="2">
        <v>2</v>
      </c>
      <c r="AM19" s="2" t="str">
        <v>R</v>
      </c>
      <c r="AN19" s="2">
        <v>2</v>
      </c>
      <c r="AO19" s="2" t="str">
        <v>R</v>
      </c>
    </row>
    <row r="20">
      <c r="B20" s="2" t="str">
        <v>+1.75</v>
      </c>
      <c r="D20" s="2" t="str">
        <v>L</v>
      </c>
      <c r="E20" s="2">
        <v>3</v>
      </c>
      <c r="F20" s="2" t="str">
        <v>L</v>
      </c>
      <c r="G20" s="2">
        <v>3</v>
      </c>
      <c r="H20" s="2" t="str">
        <v>L</v>
      </c>
      <c r="I20" s="2">
        <v>2</v>
      </c>
      <c r="J20" s="2" t="str">
        <v>L</v>
      </c>
      <c r="K20" s="2">
        <v>2</v>
      </c>
      <c r="L20" s="2" t="str">
        <v>L</v>
      </c>
      <c r="M20" s="2">
        <v>3</v>
      </c>
      <c r="N20" s="2" t="str">
        <v>L</v>
      </c>
      <c r="O20" s="2">
        <v>1</v>
      </c>
      <c r="P20" s="2" t="str">
        <v>L</v>
      </c>
      <c r="Q20" s="2">
        <v>4</v>
      </c>
      <c r="R20" s="2" t="str">
        <v>L</v>
      </c>
      <c r="S20" s="2">
        <v>2</v>
      </c>
      <c r="T20" s="2" t="str">
        <v>L</v>
      </c>
      <c r="W20" s="2" t="str">
        <v>-2.00</v>
      </c>
      <c r="Y20" s="2" t="str">
        <v>L</v>
      </c>
      <c r="Z20" s="2">
        <v>2</v>
      </c>
      <c r="AA20" s="2" t="str">
        <v>L</v>
      </c>
      <c r="AB20" s="2">
        <v>2</v>
      </c>
      <c r="AC20" s="2" t="str">
        <v>L</v>
      </c>
      <c r="AD20" s="2">
        <v>2</v>
      </c>
      <c r="AE20" s="2" t="str">
        <v>L</v>
      </c>
      <c r="AF20" s="2">
        <v>2</v>
      </c>
      <c r="AG20" s="2" t="str">
        <v>L</v>
      </c>
      <c r="AH20" s="2">
        <v>3</v>
      </c>
      <c r="AI20" s="2" t="str">
        <v>L</v>
      </c>
      <c r="AJ20" s="2">
        <v>2</v>
      </c>
      <c r="AK20" s="2" t="str">
        <v>L</v>
      </c>
      <c r="AL20" s="2">
        <v>2</v>
      </c>
      <c r="AM20" s="2" t="str">
        <v>L</v>
      </c>
      <c r="AN20" s="2">
        <v>2</v>
      </c>
      <c r="AO20" s="2" t="str">
        <v>L</v>
      </c>
    </row>
    <row r="21">
      <c r="D21" s="2" t="str">
        <v>R</v>
      </c>
      <c r="E21" s="2">
        <v>3</v>
      </c>
      <c r="F21" s="2" t="str">
        <v>R</v>
      </c>
      <c r="G21" s="2">
        <v>3</v>
      </c>
      <c r="H21" s="2" t="str">
        <v>R</v>
      </c>
      <c r="I21" s="2">
        <v>3</v>
      </c>
      <c r="J21" s="2" t="str">
        <v>R</v>
      </c>
      <c r="K21" s="2">
        <v>3</v>
      </c>
      <c r="L21" s="2" t="str">
        <v>R</v>
      </c>
      <c r="M21" s="2">
        <v>2</v>
      </c>
      <c r="N21" s="2" t="str">
        <v>R</v>
      </c>
      <c r="O21" s="2">
        <v>3</v>
      </c>
      <c r="P21" s="2" t="str">
        <v>R</v>
      </c>
      <c r="Q21" s="2">
        <v>1</v>
      </c>
      <c r="R21" s="2" t="str">
        <v>R</v>
      </c>
      <c r="S21" s="2">
        <v>2</v>
      </c>
      <c r="T21" s="2" t="str">
        <v>R</v>
      </c>
      <c r="Y21" s="2" t="str">
        <v>R</v>
      </c>
      <c r="Z21" s="2">
        <v>2</v>
      </c>
      <c r="AA21" s="2" t="str">
        <v>R</v>
      </c>
      <c r="AB21" s="2">
        <v>2</v>
      </c>
      <c r="AC21" s="2" t="str">
        <v>R</v>
      </c>
      <c r="AD21" s="2">
        <v>2</v>
      </c>
      <c r="AE21" s="2" t="str">
        <v>R</v>
      </c>
      <c r="AF21" s="2">
        <v>2</v>
      </c>
      <c r="AG21" s="2" t="str">
        <v>R</v>
      </c>
      <c r="AH21" s="2">
        <v>2</v>
      </c>
      <c r="AI21" s="2" t="str">
        <v>R</v>
      </c>
      <c r="AJ21" s="2">
        <v>2</v>
      </c>
      <c r="AK21" s="2" t="str">
        <v>R</v>
      </c>
      <c r="AL21" s="2">
        <v>2</v>
      </c>
      <c r="AM21" s="2" t="str">
        <v>R</v>
      </c>
      <c r="AN21" s="2">
        <v>2</v>
      </c>
      <c r="AO21" s="2" t="str">
        <v>R</v>
      </c>
    </row>
    <row r="22">
      <c r="B22" s="2" t="str">
        <v>+2.00</v>
      </c>
      <c r="D22" s="2" t="str">
        <v>L</v>
      </c>
      <c r="E22" s="2">
        <v>3</v>
      </c>
      <c r="F22" s="2" t="str">
        <v>L</v>
      </c>
      <c r="G22" s="2">
        <v>2</v>
      </c>
      <c r="H22" s="2" t="str">
        <v>L</v>
      </c>
      <c r="I22" s="2">
        <v>2</v>
      </c>
      <c r="J22" s="2" t="str">
        <v>L</v>
      </c>
      <c r="K22" s="2">
        <v>2</v>
      </c>
      <c r="L22" s="2" t="str">
        <v>L</v>
      </c>
      <c r="M22" s="2">
        <v>2</v>
      </c>
      <c r="N22" s="2" t="str">
        <v>L</v>
      </c>
      <c r="O22" s="2">
        <v>3</v>
      </c>
      <c r="P22" s="2" t="str">
        <v>L</v>
      </c>
      <c r="Q22" s="2">
        <v>1</v>
      </c>
      <c r="R22" s="2" t="str">
        <v>L</v>
      </c>
      <c r="S22" s="2">
        <v>3</v>
      </c>
      <c r="T22" s="2" t="str">
        <v>L</v>
      </c>
      <c r="W22" s="2" t="str">
        <v>-2.25</v>
      </c>
      <c r="Y22" s="2" t="str">
        <v>L</v>
      </c>
      <c r="AA22" s="2" t="str">
        <v>L</v>
      </c>
      <c r="AC22" s="2" t="str">
        <v>L</v>
      </c>
      <c r="AE22" s="2" t="str">
        <v>L</v>
      </c>
      <c r="AG22" s="2" t="str">
        <v>L</v>
      </c>
      <c r="AI22" s="2" t="str">
        <v>L</v>
      </c>
      <c r="AK22" s="2" t="str">
        <v>L</v>
      </c>
      <c r="AM22" s="2" t="str">
        <v>L</v>
      </c>
      <c r="AO22" s="2" t="str">
        <v>L</v>
      </c>
    </row>
    <row r="23">
      <c r="D23" s="2" t="str">
        <v>R</v>
      </c>
      <c r="E23" s="2">
        <v>2</v>
      </c>
      <c r="F23" s="2" t="str">
        <v>R</v>
      </c>
      <c r="G23" s="2">
        <v>2</v>
      </c>
      <c r="H23" s="2" t="str">
        <v>R</v>
      </c>
      <c r="I23" s="2">
        <v>3</v>
      </c>
      <c r="J23" s="2" t="str">
        <v>R</v>
      </c>
      <c r="K23" s="2">
        <v>3</v>
      </c>
      <c r="L23" s="2" t="str">
        <v>R</v>
      </c>
      <c r="M23" s="2">
        <v>2</v>
      </c>
      <c r="N23" s="2" t="str">
        <v>R</v>
      </c>
      <c r="O23" s="2">
        <v>2</v>
      </c>
      <c r="P23" s="2" t="str">
        <v>R</v>
      </c>
      <c r="Q23" s="2">
        <v>4</v>
      </c>
      <c r="R23" s="2" t="str">
        <v>R</v>
      </c>
      <c r="S23" s="2">
        <v>3</v>
      </c>
      <c r="T23" s="2" t="str">
        <v>R</v>
      </c>
      <c r="Y23" s="2" t="str">
        <v>R</v>
      </c>
      <c r="AA23" s="2" t="str">
        <v>R</v>
      </c>
      <c r="AC23" s="2" t="str">
        <v>R</v>
      </c>
      <c r="AE23" s="2" t="str">
        <v>R</v>
      </c>
      <c r="AG23" s="2" t="str">
        <v>R</v>
      </c>
      <c r="AI23" s="2" t="str">
        <v>R</v>
      </c>
      <c r="AK23" s="2" t="str">
        <v>R</v>
      </c>
      <c r="AM23" s="2" t="str">
        <v>R</v>
      </c>
      <c r="AO23" s="2" t="str">
        <v>R</v>
      </c>
    </row>
    <row r="24">
      <c r="B24" s="2" t="str">
        <v>+2.25</v>
      </c>
      <c r="D24" s="2" t="str">
        <v>L</v>
      </c>
      <c r="E24" s="2">
        <v>2</v>
      </c>
      <c r="F24" s="2" t="str">
        <v>L</v>
      </c>
      <c r="G24" s="2">
        <v>2</v>
      </c>
      <c r="H24" s="2" t="str">
        <v>L</v>
      </c>
      <c r="I24" s="2">
        <v>2</v>
      </c>
      <c r="J24" s="2" t="str">
        <v>L</v>
      </c>
      <c r="K24" s="2">
        <v>3</v>
      </c>
      <c r="L24" s="2" t="str">
        <v>L</v>
      </c>
      <c r="M24" s="2">
        <v>3</v>
      </c>
      <c r="N24" s="2" t="str">
        <v>L</v>
      </c>
      <c r="O24" s="2">
        <v>2</v>
      </c>
      <c r="P24" s="2" t="str">
        <v>L</v>
      </c>
      <c r="Q24" s="2">
        <v>2</v>
      </c>
      <c r="R24" s="2" t="str">
        <v>L</v>
      </c>
      <c r="S24" s="2">
        <v>3</v>
      </c>
      <c r="T24" s="2" t="str">
        <v>L</v>
      </c>
      <c r="W24" s="2" t="str">
        <v>-2.50</v>
      </c>
      <c r="Y24" s="2" t="str">
        <v>L</v>
      </c>
      <c r="AA24" s="2" t="str">
        <v>L</v>
      </c>
      <c r="AC24" s="2" t="str">
        <v>L</v>
      </c>
      <c r="AE24" s="2" t="str">
        <v>L</v>
      </c>
      <c r="AG24" s="2" t="str">
        <v>L</v>
      </c>
      <c r="AI24" s="2" t="str">
        <v>L</v>
      </c>
      <c r="AK24" s="2" t="str">
        <v>L</v>
      </c>
      <c r="AM24" s="2" t="str">
        <v>L</v>
      </c>
      <c r="AO24" s="2" t="str">
        <v>L</v>
      </c>
    </row>
    <row r="25">
      <c r="D25" s="2" t="str">
        <v>R</v>
      </c>
      <c r="E25" s="2">
        <v>2</v>
      </c>
      <c r="F25" s="2" t="str">
        <v>R</v>
      </c>
      <c r="G25" s="2">
        <v>2</v>
      </c>
      <c r="H25" s="2" t="str">
        <v>R</v>
      </c>
      <c r="I25" s="2">
        <v>2</v>
      </c>
      <c r="J25" s="2" t="str">
        <v>R</v>
      </c>
      <c r="K25" s="2">
        <v>3</v>
      </c>
      <c r="L25" s="2" t="str">
        <v>R</v>
      </c>
      <c r="M25" s="2">
        <v>2</v>
      </c>
      <c r="N25" s="2" t="str">
        <v>R</v>
      </c>
      <c r="O25" s="2">
        <v>3</v>
      </c>
      <c r="P25" s="2" t="str">
        <v>R</v>
      </c>
      <c r="Q25" s="2">
        <v>3</v>
      </c>
      <c r="R25" s="2" t="str">
        <v>R</v>
      </c>
      <c r="S25" s="2">
        <v>2</v>
      </c>
      <c r="T25" s="2" t="str">
        <v>R</v>
      </c>
      <c r="Y25" s="2" t="str">
        <v>R</v>
      </c>
      <c r="AA25" s="2" t="str">
        <v>R</v>
      </c>
      <c r="AC25" s="2" t="str">
        <v>R</v>
      </c>
      <c r="AE25" s="2" t="str">
        <v>R</v>
      </c>
      <c r="AG25" s="2" t="str">
        <v>R</v>
      </c>
      <c r="AI25" s="2" t="str">
        <v>R</v>
      </c>
      <c r="AK25" s="2" t="str">
        <v>R</v>
      </c>
      <c r="AM25" s="2" t="str">
        <v>R</v>
      </c>
      <c r="AO25" s="2" t="str">
        <v>R</v>
      </c>
    </row>
    <row r="26">
      <c r="B26" s="2" t="str">
        <v>+2.50</v>
      </c>
      <c r="D26" s="2" t="str">
        <v>L</v>
      </c>
      <c r="E26" s="2">
        <v>3</v>
      </c>
      <c r="F26" s="2" t="str">
        <v>L</v>
      </c>
      <c r="G26" s="2">
        <v>2</v>
      </c>
      <c r="H26" s="2" t="str">
        <v>L</v>
      </c>
      <c r="I26" s="2">
        <v>3</v>
      </c>
      <c r="J26" s="2" t="str">
        <v>L</v>
      </c>
      <c r="K26" s="2">
        <v>2</v>
      </c>
      <c r="L26" s="2" t="str">
        <v>L</v>
      </c>
      <c r="M26" s="2">
        <v>1</v>
      </c>
      <c r="N26" s="2" t="str">
        <v>L</v>
      </c>
      <c r="O26" s="2">
        <v>3</v>
      </c>
      <c r="P26" s="2" t="str">
        <v>L</v>
      </c>
      <c r="Q26" s="2">
        <v>2</v>
      </c>
      <c r="R26" s="2" t="str">
        <v>L</v>
      </c>
      <c r="S26" s="2">
        <v>3</v>
      </c>
      <c r="T26" s="2" t="str">
        <v>L</v>
      </c>
      <c r="W26" s="2" t="str">
        <v>-2.75</v>
      </c>
      <c r="Y26" s="2" t="str">
        <v>L</v>
      </c>
      <c r="AA26" s="2" t="str">
        <v>L</v>
      </c>
      <c r="AC26" s="2" t="str">
        <v>L</v>
      </c>
      <c r="AE26" s="2" t="str">
        <v>L</v>
      </c>
      <c r="AG26" s="2" t="str">
        <v>L</v>
      </c>
      <c r="AI26" s="2" t="str">
        <v>L</v>
      </c>
      <c r="AK26" s="2" t="str">
        <v>L</v>
      </c>
      <c r="AM26" s="2" t="str">
        <v>L</v>
      </c>
      <c r="AO26" s="2" t="str">
        <v>L</v>
      </c>
    </row>
    <row r="27">
      <c r="D27" s="2" t="str">
        <v>R</v>
      </c>
      <c r="E27" s="2">
        <v>3</v>
      </c>
      <c r="F27" s="2" t="str">
        <v>R</v>
      </c>
      <c r="G27" s="2">
        <v>2</v>
      </c>
      <c r="H27" s="2" t="str">
        <v>R</v>
      </c>
      <c r="I27" s="2">
        <v>1</v>
      </c>
      <c r="J27" s="2" t="str">
        <v>R</v>
      </c>
      <c r="K27" s="2">
        <v>2</v>
      </c>
      <c r="L27" s="2" t="str">
        <v>R</v>
      </c>
      <c r="M27" s="2">
        <v>2</v>
      </c>
      <c r="N27" s="2" t="str">
        <v>R</v>
      </c>
      <c r="O27" s="2">
        <v>3</v>
      </c>
      <c r="P27" s="2" t="str">
        <v>R</v>
      </c>
      <c r="Q27" s="2">
        <v>2</v>
      </c>
      <c r="R27" s="2" t="str">
        <v>R</v>
      </c>
      <c r="S27" s="2">
        <v>2</v>
      </c>
      <c r="T27" s="2" t="str">
        <v>R</v>
      </c>
      <c r="Y27" s="2" t="str">
        <v>R</v>
      </c>
      <c r="AA27" s="2" t="str">
        <v>R</v>
      </c>
      <c r="AC27" s="2" t="str">
        <v>R</v>
      </c>
      <c r="AE27" s="2" t="str">
        <v>R</v>
      </c>
      <c r="AG27" s="2" t="str">
        <v>R</v>
      </c>
      <c r="AI27" s="2" t="str">
        <v>R</v>
      </c>
      <c r="AK27" s="2" t="str">
        <v>R</v>
      </c>
      <c r="AM27" s="2" t="str">
        <v>R</v>
      </c>
      <c r="AO27" s="2" t="str">
        <v>R</v>
      </c>
    </row>
    <row r="28">
      <c r="B28" s="2" t="str">
        <v>+2.75</v>
      </c>
      <c r="D28" s="2" t="str">
        <v>L</v>
      </c>
      <c r="E28" s="2">
        <v>2</v>
      </c>
      <c r="F28" s="2" t="str">
        <v>L</v>
      </c>
      <c r="G28" s="2">
        <v>2</v>
      </c>
      <c r="H28" s="2" t="str">
        <v>L</v>
      </c>
      <c r="I28" s="2">
        <v>2</v>
      </c>
      <c r="J28" s="2" t="str">
        <v>L</v>
      </c>
      <c r="K28" s="2">
        <v>2</v>
      </c>
      <c r="L28" s="2" t="str">
        <v>L</v>
      </c>
      <c r="M28" s="2">
        <v>2</v>
      </c>
      <c r="N28" s="2" t="str">
        <v>L</v>
      </c>
      <c r="O28" s="2">
        <v>3</v>
      </c>
      <c r="P28" s="2" t="str">
        <v>L</v>
      </c>
      <c r="Q28" s="2">
        <v>3</v>
      </c>
      <c r="R28" s="2" t="str">
        <v>L</v>
      </c>
      <c r="S28" s="2">
        <v>3</v>
      </c>
      <c r="T28" s="2" t="str">
        <v>L</v>
      </c>
      <c r="W28" s="2" t="str">
        <v>-3.00</v>
      </c>
      <c r="Y28" s="2" t="str">
        <v>L</v>
      </c>
      <c r="AA28" s="2" t="str">
        <v>L</v>
      </c>
      <c r="AC28" s="2" t="str">
        <v>L</v>
      </c>
      <c r="AE28" s="2" t="str">
        <v>L</v>
      </c>
      <c r="AG28" s="2" t="str">
        <v>L</v>
      </c>
      <c r="AI28" s="2" t="str">
        <v>L</v>
      </c>
      <c r="AK28" s="2" t="str">
        <v>L</v>
      </c>
      <c r="AM28" s="2" t="str">
        <v>L</v>
      </c>
      <c r="AO28" s="2" t="str">
        <v>L</v>
      </c>
    </row>
    <row r="29">
      <c r="D29" s="2" t="str">
        <v>R</v>
      </c>
      <c r="E29" s="2">
        <v>2</v>
      </c>
      <c r="F29" s="2" t="str">
        <v>R</v>
      </c>
      <c r="G29" s="2">
        <v>2</v>
      </c>
      <c r="H29" s="2" t="str">
        <v>R</v>
      </c>
      <c r="I29" s="2">
        <v>2</v>
      </c>
      <c r="J29" s="2" t="str">
        <v>R</v>
      </c>
      <c r="K29" s="2">
        <v>2</v>
      </c>
      <c r="L29" s="2" t="str">
        <v>R</v>
      </c>
      <c r="M29" s="2">
        <v>2</v>
      </c>
      <c r="N29" s="2" t="str">
        <v>R</v>
      </c>
      <c r="O29" s="2">
        <v>2</v>
      </c>
      <c r="P29" s="2" t="str">
        <v>R</v>
      </c>
      <c r="Q29" s="2">
        <v>2</v>
      </c>
      <c r="R29" s="2" t="str">
        <v>R</v>
      </c>
      <c r="S29" s="2">
        <v>1</v>
      </c>
      <c r="T29" s="2" t="str">
        <v>R</v>
      </c>
      <c r="Y29" s="2" t="str">
        <v>R</v>
      </c>
      <c r="AA29" s="2" t="str">
        <v>R</v>
      </c>
      <c r="AC29" s="2" t="str">
        <v>R</v>
      </c>
      <c r="AE29" s="2" t="str">
        <v>R</v>
      </c>
      <c r="AG29" s="2" t="str">
        <v>R</v>
      </c>
      <c r="AI29" s="2" t="str">
        <v>R</v>
      </c>
      <c r="AK29" s="2" t="str">
        <v>R</v>
      </c>
      <c r="AM29" s="2" t="str">
        <v>R</v>
      </c>
      <c r="AO29" s="2" t="str">
        <v>R</v>
      </c>
    </row>
    <row r="30">
      <c r="B30" s="2" t="str">
        <v>+3.00</v>
      </c>
      <c r="D30" s="2" t="str">
        <v>L</v>
      </c>
      <c r="E30" s="2">
        <v>2</v>
      </c>
      <c r="F30" s="2" t="str">
        <v>L</v>
      </c>
      <c r="G30" s="2">
        <v>2</v>
      </c>
      <c r="H30" s="2" t="str">
        <v>L</v>
      </c>
      <c r="I30" s="2">
        <v>1</v>
      </c>
      <c r="J30" s="2" t="str">
        <v>L</v>
      </c>
      <c r="K30" s="2">
        <v>2</v>
      </c>
      <c r="L30" s="2" t="str">
        <v>L</v>
      </c>
      <c r="M30" s="2">
        <v>3</v>
      </c>
      <c r="N30" s="2" t="str">
        <v>L</v>
      </c>
      <c r="O30" s="2">
        <v>3</v>
      </c>
      <c r="P30" s="2" t="str">
        <v>L</v>
      </c>
      <c r="Q30" s="2">
        <v>2</v>
      </c>
      <c r="R30" s="2" t="str">
        <v>L</v>
      </c>
      <c r="S30" s="2">
        <v>2</v>
      </c>
      <c r="T30" s="2" t="str">
        <v>L</v>
      </c>
    </row>
    <row r="31">
      <c r="D31" s="2" t="str">
        <v>R</v>
      </c>
      <c r="E31" s="2">
        <v>2</v>
      </c>
      <c r="F31" s="2" t="str">
        <v>R</v>
      </c>
      <c r="G31" s="2">
        <v>2</v>
      </c>
      <c r="H31" s="2" t="str">
        <v>R</v>
      </c>
      <c r="I31" s="2">
        <v>3</v>
      </c>
      <c r="J31" s="2" t="str">
        <v>R</v>
      </c>
      <c r="K31" s="2">
        <v>2</v>
      </c>
      <c r="L31" s="2" t="str">
        <v>R</v>
      </c>
      <c r="M31" s="2">
        <v>2</v>
      </c>
      <c r="N31" s="2" t="str">
        <v>R</v>
      </c>
      <c r="O31" s="2">
        <v>2</v>
      </c>
      <c r="P31" s="2" t="str">
        <v>R</v>
      </c>
      <c r="Q31" s="2">
        <v>2</v>
      </c>
      <c r="R31" s="2" t="str">
        <v>R</v>
      </c>
      <c r="S31" s="2">
        <v>2</v>
      </c>
      <c r="T31" s="2" t="str">
        <v>R</v>
      </c>
    </row>
    <row r="36">
      <c r="B36" s="2" t="str">
        <v>PEDIDO SUGERIDO BIFOCAL FT-L28 BLANCO (PAR)</v>
      </c>
    </row>
    <row r="37">
      <c r="B37" s="2" t="str">
        <v>PEDIDO SUGERIDO BIFOCAL FT-L28 BLANCO (PAR)</v>
      </c>
    </row>
    <row r="38">
      <c r="C38" s="2" t="str">
        <v>ADICION</v>
      </c>
      <c r="X38" s="2" t="str">
        <v>ADICION</v>
      </c>
    </row>
    <row r="40">
      <c r="A40" s="2" t="str">
        <v>(+)</v>
      </c>
      <c r="C40" s="2" t="str">
        <v>1.00</v>
      </c>
      <c r="E40" s="2" t="str">
        <v>1.25</v>
      </c>
      <c r="G40" s="2" t="str">
        <v>1.50</v>
      </c>
      <c r="I40" s="2" t="str">
        <v>1.75</v>
      </c>
      <c r="K40" s="2" t="str">
        <v>2.00</v>
      </c>
      <c r="M40" s="2" t="str">
        <v>2.25</v>
      </c>
      <c r="O40" s="2" t="str">
        <v>2.50</v>
      </c>
      <c r="Q40" s="2" t="str">
        <v>2.75</v>
      </c>
      <c r="S40" s="2" t="str">
        <v>3.00</v>
      </c>
      <c r="V40" s="2" t="str">
        <v>(-)</v>
      </c>
      <c r="X40" s="2" t="str">
        <v>1.00</v>
      </c>
      <c r="Z40" s="2" t="str">
        <v>1.25</v>
      </c>
      <c r="AB40" s="2" t="str">
        <v>1.50</v>
      </c>
      <c r="AD40" s="2" t="str">
        <v>1.75</v>
      </c>
      <c r="AF40" s="2" t="str">
        <v>2.00</v>
      </c>
      <c r="AH40" s="2" t="str">
        <v>2.25</v>
      </c>
      <c r="AJ40" s="2" t="str">
        <v>+2.50</v>
      </c>
      <c r="AL40" s="2" t="str">
        <v>+2.75</v>
      </c>
      <c r="AN40" s="2" t="str">
        <v>+3.00</v>
      </c>
    </row>
    <row r="41">
      <c r="A41" s="2" t="str">
        <v>ESFERA</v>
      </c>
      <c r="B41" s="2" t="str">
        <v>0.00</v>
      </c>
      <c r="D41" s="2" t="str">
        <v>L</v>
      </c>
      <c r="E41" s="2" t="str">
        <f>IF(QUOTIENT(E6+E7,2)&lt;2,2-QUOTIENT(E6+E7,2),"")</f>
        <v/>
      </c>
      <c r="F41" s="2" t="str">
        <v>L</v>
      </c>
      <c r="G41" s="2" t="str">
        <f>IF((QUOTIENT(G6+G7,2))&lt;2,2-QUOTIENT(G6+G7,2),"")</f>
        <v/>
      </c>
      <c r="H41" s="2" t="str">
        <v>L</v>
      </c>
      <c r="I41" s="2" t="str">
        <f>IF((QUOTIENT(I6+I7,2))&lt;2,2-QUOTIENT(I6+I7,2),"")</f>
        <v/>
      </c>
      <c r="J41" s="2" t="str">
        <v>L</v>
      </c>
      <c r="K41" s="2" t="str">
        <f>IF((QUOTIENT(K6+K7,2))&lt;2,2-QUOTIENT(K6+K7,2),"")</f>
        <v/>
      </c>
      <c r="L41" s="2" t="str">
        <v>L</v>
      </c>
      <c r="M41" s="2" t="str">
        <f>IF((QUOTIENT(M6+M7,2))&lt;2,2-QUOTIENT(M6+M7,2),"")</f>
        <v/>
      </c>
      <c r="N41" s="2" t="str">
        <v>L</v>
      </c>
      <c r="O41" s="2" t="str">
        <f>IF((QUOTIENT(O6+O7,2))&lt;2,2-QUOTIENT(O6+O7,2),"")</f>
        <v/>
      </c>
      <c r="P41" s="2" t="str">
        <v>L</v>
      </c>
      <c r="Q41" s="2" t="str">
        <f>IF((QUOTIENT(Q6+Q7,2))&lt;2,2-QUOTIENT(Q6+Q7,2),"")</f>
        <v/>
      </c>
      <c r="R41" s="2" t="str">
        <v>L</v>
      </c>
      <c r="S41" s="2">
        <f>IF((QUOTIENT(S6+S7,2))&lt;2,2-QUOTIENT(S6+S7,2),"")</f>
        <v>1</v>
      </c>
      <c r="T41" s="2" t="str">
        <v>L</v>
      </c>
      <c r="V41" s="2" t="str">
        <v>ESFERA</v>
      </c>
      <c r="W41" s="2" t="str">
        <v>-0.25</v>
      </c>
      <c r="Y41" s="2" t="str">
        <v>L</v>
      </c>
      <c r="Z41" s="2" t="str">
        <f>IF((QUOTIENT(Z6+Z7,2))&lt;2,2-QUOTIENT(Z6+Z7,2),"")</f>
        <v/>
      </c>
      <c r="AA41" s="2" t="str">
        <v>L</v>
      </c>
      <c r="AB41" s="2" t="str">
        <f>IF((QUOTIENT(AB6+AB7,2))&lt;2,2-QUOTIENT(AB6+AB7,2),"")</f>
        <v/>
      </c>
      <c r="AC41" s="2" t="str">
        <v>L</v>
      </c>
      <c r="AD41" s="2" t="str">
        <f>IF((QUOTIENT(AD6+AD7,2))&lt;2,2-QUOTIENT(AD6+AD7,2),"")</f>
        <v/>
      </c>
      <c r="AE41" s="2" t="str">
        <v>L</v>
      </c>
      <c r="AF41" s="2" t="str">
        <f>IF((QUOTIENT(AF6+AF7,2))&lt;2,2-QUOTIENT(AF6+AF7,2),"")</f>
        <v/>
      </c>
      <c r="AG41" s="2" t="str">
        <v>L</v>
      </c>
      <c r="AH41" s="2" t="str">
        <f>IF((QUOTIENT(AH6+AH7,2))&lt;2,2-QUOTIENT(AH6+AH7,2),"")</f>
        <v/>
      </c>
      <c r="AI41" s="2" t="str">
        <v>L</v>
      </c>
      <c r="AJ41" s="2" t="str">
        <f>IF((QUOTIENT(AJ6+AJ7,2))&lt;2,2-QUOTIENT(AJ6+AJ7,2),"")</f>
        <v/>
      </c>
      <c r="AK41" s="2" t="str">
        <v>L</v>
      </c>
      <c r="AL41" s="2" t="str">
        <f>IF((QUOTIENT(AL6+AL7,2))&lt;2,2-QUOTIENT(AL6+AL7,2),"")</f>
        <v/>
      </c>
      <c r="AM41" s="2" t="str">
        <v>L</v>
      </c>
      <c r="AN41" s="2" t="str">
        <f>IF((QUOTIENT(AN6+AN7,2))&lt;2,2-QUOTIENT(AN6+AN7,2),"")</f>
        <v/>
      </c>
      <c r="AO41" s="2" t="str">
        <v>L</v>
      </c>
    </row>
    <row r="42">
      <c r="D42" s="2" t="str">
        <v>R</v>
      </c>
      <c r="F42" s="2" t="str">
        <v>R</v>
      </c>
      <c r="H42" s="2" t="str">
        <v>R</v>
      </c>
      <c r="J42" s="2" t="str">
        <v>R</v>
      </c>
      <c r="L42" s="2" t="str">
        <v>R</v>
      </c>
      <c r="N42" s="2" t="str">
        <v>R</v>
      </c>
      <c r="P42" s="2" t="str">
        <v>R</v>
      </c>
      <c r="R42" s="2" t="str">
        <v>R</v>
      </c>
      <c r="T42" s="2" t="str">
        <v>R</v>
      </c>
      <c r="Y42" s="2" t="str">
        <v>R</v>
      </c>
      <c r="AA42" s="2" t="str">
        <v>R</v>
      </c>
      <c r="AC42" s="2" t="str">
        <v>R</v>
      </c>
      <c r="AE42" s="2" t="str">
        <v>R</v>
      </c>
      <c r="AG42" s="2" t="str">
        <v>R</v>
      </c>
      <c r="AI42" s="2" t="str">
        <v>R</v>
      </c>
      <c r="AK42" s="2" t="str">
        <v>R</v>
      </c>
      <c r="AM42" s="2" t="str">
        <v>R</v>
      </c>
      <c r="AO42" s="2" t="str">
        <v>R</v>
      </c>
    </row>
    <row r="43">
      <c r="B43" s="2" t="str">
        <v>+0.25</v>
      </c>
      <c r="D43" s="2" t="str">
        <v>L</v>
      </c>
      <c r="E43" s="2" t="str">
        <f>IF(QUOTIENT(E8+E9,2)&lt;2,2-QUOTIENT(E8+E9,2),"")</f>
        <v/>
      </c>
      <c r="F43" s="2" t="str">
        <v>L</v>
      </c>
      <c r="G43" s="2" t="str">
        <f>IF((QUOTIENT(G8+G9,2))&lt;2,2-QUOTIENT(G8+G9,2),"")</f>
        <v/>
      </c>
      <c r="H43" s="2" t="str">
        <v>L</v>
      </c>
      <c r="I43" s="2" t="str">
        <f>IF((QUOTIENT(I8+I9,2))&lt;2,2-QUOTIENT(I8+I9,2),"")</f>
        <v/>
      </c>
      <c r="J43" s="2" t="str">
        <v>L</v>
      </c>
      <c r="K43" s="2" t="str">
        <f>IF((QUOTIENT(K8+K9,2))&lt;2,2-QUOTIENT(K8+K9,2),"")</f>
        <v/>
      </c>
      <c r="L43" s="2" t="str">
        <v>L</v>
      </c>
      <c r="M43" s="2" t="str">
        <f>IF((QUOTIENT(M8+M9,2))&lt;2,2-QUOTIENT(M8+M9,2),"")</f>
        <v/>
      </c>
      <c r="N43" s="2" t="str">
        <v>L</v>
      </c>
      <c r="O43" s="2" t="str">
        <f>IF((QUOTIENT(O8+O9,2))&lt;2,2-QUOTIENT(O8+O9,2),"")</f>
        <v/>
      </c>
      <c r="P43" s="2" t="str">
        <v>L</v>
      </c>
      <c r="Q43" s="2" t="str">
        <f>IF((QUOTIENT(Q8+Q9,2))&lt;2,2-QUOTIENT(Q8+Q9,2),"")</f>
        <v/>
      </c>
      <c r="R43" s="2" t="str">
        <v>L</v>
      </c>
      <c r="S43" s="2" t="str">
        <f>IF((QUOTIENT(S8+S9,2))&lt;2,2-QUOTIENT(S8+S9,2),"")</f>
        <v/>
      </c>
      <c r="T43" s="2" t="str">
        <v>L</v>
      </c>
      <c r="W43" s="2" t="str">
        <v>-0.50</v>
      </c>
      <c r="Y43" s="2" t="str">
        <v>L</v>
      </c>
      <c r="Z43" s="2" t="str">
        <f>IF((QUOTIENT(Z8+Z9,2))&lt;2,2-QUOTIENT(Z8+Z9,2),"")</f>
        <v/>
      </c>
      <c r="AA43" s="2" t="str">
        <v>L</v>
      </c>
      <c r="AB43" s="2" t="str">
        <f>IF((QUOTIENT(AB8+AB9,2))&lt;2,2-QUOTIENT(AB8+AB9,2),"")</f>
        <v/>
      </c>
      <c r="AC43" s="2" t="str">
        <v>L</v>
      </c>
      <c r="AD43" s="2" t="str">
        <f>IF((QUOTIENT(AD8+AD9,2))&lt;2,2-QUOTIENT(AD8+AD9,2),"")</f>
        <v/>
      </c>
      <c r="AE43" s="2" t="str">
        <v>L</v>
      </c>
      <c r="AF43" s="2" t="str">
        <f>IF((QUOTIENT(AF8+AF9,2))&lt;2,2-QUOTIENT(AF8+AF9,2),"")</f>
        <v/>
      </c>
      <c r="AG43" s="2" t="str">
        <v>L</v>
      </c>
      <c r="AH43" s="2" t="str">
        <f>IF((QUOTIENT(AH8+AH9,2))&lt;2,2-QUOTIENT(AH8+AH9,2),"")</f>
        <v/>
      </c>
      <c r="AI43" s="2" t="str">
        <v>L</v>
      </c>
      <c r="AJ43" s="2" t="str">
        <f>IF((QUOTIENT(AJ8+AJ9,2))&lt;2,2-QUOTIENT(AJ8+AJ9,2),"")</f>
        <v/>
      </c>
      <c r="AK43" s="2" t="str">
        <v>L</v>
      </c>
      <c r="AL43" s="2" t="str">
        <f>IF((QUOTIENT(AL8+AL9,2))&lt;2,2-QUOTIENT(AL8+AL9,2),"")</f>
        <v/>
      </c>
      <c r="AM43" s="2" t="str">
        <v>L</v>
      </c>
      <c r="AN43" s="2" t="str">
        <f>IF((QUOTIENT(AN8+AN9,2))&lt;2,2-QUOTIENT(AN8+AN9,2),"")</f>
        <v/>
      </c>
      <c r="AO43" s="2" t="str">
        <v>L</v>
      </c>
    </row>
    <row r="44">
      <c r="D44" s="2" t="str">
        <v>R</v>
      </c>
      <c r="F44" s="2" t="str">
        <v>R</v>
      </c>
      <c r="H44" s="2" t="str">
        <v>R</v>
      </c>
      <c r="J44" s="2" t="str">
        <v>R</v>
      </c>
      <c r="L44" s="2" t="str">
        <v>R</v>
      </c>
      <c r="N44" s="2" t="str">
        <v>R</v>
      </c>
      <c r="P44" s="2" t="str">
        <v>R</v>
      </c>
      <c r="R44" s="2" t="str">
        <v>R</v>
      </c>
      <c r="T44" s="2" t="str">
        <v>R</v>
      </c>
      <c r="Y44" s="2" t="str">
        <v>R</v>
      </c>
      <c r="AA44" s="2" t="str">
        <v>R</v>
      </c>
      <c r="AC44" s="2" t="str">
        <v>R</v>
      </c>
      <c r="AE44" s="2" t="str">
        <v>R</v>
      </c>
      <c r="AG44" s="2" t="str">
        <v>R</v>
      </c>
      <c r="AI44" s="2" t="str">
        <v>R</v>
      </c>
      <c r="AK44" s="2" t="str">
        <v>R</v>
      </c>
      <c r="AM44" s="2" t="str">
        <v>R</v>
      </c>
      <c r="AO44" s="2" t="str">
        <v>R</v>
      </c>
    </row>
    <row r="45">
      <c r="B45" s="2" t="str">
        <v>+0.50</v>
      </c>
      <c r="D45" s="2" t="str">
        <v>L</v>
      </c>
      <c r="E45" s="2" t="str">
        <f>IF(QUOTIENT(E10+E11,2)&lt;2,2-QUOTIENT(E10+E11,2),"")</f>
        <v/>
      </c>
      <c r="F45" s="2" t="str">
        <v>L</v>
      </c>
      <c r="G45" s="2">
        <f>IF((QUOTIENT(G10+G11,2))&lt;2,2-QUOTIENT(G10+G11,2),"")</f>
        <v>1</v>
      </c>
      <c r="H45" s="2" t="str">
        <v>L</v>
      </c>
      <c r="I45" s="2" t="str">
        <f>IF((QUOTIENT(I10+I11,2))&lt;2,2-QUOTIENT(I10+I11,2),"")</f>
        <v/>
      </c>
      <c r="J45" s="2" t="str">
        <v>L</v>
      </c>
      <c r="K45" s="2" t="str">
        <f>IF((QUOTIENT(K10+K11,2))&lt;2,2-QUOTIENT(K10+K11,2),"")</f>
        <v/>
      </c>
      <c r="L45" s="2" t="str">
        <v>L</v>
      </c>
      <c r="M45" s="2" t="str">
        <f>IF((QUOTIENT(M10+M11,2))&lt;2,2-QUOTIENT(M10+M11,2),"")</f>
        <v/>
      </c>
      <c r="N45" s="2" t="str">
        <v>L</v>
      </c>
      <c r="O45" s="2" t="str">
        <f>IF((QUOTIENT(O10+O11,2))&lt;2,2-QUOTIENT(O10+O11,2),"")</f>
        <v/>
      </c>
      <c r="P45" s="2" t="str">
        <v>L</v>
      </c>
      <c r="Q45" s="2" t="str">
        <f>IF((QUOTIENT(Q10+Q11,2))&lt;2,2-QUOTIENT(Q10+Q11,2),"")</f>
        <v/>
      </c>
      <c r="R45" s="2" t="str">
        <v>L</v>
      </c>
      <c r="S45" s="2" t="str">
        <f>IF((QUOTIENT(S10+S11,2))&lt;2,2-QUOTIENT(S10+S11,2),"")</f>
        <v/>
      </c>
      <c r="T45" s="2" t="str">
        <v>L</v>
      </c>
      <c r="W45" s="2" t="str">
        <v>-0.75</v>
      </c>
      <c r="Y45" s="2" t="str">
        <v>L</v>
      </c>
      <c r="Z45" s="2" t="str">
        <f>IF((QUOTIENT(Z10+Z11,2))&lt;2,2-QUOTIENT(Z10+Z11,2),"")</f>
        <v/>
      </c>
      <c r="AA45" s="2" t="str">
        <v>L</v>
      </c>
      <c r="AB45" s="2" t="str">
        <f>IF((QUOTIENT(AB10+AB11,2))&lt;2,2-QUOTIENT(AB10+AB11,2),"")</f>
        <v/>
      </c>
      <c r="AC45" s="2" t="str">
        <v>L</v>
      </c>
      <c r="AD45" s="2" t="str">
        <f>IF((QUOTIENT(AD10+AD11,2))&lt;2,2-QUOTIENT(AD10+AD11,2),"")</f>
        <v/>
      </c>
      <c r="AE45" s="2" t="str">
        <v>L</v>
      </c>
      <c r="AF45" s="2" t="str">
        <f>IF((QUOTIENT(AF10+AF11,2))&lt;2,2-QUOTIENT(AF10+AF11,2),"")</f>
        <v/>
      </c>
      <c r="AG45" s="2" t="str">
        <v>L</v>
      </c>
      <c r="AH45" s="2" t="str">
        <f>IF((QUOTIENT(AH10+AH11,2))&lt;2,2-QUOTIENT(AH10+AH11,2),"")</f>
        <v/>
      </c>
      <c r="AI45" s="2" t="str">
        <v>L</v>
      </c>
      <c r="AJ45" s="2" t="str">
        <f>IF((QUOTIENT(AJ10+AJ11,2))&lt;2,2-QUOTIENT(AJ10+AJ11,2),"")</f>
        <v/>
      </c>
      <c r="AK45" s="2" t="str">
        <v>L</v>
      </c>
      <c r="AL45" s="2" t="str">
        <f>IF((QUOTIENT(AL10+AL11,2))&lt;2,2-QUOTIENT(AL10+AL11,2),"")</f>
        <v/>
      </c>
      <c r="AM45" s="2" t="str">
        <v>L</v>
      </c>
      <c r="AN45" s="2" t="str">
        <f>IF((QUOTIENT(AN10+AN11,2))&lt;2,2-QUOTIENT(AN10+AN11,2),"")</f>
        <v/>
      </c>
      <c r="AO45" s="2" t="str">
        <v>L</v>
      </c>
    </row>
    <row r="46">
      <c r="D46" s="2" t="str">
        <v>R</v>
      </c>
      <c r="F46" s="2" t="str">
        <v>R</v>
      </c>
      <c r="H46" s="2" t="str">
        <v>R</v>
      </c>
      <c r="J46" s="2" t="str">
        <v>R</v>
      </c>
      <c r="L46" s="2" t="str">
        <v>R</v>
      </c>
      <c r="N46" s="2" t="str">
        <v>R</v>
      </c>
      <c r="P46" s="2" t="str">
        <v>R</v>
      </c>
      <c r="R46" s="2" t="str">
        <v>R</v>
      </c>
      <c r="T46" s="2" t="str">
        <v>R</v>
      </c>
      <c r="Y46" s="2" t="str">
        <v>R</v>
      </c>
      <c r="AA46" s="2" t="str">
        <v>R</v>
      </c>
      <c r="AC46" s="2" t="str">
        <v>R</v>
      </c>
      <c r="AE46" s="2" t="str">
        <v>R</v>
      </c>
      <c r="AG46" s="2" t="str">
        <v>R</v>
      </c>
      <c r="AI46" s="2" t="str">
        <v>R</v>
      </c>
      <c r="AK46" s="2" t="str">
        <v>R</v>
      </c>
      <c r="AM46" s="2" t="str">
        <v>R</v>
      </c>
      <c r="AO46" s="2" t="str">
        <v>R</v>
      </c>
    </row>
    <row r="47">
      <c r="B47" s="2" t="str">
        <v>+0.75</v>
      </c>
      <c r="D47" s="2" t="str">
        <v>L</v>
      </c>
      <c r="E47" s="2" t="str">
        <f>IF(QUOTIENT(E12+E13,2)&lt;2,2-QUOTIENT(E12+E13,2),"")</f>
        <v/>
      </c>
      <c r="F47" s="2" t="str">
        <v>L</v>
      </c>
      <c r="G47" s="2" t="str">
        <f>IF((QUOTIENT(G12+G13,2))&lt;2,2-QUOTIENT(G12+G13,2),"")</f>
        <v/>
      </c>
      <c r="H47" s="2" t="str">
        <v>L</v>
      </c>
      <c r="I47" s="2" t="str">
        <f>IF((QUOTIENT(I12+I13,2))&lt;2,2-QUOTIENT(I12+I13,2),"")</f>
        <v/>
      </c>
      <c r="J47" s="2" t="str">
        <v>L</v>
      </c>
      <c r="K47" s="2" t="str">
        <f>IF((QUOTIENT(K12+K13,2))&lt;2,2-QUOTIENT(K12+K13,2),"")</f>
        <v/>
      </c>
      <c r="L47" s="2" t="str">
        <v>L</v>
      </c>
      <c r="M47" s="2" t="str">
        <f>IF((QUOTIENT(M12+M13,2))&lt;2,2-QUOTIENT(M12+M13,2),"")</f>
        <v/>
      </c>
      <c r="N47" s="2" t="str">
        <v>L</v>
      </c>
      <c r="O47" s="2" t="str">
        <f>IF((QUOTIENT(O12+O13,2))&lt;2,2-QUOTIENT(O12+O13,2),"")</f>
        <v/>
      </c>
      <c r="P47" s="2" t="str">
        <v>L</v>
      </c>
      <c r="Q47" s="2" t="str">
        <f>IF((QUOTIENT(Q12+Q13,2))&lt;2,2-QUOTIENT(Q12+Q13,2),"")</f>
        <v/>
      </c>
      <c r="R47" s="2" t="str">
        <v>L</v>
      </c>
      <c r="S47" s="2" t="str">
        <f>IF((QUOTIENT(S12+S13,2))&lt;2,2-QUOTIENT(S12+S13,2),"")</f>
        <v/>
      </c>
      <c r="T47" s="2" t="str">
        <v>L</v>
      </c>
      <c r="W47" s="2" t="str">
        <v>-1.00</v>
      </c>
      <c r="Y47" s="2" t="str">
        <v>L</v>
      </c>
      <c r="Z47" s="2" t="str">
        <f>IF((QUOTIENT(Z12+Z13,2))&lt;2,2-QUOTIENT(Z12+Z13,2),"")</f>
        <v/>
      </c>
      <c r="AA47" s="2" t="str">
        <v>L</v>
      </c>
      <c r="AB47" s="2" t="str">
        <f>IF((QUOTIENT(AB12+AB13,2))&lt;2,2-QUOTIENT(AB12+AB13,2),"")</f>
        <v/>
      </c>
      <c r="AC47" s="2" t="str">
        <v>L</v>
      </c>
      <c r="AD47" s="2" t="str">
        <f>IF((QUOTIENT(AD12+AD13,2))&lt;2,2-QUOTIENT(AD12+AD13,2),"")</f>
        <v/>
      </c>
      <c r="AE47" s="2" t="str">
        <v>L</v>
      </c>
      <c r="AF47" s="2" t="str">
        <f>IF((QUOTIENT(AF12+AF13,2))&lt;2,2-QUOTIENT(AF12+AF13,2),"")</f>
        <v/>
      </c>
      <c r="AG47" s="2" t="str">
        <v>L</v>
      </c>
      <c r="AH47" s="2" t="str">
        <f>IF((QUOTIENT(AH12+AH13,2))&lt;2,2-QUOTIENT(AH12+AH13,2),"")</f>
        <v/>
      </c>
      <c r="AI47" s="2" t="str">
        <v>L</v>
      </c>
      <c r="AJ47" s="2" t="str">
        <f>IF((QUOTIENT(AJ12+AJ13,2))&lt;2,2-QUOTIENT(AJ12+AJ13,2),"")</f>
        <v/>
      </c>
      <c r="AK47" s="2" t="str">
        <v>L</v>
      </c>
      <c r="AL47" s="2" t="str">
        <f>IF((QUOTIENT(AL12+AL13,2))&lt;2,2-QUOTIENT(AL12+AL13,2),"")</f>
        <v/>
      </c>
      <c r="AM47" s="2" t="str">
        <v>L</v>
      </c>
      <c r="AN47" s="2" t="str">
        <f>IF((QUOTIENT(AN12+AN13,2))&lt;2,2-QUOTIENT(AN12+AN13,2),"")</f>
        <v/>
      </c>
      <c r="AO47" s="2" t="str">
        <v>L</v>
      </c>
    </row>
    <row r="48">
      <c r="D48" s="2" t="str">
        <v>R</v>
      </c>
      <c r="F48" s="2" t="str">
        <v>R</v>
      </c>
      <c r="H48" s="2" t="str">
        <v>R</v>
      </c>
      <c r="J48" s="2" t="str">
        <v>R</v>
      </c>
      <c r="L48" s="2" t="str">
        <v>R</v>
      </c>
      <c r="N48" s="2" t="str">
        <v>R</v>
      </c>
      <c r="P48" s="2" t="str">
        <v>R</v>
      </c>
      <c r="R48" s="2" t="str">
        <v>R</v>
      </c>
      <c r="T48" s="2" t="str">
        <v>R</v>
      </c>
      <c r="Y48" s="2" t="str">
        <v>R</v>
      </c>
      <c r="AA48" s="2" t="str">
        <v>R</v>
      </c>
      <c r="AC48" s="2" t="str">
        <v>R</v>
      </c>
      <c r="AE48" s="2" t="str">
        <v>R</v>
      </c>
      <c r="AG48" s="2" t="str">
        <v>R</v>
      </c>
      <c r="AI48" s="2" t="str">
        <v>R</v>
      </c>
      <c r="AK48" s="2" t="str">
        <v>R</v>
      </c>
      <c r="AM48" s="2" t="str">
        <v>R</v>
      </c>
      <c r="AO48" s="2" t="str">
        <v>R</v>
      </c>
    </row>
    <row r="49">
      <c r="B49" s="2" t="str">
        <v>+1.00</v>
      </c>
      <c r="D49" s="2" t="str">
        <v>L</v>
      </c>
      <c r="E49" s="2" t="str">
        <f>IF(QUOTIENT(E14+E15,2)&lt;2,2-QUOTIENT(E14+E15,2),"")</f>
        <v/>
      </c>
      <c r="F49" s="2" t="str">
        <v>L</v>
      </c>
      <c r="G49" s="2" t="str">
        <f>IF((QUOTIENT(G14+G15,2))&lt;2,2-QUOTIENT(G14+G15,2),"")</f>
        <v/>
      </c>
      <c r="H49" s="2" t="str">
        <v>L</v>
      </c>
      <c r="I49" s="2" t="str">
        <f>IF((QUOTIENT(I14+I15,2))&lt;2,2-QUOTIENT(I14+I15,2),"")</f>
        <v/>
      </c>
      <c r="J49" s="2" t="str">
        <v>L</v>
      </c>
      <c r="K49" s="2" t="str">
        <f>IF((QUOTIENT(K14+K15,2))&lt;2,2-QUOTIENT(K14+K15,2),"")</f>
        <v/>
      </c>
      <c r="L49" s="2" t="str">
        <v>L</v>
      </c>
      <c r="M49" s="2" t="str">
        <f>IF((QUOTIENT(M14+M15,2))&lt;2,2-QUOTIENT(M14+M15,2),"")</f>
        <v/>
      </c>
      <c r="N49" s="2" t="str">
        <v>L</v>
      </c>
      <c r="O49" s="2" t="str">
        <f>IF((QUOTIENT(O14+O15,2))&lt;2,2-QUOTIENT(O14+O15,2),"")</f>
        <v/>
      </c>
      <c r="P49" s="2" t="str">
        <v>L</v>
      </c>
      <c r="Q49" s="2">
        <f>IF((QUOTIENT(Q14+Q15,2))&lt;2,2-QUOTIENT(Q14+Q15,2),"")</f>
        <v>1</v>
      </c>
      <c r="R49" s="2" t="str">
        <v>L</v>
      </c>
      <c r="S49" s="2" t="str">
        <f>IF((QUOTIENT(S14+S15,2))&lt;2,2-QUOTIENT(S14+S15,2),"")</f>
        <v/>
      </c>
      <c r="T49" s="2" t="str">
        <v>L</v>
      </c>
      <c r="W49" s="2" t="str">
        <v>-1.25</v>
      </c>
      <c r="Y49" s="2" t="str">
        <v>L</v>
      </c>
      <c r="Z49" s="2" t="str">
        <f>IF((QUOTIENT(Z14+Z15,2))&lt;2,2-QUOTIENT(Z14+Z15,2),"")</f>
        <v/>
      </c>
      <c r="AA49" s="2" t="str">
        <v>L</v>
      </c>
      <c r="AB49" s="2" t="str">
        <f>IF((QUOTIENT(AB14+AB15,2))&lt;2,2-QUOTIENT(AB14+AB15,2),"")</f>
        <v/>
      </c>
      <c r="AC49" s="2" t="str">
        <v>L</v>
      </c>
      <c r="AD49" s="2" t="str">
        <f>IF((QUOTIENT(AD14+AD15,2))&lt;2,2-QUOTIENT(AD14+AD15,2),"")</f>
        <v/>
      </c>
      <c r="AE49" s="2" t="str">
        <v>L</v>
      </c>
      <c r="AF49" s="2" t="str">
        <f>IF((QUOTIENT(AF14+AF15,2))&lt;2,2-QUOTIENT(AF14+AF15,2),"")</f>
        <v/>
      </c>
      <c r="AG49" s="2" t="str">
        <v>L</v>
      </c>
      <c r="AH49" s="2" t="str">
        <f>IF((QUOTIENT(AH14+AH15,2))&lt;2,2-QUOTIENT(AH14+AH15,2),"")</f>
        <v/>
      </c>
      <c r="AI49" s="2" t="str">
        <v>L</v>
      </c>
      <c r="AJ49" s="2" t="str">
        <f>IF((QUOTIENT(AJ14+AJ15,2))&lt;2,2-QUOTIENT(AJ14+AJ15,2),"")</f>
        <v/>
      </c>
      <c r="AK49" s="2" t="str">
        <v>L</v>
      </c>
      <c r="AL49" s="2" t="str">
        <f>IF((QUOTIENT(AL14+AL15,2))&lt;2,2-QUOTIENT(AL14+AL15,2),"")</f>
        <v/>
      </c>
      <c r="AM49" s="2" t="str">
        <v>L</v>
      </c>
      <c r="AN49" s="2" t="str">
        <f>IF((QUOTIENT(AN14+AN15,2))&lt;2,2-QUOTIENT(AN14+AN15,2),"")</f>
        <v/>
      </c>
      <c r="AO49" s="2" t="str">
        <v>L</v>
      </c>
    </row>
    <row r="50">
      <c r="D50" s="2" t="str">
        <v>R</v>
      </c>
      <c r="F50" s="2" t="str">
        <v>R</v>
      </c>
      <c r="H50" s="2" t="str">
        <v>R</v>
      </c>
      <c r="J50" s="2" t="str">
        <v>R</v>
      </c>
      <c r="L50" s="2" t="str">
        <v>R</v>
      </c>
      <c r="N50" s="2" t="str">
        <v>R</v>
      </c>
      <c r="P50" s="2" t="str">
        <v>R</v>
      </c>
      <c r="R50" s="2" t="str">
        <v>R</v>
      </c>
      <c r="T50" s="2" t="str">
        <v>R</v>
      </c>
      <c r="Y50" s="2" t="str">
        <v>R</v>
      </c>
      <c r="AA50" s="2" t="str">
        <v>R</v>
      </c>
      <c r="AC50" s="2" t="str">
        <v>R</v>
      </c>
      <c r="AE50" s="2" t="str">
        <v>R</v>
      </c>
      <c r="AG50" s="2" t="str">
        <v>R</v>
      </c>
      <c r="AI50" s="2" t="str">
        <v>R</v>
      </c>
      <c r="AK50" s="2" t="str">
        <v>R</v>
      </c>
      <c r="AM50" s="2" t="str">
        <v>R</v>
      </c>
      <c r="AO50" s="2" t="str">
        <v>R</v>
      </c>
    </row>
    <row r="51">
      <c r="B51" s="2" t="str">
        <v>+1.25</v>
      </c>
      <c r="D51" s="2" t="str">
        <v>L</v>
      </c>
      <c r="E51" s="2" t="str">
        <f>IF(QUOTIENT(E16+E17,2)&lt;2,2-QUOTIENT(E16+E17,2),"")</f>
        <v/>
      </c>
      <c r="F51" s="2" t="str">
        <v>L</v>
      </c>
      <c r="G51" s="2" t="str">
        <f>IF((QUOTIENT(G16+G17,2))&lt;2,2-QUOTIENT(G16+G17,2),"")</f>
        <v/>
      </c>
      <c r="H51" s="2" t="str">
        <v>L</v>
      </c>
      <c r="I51" s="2" t="str">
        <f>IF((QUOTIENT(I16+I17,2))&lt;2,2-QUOTIENT(I16+I17,2),"")</f>
        <v/>
      </c>
      <c r="J51" s="2" t="str">
        <v>L</v>
      </c>
      <c r="K51" s="2" t="str">
        <f>IF((QUOTIENT(K16+K17,2))&lt;2,2-QUOTIENT(K16+K17,2),"")</f>
        <v/>
      </c>
      <c r="L51" s="2" t="str">
        <v>L</v>
      </c>
      <c r="M51" s="2" t="str">
        <f>IF((QUOTIENT(M16+M17,2))&lt;2,2-QUOTIENT(M16+M17,2),"")</f>
        <v/>
      </c>
      <c r="N51" s="2" t="str">
        <v>L</v>
      </c>
      <c r="O51" s="2" t="str">
        <f>IF((QUOTIENT(O16+O17,2))&lt;2,2-QUOTIENT(O16+O17,2),"")</f>
        <v/>
      </c>
      <c r="P51" s="2" t="str">
        <v>L</v>
      </c>
      <c r="Q51" s="2">
        <f>IF((QUOTIENT(Q16+Q17,2))&lt;2,2-QUOTIENT(Q16+Q17,2),"")</f>
        <v>1</v>
      </c>
      <c r="R51" s="2" t="str">
        <v>L</v>
      </c>
      <c r="S51" s="2" t="str">
        <f>IF((QUOTIENT(S16+S17,2))&lt;2,2-QUOTIENT(S16+S17,2),"")</f>
        <v/>
      </c>
      <c r="T51" s="2" t="str">
        <v>L</v>
      </c>
      <c r="W51" s="2" t="str">
        <v>-1.50</v>
      </c>
      <c r="Y51" s="2" t="str">
        <v>L</v>
      </c>
      <c r="Z51" s="2" t="str">
        <f>IF((QUOTIENT(Z16+Z17,2))&lt;2,2-QUOTIENT(Z16+Z17,2),"")</f>
        <v/>
      </c>
      <c r="AA51" s="2" t="str">
        <v>L</v>
      </c>
      <c r="AB51" s="2" t="str">
        <f>IF((QUOTIENT(AB16+AB17,2))&lt;2,2-QUOTIENT(AB16+AB17,2),"")</f>
        <v/>
      </c>
      <c r="AC51" s="2" t="str">
        <v>L</v>
      </c>
      <c r="AD51" s="2" t="str">
        <f>IF((QUOTIENT(AD16+AD17,2))&lt;2,2-QUOTIENT(AD16+AD17,2),"")</f>
        <v/>
      </c>
      <c r="AE51" s="2" t="str">
        <v>L</v>
      </c>
      <c r="AF51" s="2" t="str">
        <f>IF((QUOTIENT(AF16+AF17,2))&lt;2,2-QUOTIENT(AF16+AF17,2),"")</f>
        <v/>
      </c>
      <c r="AG51" s="2" t="str">
        <v>L</v>
      </c>
      <c r="AH51" s="2" t="str">
        <f>IF((QUOTIENT(AH16+AH17,2))&lt;2,2-QUOTIENT(AH16+AH17,2),"")</f>
        <v/>
      </c>
      <c r="AI51" s="2" t="str">
        <v>L</v>
      </c>
      <c r="AJ51" s="2" t="str">
        <f>IF((QUOTIENT(AJ16+AJ17,2))&lt;2,2-QUOTIENT(AJ16+AJ17,2),"")</f>
        <v/>
      </c>
      <c r="AK51" s="2" t="str">
        <v>L</v>
      </c>
      <c r="AL51" s="2" t="str">
        <f>IF((QUOTIENT(AL16+AL17,2))&lt;2,2-QUOTIENT(AL16+AL17,2),"")</f>
        <v/>
      </c>
      <c r="AM51" s="2" t="str">
        <v>L</v>
      </c>
      <c r="AN51" s="2" t="str">
        <f>IF((QUOTIENT(AN16+AN17,2))&lt;2,2-QUOTIENT(AN16+AN17,2),"")</f>
        <v/>
      </c>
      <c r="AO51" s="2" t="str">
        <v>L</v>
      </c>
    </row>
    <row r="52">
      <c r="D52" s="2" t="str">
        <v>R</v>
      </c>
      <c r="F52" s="2" t="str">
        <v>R</v>
      </c>
      <c r="H52" s="2" t="str">
        <v>R</v>
      </c>
      <c r="J52" s="2" t="str">
        <v>R</v>
      </c>
      <c r="L52" s="2" t="str">
        <v>R</v>
      </c>
      <c r="N52" s="2" t="str">
        <v>R</v>
      </c>
      <c r="P52" s="2" t="str">
        <v>R</v>
      </c>
      <c r="R52" s="2" t="str">
        <v>R</v>
      </c>
      <c r="T52" s="2" t="str">
        <v>R</v>
      </c>
      <c r="Y52" s="2" t="str">
        <v>R</v>
      </c>
      <c r="AA52" s="2" t="str">
        <v>R</v>
      </c>
      <c r="AC52" s="2" t="str">
        <v>R</v>
      </c>
      <c r="AE52" s="2" t="str">
        <v>R</v>
      </c>
      <c r="AG52" s="2" t="str">
        <v>R</v>
      </c>
      <c r="AI52" s="2" t="str">
        <v>R</v>
      </c>
      <c r="AK52" s="2" t="str">
        <v>R</v>
      </c>
      <c r="AM52" s="2" t="str">
        <v>R</v>
      </c>
      <c r="AO52" s="2" t="str">
        <v>R</v>
      </c>
    </row>
    <row r="53">
      <c r="B53" s="2" t="str">
        <v>+1.50</v>
      </c>
      <c r="D53" s="2" t="str">
        <v>L</v>
      </c>
      <c r="E53" s="2" t="str">
        <f>IF(QUOTIENT(E18+E19,2)&lt;2,2-QUOTIENT(E18+E19,2),"")</f>
        <v/>
      </c>
      <c r="F53" s="2" t="str">
        <v>L</v>
      </c>
      <c r="G53" s="2" t="str">
        <f>IF((QUOTIENT(G18+G19,2))&lt;2,2-QUOTIENT(G18+G19,2),"")</f>
        <v/>
      </c>
      <c r="H53" s="2" t="str">
        <v>L</v>
      </c>
      <c r="I53" s="2" t="str">
        <f>IF((QUOTIENT(I18+I19,2))&lt;2,2-QUOTIENT(I18+I19,2),"")</f>
        <v/>
      </c>
      <c r="J53" s="2" t="str">
        <v>L</v>
      </c>
      <c r="K53" s="2" t="str">
        <f>IF((QUOTIENT(K18+K19,2))&lt;2,2-QUOTIENT(K18+K19,2),"")</f>
        <v/>
      </c>
      <c r="L53" s="2" t="str">
        <v>L</v>
      </c>
      <c r="M53" s="2" t="str">
        <f>IF((QUOTIENT(M18+M19,2))&lt;2,2-QUOTIENT(M18+M19,2),"")</f>
        <v/>
      </c>
      <c r="N53" s="2" t="str">
        <v>L</v>
      </c>
      <c r="O53" s="2" t="str">
        <f>IF((QUOTIENT(O18+O19,2))&lt;2,2-QUOTIENT(O18+O19,2),"")</f>
        <v/>
      </c>
      <c r="P53" s="2" t="str">
        <v>L</v>
      </c>
      <c r="Q53" s="2">
        <f>IF((QUOTIENT(Q18+Q19,2))&lt;2,2-QUOTIENT(Q18+Q19,2),"")</f>
        <v>2</v>
      </c>
      <c r="R53" s="2" t="str">
        <v>L</v>
      </c>
      <c r="S53" s="2" t="str">
        <f>IF((QUOTIENT(S18+S19,2))&lt;2,2-QUOTIENT(S18+S19,2),"")</f>
        <v/>
      </c>
      <c r="T53" s="2" t="str">
        <v>L</v>
      </c>
      <c r="W53" s="2" t="str">
        <v>-1.75</v>
      </c>
      <c r="Y53" s="2" t="str">
        <v>L</v>
      </c>
      <c r="Z53" s="2" t="str">
        <f>IF((QUOTIENT(Z18+Z19,2))&lt;2,2-QUOTIENT(Z18+Z19,2),"")</f>
        <v/>
      </c>
      <c r="AA53" s="2" t="str">
        <v>L</v>
      </c>
      <c r="AB53" s="2" t="str">
        <f>IF((QUOTIENT(AB18+AB19,2))&lt;2,2-QUOTIENT(AB18+AB19,2),"")</f>
        <v/>
      </c>
      <c r="AC53" s="2" t="str">
        <v>L</v>
      </c>
      <c r="AD53" s="2" t="str">
        <f>IF((QUOTIENT(AD18+AD19,2))&lt;2,2-QUOTIENT(AD18+AD19,2),"")</f>
        <v/>
      </c>
      <c r="AE53" s="2" t="str">
        <v>L</v>
      </c>
      <c r="AF53" s="2" t="str">
        <f>IF((QUOTIENT(AF18+AF19,2))&lt;2,2-QUOTIENT(AF18+AF19,2),"")</f>
        <v/>
      </c>
      <c r="AG53" s="2" t="str">
        <v>L</v>
      </c>
      <c r="AH53" s="2" t="str">
        <f>IF((QUOTIENT(AH18+AH19,2))&lt;2,2-QUOTIENT(AH18+AH19,2),"")</f>
        <v/>
      </c>
      <c r="AI53" s="2" t="str">
        <v>L</v>
      </c>
      <c r="AJ53" s="2" t="str">
        <f>IF((QUOTIENT(AJ18+AJ19,2))&lt;2,2-QUOTIENT(AJ18+AJ19,2),"")</f>
        <v/>
      </c>
      <c r="AK53" s="2" t="str">
        <v>L</v>
      </c>
      <c r="AL53" s="2" t="str">
        <f>IF((QUOTIENT(AL18+AL19,2))&lt;2,2-QUOTIENT(AL18+AL19,2),"")</f>
        <v/>
      </c>
      <c r="AM53" s="2" t="str">
        <v>L</v>
      </c>
      <c r="AN53" s="2" t="str">
        <f>IF((QUOTIENT(AN18+AN19,2))&lt;2,2-QUOTIENT(AN18+AN19,2),"")</f>
        <v/>
      </c>
      <c r="AO53" s="2" t="str">
        <v>L</v>
      </c>
    </row>
    <row r="54">
      <c r="D54" s="2" t="str">
        <v>R</v>
      </c>
      <c r="F54" s="2" t="str">
        <v>R</v>
      </c>
      <c r="H54" s="2" t="str">
        <v>R</v>
      </c>
      <c r="J54" s="2" t="str">
        <v>R</v>
      </c>
      <c r="L54" s="2" t="str">
        <v>R</v>
      </c>
      <c r="N54" s="2" t="str">
        <v>R</v>
      </c>
      <c r="P54" s="2" t="str">
        <v>R</v>
      </c>
      <c r="R54" s="2" t="str">
        <v>R</v>
      </c>
      <c r="T54" s="2" t="str">
        <v>R</v>
      </c>
      <c r="Y54" s="2" t="str">
        <v>R</v>
      </c>
      <c r="AA54" s="2" t="str">
        <v>R</v>
      </c>
      <c r="AC54" s="2" t="str">
        <v>R</v>
      </c>
      <c r="AE54" s="2" t="str">
        <v>R</v>
      </c>
      <c r="AG54" s="2" t="str">
        <v>R</v>
      </c>
      <c r="AI54" s="2" t="str">
        <v>R</v>
      </c>
      <c r="AK54" s="2" t="str">
        <v>R</v>
      </c>
      <c r="AM54" s="2" t="str">
        <v>R</v>
      </c>
      <c r="AO54" s="2" t="str">
        <v>R</v>
      </c>
    </row>
    <row r="55">
      <c r="B55" s="2" t="str">
        <v>+1.75</v>
      </c>
      <c r="D55" s="2" t="str">
        <v>L</v>
      </c>
      <c r="E55" s="2" t="str">
        <f>IF(QUOTIENT(E20+E21,2)&lt;2,2-QUOTIENT(E20+E21,2),"")</f>
        <v/>
      </c>
      <c r="F55" s="2" t="str">
        <v>L</v>
      </c>
      <c r="G55" s="2" t="str">
        <f>IF((QUOTIENT(G20+G21,2))&lt;2,2-QUOTIENT(G20+G21,2),"")</f>
        <v/>
      </c>
      <c r="H55" s="2" t="str">
        <v>L</v>
      </c>
      <c r="I55" s="2" t="str">
        <f>IF((QUOTIENT(I20+I21,2))&lt;2,2-QUOTIENT(I20+I21,2),"")</f>
        <v/>
      </c>
      <c r="J55" s="2" t="str">
        <v>L</v>
      </c>
      <c r="K55" s="2" t="str">
        <f>IF((QUOTIENT(K20+K21,2))&lt;2,2-QUOTIENT(K20+K21,2),"")</f>
        <v/>
      </c>
      <c r="L55" s="2" t="str">
        <v>L</v>
      </c>
      <c r="M55" s="2" t="str">
        <f>IF((QUOTIENT(M20+M21,2))&lt;2,2-QUOTIENT(M20+M21,2),"")</f>
        <v/>
      </c>
      <c r="N55" s="2" t="str">
        <v>L</v>
      </c>
      <c r="O55" s="2" t="str">
        <f>IF((QUOTIENT(O20+O21,2))&lt;2,2-QUOTIENT(O20+O21,2),"")</f>
        <v/>
      </c>
      <c r="P55" s="2" t="str">
        <v>L</v>
      </c>
      <c r="Q55" s="2" t="str">
        <f>IF((QUOTIENT(Q20+Q21,2))&lt;2,2-QUOTIENT(Q20+Q21,2),"")</f>
        <v/>
      </c>
      <c r="R55" s="2" t="str">
        <v>L</v>
      </c>
      <c r="S55" s="2" t="str">
        <f>IF((QUOTIENT(S20+S21,2))&lt;2,2-QUOTIENT(S20+S21,2),"")</f>
        <v/>
      </c>
      <c r="T55" s="2" t="str">
        <v>L</v>
      </c>
      <c r="W55" s="2" t="str">
        <v>-2.00</v>
      </c>
      <c r="Y55" s="2" t="str">
        <v>L</v>
      </c>
      <c r="Z55" s="2" t="str">
        <f>IF((QUOTIENT(Z20+Z21,2))&lt;2,2-QUOTIENT(Z20+Z21,2),"")</f>
        <v/>
      </c>
      <c r="AA55" s="2" t="str">
        <v>L</v>
      </c>
      <c r="AB55" s="2" t="str">
        <f>IF((QUOTIENT(AB20+AB21,2))&lt;2,2-QUOTIENT(AB20+AB21,2),"")</f>
        <v/>
      </c>
      <c r="AC55" s="2" t="str">
        <v>L</v>
      </c>
      <c r="AD55" s="2" t="str">
        <f>IF((QUOTIENT(AD20+AD21,2))&lt;2,2-QUOTIENT(AD20+AD21,2),"")</f>
        <v/>
      </c>
      <c r="AE55" s="2" t="str">
        <v>L</v>
      </c>
      <c r="AF55" s="2" t="str">
        <f>IF((QUOTIENT(AF20+AF21,2))&lt;2,2-QUOTIENT(AF20+AF21,2),"")</f>
        <v/>
      </c>
      <c r="AG55" s="2" t="str">
        <v>L</v>
      </c>
      <c r="AH55" s="2" t="str">
        <f>IF((QUOTIENT(AH20+AH21,2))&lt;2,2-QUOTIENT(AH20+AH21,2),"")</f>
        <v/>
      </c>
      <c r="AI55" s="2" t="str">
        <v>L</v>
      </c>
      <c r="AJ55" s="2" t="str">
        <f>IF((QUOTIENT(AJ20+AJ21,2))&lt;2,2-QUOTIENT(AJ20+AJ21,2),"")</f>
        <v/>
      </c>
      <c r="AK55" s="2" t="str">
        <v>L</v>
      </c>
      <c r="AL55" s="2" t="str">
        <f>IF((QUOTIENT(AL20+AL21,2))&lt;2,2-QUOTIENT(AL20+AL21,2),"")</f>
        <v/>
      </c>
      <c r="AM55" s="2" t="str">
        <v>L</v>
      </c>
      <c r="AN55" s="2" t="str">
        <f>IF((QUOTIENT(AN20+AN21,2))&lt;2,2-QUOTIENT(AN20+AN21,2),"")</f>
        <v/>
      </c>
      <c r="AO55" s="2" t="str">
        <v>L</v>
      </c>
    </row>
    <row r="56">
      <c r="D56" s="2" t="str">
        <v>R</v>
      </c>
      <c r="F56" s="2" t="str">
        <v>R</v>
      </c>
      <c r="H56" s="2" t="str">
        <v>R</v>
      </c>
      <c r="J56" s="2" t="str">
        <v>R</v>
      </c>
      <c r="L56" s="2" t="str">
        <v>R</v>
      </c>
      <c r="N56" s="2" t="str">
        <v>R</v>
      </c>
      <c r="P56" s="2" t="str">
        <v>R</v>
      </c>
      <c r="R56" s="2" t="str">
        <v>R</v>
      </c>
      <c r="T56" s="2" t="str">
        <v>R</v>
      </c>
      <c r="Y56" s="2" t="str">
        <v>R</v>
      </c>
      <c r="AA56" s="2" t="str">
        <v>R</v>
      </c>
      <c r="AC56" s="2" t="str">
        <v>R</v>
      </c>
      <c r="AE56" s="2" t="str">
        <v>R</v>
      </c>
      <c r="AG56" s="2" t="str">
        <v>R</v>
      </c>
      <c r="AI56" s="2" t="str">
        <v>R</v>
      </c>
      <c r="AK56" s="2" t="str">
        <v>R</v>
      </c>
      <c r="AM56" s="2" t="str">
        <v>R</v>
      </c>
      <c r="AO56" s="2" t="str">
        <v>R</v>
      </c>
    </row>
    <row r="57">
      <c r="B57" s="2" t="str">
        <v>+2.00</v>
      </c>
      <c r="D57" s="2" t="str">
        <v>L</v>
      </c>
      <c r="E57" s="2" t="str">
        <f>IF(QUOTIENT(E22+E23,2)&lt;2,2-QUOTIENT(E22+E23,2),"")</f>
        <v/>
      </c>
      <c r="F57" s="2" t="str">
        <v>L</v>
      </c>
      <c r="G57" s="2" t="str">
        <f>IF((QUOTIENT(G22+G23,2))&lt;2,2-QUOTIENT(G22+G23,2),"")</f>
        <v/>
      </c>
      <c r="H57" s="2" t="str">
        <v>L</v>
      </c>
      <c r="I57" s="2" t="str">
        <f>IF((QUOTIENT(I22+I23,2))&lt;2,2-QUOTIENT(I22+I23,2),"")</f>
        <v/>
      </c>
      <c r="J57" s="2" t="str">
        <v>L</v>
      </c>
      <c r="K57" s="2" t="str">
        <f>IF((QUOTIENT(K22+K23,2))&lt;2,2-QUOTIENT(K22+K23,2),"")</f>
        <v/>
      </c>
      <c r="L57" s="2" t="str">
        <v>L</v>
      </c>
      <c r="M57" s="2" t="str">
        <f>IF((QUOTIENT(M22+M23,2))&lt;2,2-QUOTIENT(M22+M23,2),"")</f>
        <v/>
      </c>
      <c r="N57" s="2" t="str">
        <v>L</v>
      </c>
      <c r="O57" s="2" t="str">
        <f>IF((QUOTIENT(O22+O23,2))&lt;2,2-QUOTIENT(O22+O23,2),"")</f>
        <v/>
      </c>
      <c r="P57" s="2" t="str">
        <v>L</v>
      </c>
      <c r="Q57" s="2" t="str">
        <f>IF((QUOTIENT(Q22+Q23,2))&lt;2,2-QUOTIENT(Q22+Q23,2),"")</f>
        <v/>
      </c>
      <c r="R57" s="2" t="str">
        <v>L</v>
      </c>
      <c r="S57" s="2" t="str">
        <f>IF((QUOTIENT(S22+S23,2))&lt;2,2-QUOTIENT(S22+S23,2),"")</f>
        <v/>
      </c>
      <c r="T57" s="2" t="str">
        <v>L</v>
      </c>
    </row>
    <row r="58">
      <c r="D58" s="2" t="str">
        <v>R</v>
      </c>
      <c r="F58" s="2" t="str">
        <v>R</v>
      </c>
      <c r="H58" s="2" t="str">
        <v>R</v>
      </c>
      <c r="J58" s="2" t="str">
        <v>R</v>
      </c>
      <c r="L58" s="2" t="str">
        <v>R</v>
      </c>
      <c r="N58" s="2" t="str">
        <v>R</v>
      </c>
      <c r="P58" s="2" t="str">
        <v>R</v>
      </c>
      <c r="R58" s="2" t="str">
        <v>R</v>
      </c>
      <c r="T58" s="2" t="str">
        <v>R</v>
      </c>
    </row>
    <row r="59">
      <c r="B59" s="2" t="str">
        <v>+2.25</v>
      </c>
      <c r="D59" s="2" t="str">
        <v>L</v>
      </c>
      <c r="E59" s="2" t="str">
        <f>IF(QUOTIENT(E24+E25,2)&lt;2,2-QUOTIENT(E24+E25,2),"")</f>
        <v/>
      </c>
      <c r="F59" s="2" t="str">
        <v>L</v>
      </c>
      <c r="G59" s="2" t="str">
        <f>IF((QUOTIENT(G24+G25,2))&lt;2,2-QUOTIENT(G24+G25,2),"")</f>
        <v/>
      </c>
      <c r="H59" s="2" t="str">
        <v>L</v>
      </c>
      <c r="I59" s="2" t="str">
        <f>IF((QUOTIENT(I24+I25,2))&lt;2,2-QUOTIENT(I24+I25,2),"")</f>
        <v/>
      </c>
      <c r="J59" s="2" t="str">
        <v>L</v>
      </c>
      <c r="K59" s="2" t="str">
        <f>IF((QUOTIENT(K24+K25,2))&lt;2,2-QUOTIENT(K24+K25,2),"")</f>
        <v/>
      </c>
      <c r="L59" s="2" t="str">
        <v>L</v>
      </c>
      <c r="M59" s="2" t="str">
        <f>IF((QUOTIENT(M24+M25,2))&lt;2,2-QUOTIENT(M24+M25,2),"")</f>
        <v/>
      </c>
      <c r="N59" s="2" t="str">
        <v>L</v>
      </c>
      <c r="O59" s="2" t="str">
        <f>IF((QUOTIENT(O24+O25,2))&lt;2,2-QUOTIENT(O24+O25,2),"")</f>
        <v/>
      </c>
      <c r="P59" s="2" t="str">
        <v>L</v>
      </c>
      <c r="Q59" s="2" t="str">
        <f>IF((QUOTIENT(Q24+Q25,2))&lt;2,2-QUOTIENT(Q24+Q25,2),"")</f>
        <v/>
      </c>
      <c r="R59" s="2" t="str">
        <v>L</v>
      </c>
      <c r="S59" s="2" t="str">
        <f>IF((QUOTIENT(S24+S25,2))&lt;2,2-QUOTIENT(S24+S25,2),"")</f>
        <v/>
      </c>
      <c r="T59" s="2" t="str">
        <v>L</v>
      </c>
    </row>
    <row r="60">
      <c r="D60" s="2" t="str">
        <v>R</v>
      </c>
      <c r="F60" s="2" t="str">
        <v>R</v>
      </c>
      <c r="H60" s="2" t="str">
        <v>R</v>
      </c>
      <c r="J60" s="2" t="str">
        <v>R</v>
      </c>
      <c r="L60" s="2" t="str">
        <v>R</v>
      </c>
      <c r="N60" s="2" t="str">
        <v>R</v>
      </c>
      <c r="P60" s="2" t="str">
        <v>R</v>
      </c>
      <c r="R60" s="2" t="str">
        <v>R</v>
      </c>
      <c r="T60" s="2" t="str">
        <v>R</v>
      </c>
    </row>
    <row r="61">
      <c r="B61" s="2" t="str">
        <v>+2.50</v>
      </c>
      <c r="D61" s="2" t="str">
        <v>L</v>
      </c>
      <c r="E61" s="2" t="str">
        <f>IF(QUOTIENT(E26+E27,2)&lt;2,2-QUOTIENT(E26+E27,2),"")</f>
        <v/>
      </c>
      <c r="F61" s="2" t="str">
        <v>L</v>
      </c>
      <c r="G61" s="2" t="str">
        <f>IF((QUOTIENT(G26+G27,2))&lt;2,2-QUOTIENT(G26+G27,2),"")</f>
        <v/>
      </c>
      <c r="H61" s="2" t="str">
        <v>L</v>
      </c>
      <c r="I61" s="2" t="str">
        <f>IF((QUOTIENT(I26+I27,2))&lt;2,2-QUOTIENT(I26+I27,2),"")</f>
        <v/>
      </c>
      <c r="J61" s="2" t="str">
        <v>L</v>
      </c>
      <c r="K61" s="2" t="str">
        <f>IF((QUOTIENT(K26+K27,2))&lt;2,2-QUOTIENT(K26+K27,2),"")</f>
        <v/>
      </c>
      <c r="L61" s="2" t="str">
        <v>L</v>
      </c>
      <c r="M61" s="2">
        <f>IF((QUOTIENT(M26+M27,2))&lt;2,2-QUOTIENT(M26+M27,2),"")</f>
        <v>1</v>
      </c>
      <c r="N61" s="2" t="str">
        <v>L</v>
      </c>
      <c r="O61" s="2" t="str">
        <f>IF((QUOTIENT(O26+O27,2))&lt;2,2-QUOTIENT(O26+O27,2),"")</f>
        <v/>
      </c>
      <c r="P61" s="2" t="str">
        <v>L</v>
      </c>
      <c r="Q61" s="2" t="str">
        <f>IF((QUOTIENT(Q26+Q27,2))&lt;2,2-QUOTIENT(Q26+Q27,2),"")</f>
        <v/>
      </c>
      <c r="R61" s="2" t="str">
        <v>L</v>
      </c>
      <c r="S61" s="2" t="str">
        <f>IF((QUOTIENT(S26+S27,2))&lt;2,2-QUOTIENT(S26+S27,2),"")</f>
        <v/>
      </c>
      <c r="T61" s="2" t="str">
        <v>L</v>
      </c>
    </row>
    <row r="62">
      <c r="D62" s="2" t="str">
        <v>R</v>
      </c>
      <c r="F62" s="2" t="str">
        <v>R</v>
      </c>
      <c r="H62" s="2" t="str">
        <v>R</v>
      </c>
      <c r="J62" s="2" t="str">
        <v>R</v>
      </c>
      <c r="L62" s="2" t="str">
        <v>R</v>
      </c>
      <c r="N62" s="2" t="str">
        <v>R</v>
      </c>
      <c r="P62" s="2" t="str">
        <v>R</v>
      </c>
      <c r="R62" s="2" t="str">
        <v>R</v>
      </c>
      <c r="T62" s="2" t="str">
        <v>R</v>
      </c>
    </row>
    <row r="63">
      <c r="B63" s="2" t="str">
        <v>+2.75</v>
      </c>
      <c r="D63" s="2" t="str">
        <v>L</v>
      </c>
      <c r="E63" s="2" t="str">
        <f>IF(QUOTIENT(E28+E29,2)&lt;2,2-QUOTIENT(E28+E29,2),"")</f>
        <v/>
      </c>
      <c r="F63" s="2" t="str">
        <v>L</v>
      </c>
      <c r="G63" s="2" t="str">
        <f>IF((QUOTIENT(G28+G29,2))&lt;2,2-QUOTIENT(G28+G29,2),"")</f>
        <v/>
      </c>
      <c r="H63" s="2" t="str">
        <v>L</v>
      </c>
      <c r="I63" s="2" t="str">
        <f>IF((QUOTIENT(I28+I29,2))&lt;2,2-QUOTIENT(I28+I29,2),"")</f>
        <v/>
      </c>
      <c r="J63" s="2" t="str">
        <v>L</v>
      </c>
      <c r="K63" s="2" t="str">
        <f>IF((QUOTIENT(K28+K29,2))&lt;2,2-QUOTIENT(K28+K29,2),"")</f>
        <v/>
      </c>
      <c r="L63" s="2" t="str">
        <v>L</v>
      </c>
      <c r="M63" s="2" t="str">
        <f>IF((QUOTIENT(M28+M29,2))&lt;2,2-QUOTIENT(M28+M29,2),"")</f>
        <v/>
      </c>
      <c r="N63" s="2" t="str">
        <v>L</v>
      </c>
      <c r="O63" s="2" t="str">
        <f>IF((QUOTIENT(O28+O29,2))&lt;2,2-QUOTIENT(O28+O29,2),"")</f>
        <v/>
      </c>
      <c r="P63" s="2" t="str">
        <v>L</v>
      </c>
      <c r="Q63" s="2" t="str">
        <f>IF((QUOTIENT(Q28+Q29,2))&lt;2,2-QUOTIENT(Q28+Q29,2),"")</f>
        <v/>
      </c>
      <c r="R63" s="2" t="str">
        <v>L</v>
      </c>
      <c r="S63" s="2" t="str">
        <f>IF((QUOTIENT(S28+S29,2))&lt;2,2-QUOTIENT(S28+S29,2),"")</f>
        <v/>
      </c>
      <c r="T63" s="2" t="str">
        <v>L</v>
      </c>
    </row>
    <row r="64">
      <c r="D64" s="2" t="str">
        <v>R</v>
      </c>
      <c r="F64" s="2" t="str">
        <v>R</v>
      </c>
      <c r="H64" s="2" t="str">
        <v>R</v>
      </c>
      <c r="J64" s="2" t="str">
        <v>R</v>
      </c>
      <c r="L64" s="2" t="str">
        <v>R</v>
      </c>
      <c r="N64" s="2" t="str">
        <v>R</v>
      </c>
      <c r="P64" s="2" t="str">
        <v>R</v>
      </c>
      <c r="R64" s="2" t="str">
        <v>R</v>
      </c>
      <c r="T64" s="2" t="str">
        <v>R</v>
      </c>
    </row>
    <row r="65">
      <c r="B65" s="2" t="str">
        <v>+3.00</v>
      </c>
      <c r="D65" s="2" t="str">
        <v>L</v>
      </c>
      <c r="E65" s="2" t="str">
        <f>IF(QUOTIENT(E30+E31,2)&lt;2,2-QUOTIENT(E30+E31,2),"")</f>
        <v/>
      </c>
      <c r="F65" s="2" t="str">
        <v>L</v>
      </c>
      <c r="G65" s="2" t="str">
        <f>IF((QUOTIENT(G30+G31,2))&lt;2,2-QUOTIENT(G30+G31,2),"")</f>
        <v/>
      </c>
      <c r="H65" s="2" t="str">
        <v>L</v>
      </c>
      <c r="I65" s="2" t="str">
        <f>IF((QUOTIENT(I30+I31,2))&lt;2,2-QUOTIENT(I30+I31,2),"")</f>
        <v/>
      </c>
      <c r="J65" s="2" t="str">
        <v>L</v>
      </c>
      <c r="K65" s="2" t="str">
        <f>IF((QUOTIENT(K30+K31,2))&lt;2,2-QUOTIENT(K30+K31,2),"")</f>
        <v/>
      </c>
      <c r="L65" s="2" t="str">
        <v>L</v>
      </c>
      <c r="M65" s="2" t="str">
        <f>IF((QUOTIENT(M30+M31,2))&lt;2,2-QUOTIENT(M30+M31,2),"")</f>
        <v/>
      </c>
      <c r="N65" s="2" t="str">
        <v>L</v>
      </c>
      <c r="O65" s="2" t="str">
        <f>IF((QUOTIENT(O30+O31,2))&lt;2,2-QUOTIENT(O30+O31,2),"")</f>
        <v/>
      </c>
      <c r="P65" s="2" t="str">
        <v>L</v>
      </c>
      <c r="Q65" s="2" t="str">
        <f>IF((QUOTIENT(Q30+Q31,2))&lt;2,2-QUOTIENT(Q30+Q31,2),"")</f>
        <v/>
      </c>
      <c r="R65" s="2" t="str">
        <v>L</v>
      </c>
      <c r="S65" s="2" t="str">
        <f>IF((QUOTIENT(S30+S31,2))&lt;2,2-QUOTIENT(S30+S31,2),"")</f>
        <v/>
      </c>
      <c r="T65" s="2" t="str">
        <v>L</v>
      </c>
    </row>
    <row r="66">
      <c r="D66" s="2" t="str">
        <v>R</v>
      </c>
      <c r="F66" s="2" t="str">
        <v>R</v>
      </c>
      <c r="H66" s="2" t="str">
        <v>R</v>
      </c>
      <c r="J66" s="2" t="str">
        <v>R</v>
      </c>
      <c r="L66" s="2" t="str">
        <v>R</v>
      </c>
      <c r="N66" s="2" t="str">
        <v>R</v>
      </c>
      <c r="P66" s="2" t="str">
        <v>R</v>
      </c>
      <c r="R66" s="2" t="str">
        <v>R</v>
      </c>
      <c r="T66" s="2" t="str">
        <v>R</v>
      </c>
    </row>
  </sheetData>
  <mergeCells count="273"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G45:G46"/>
    <mergeCell ref="M51:M52"/>
    <mergeCell ref="M55:M56"/>
    <mergeCell ref="M59:M60"/>
    <mergeCell ref="M61:M62"/>
    <mergeCell ref="M63:M64"/>
    <mergeCell ref="M65:M66"/>
    <mergeCell ref="O41:O42"/>
    <mergeCell ref="O43:O44"/>
    <mergeCell ref="O45:O46"/>
    <mergeCell ref="O47:O48"/>
    <mergeCell ref="O49:O50"/>
    <mergeCell ref="O55:O56"/>
    <mergeCell ref="O59:O60"/>
    <mergeCell ref="O61:O62"/>
    <mergeCell ref="O63:O64"/>
    <mergeCell ref="O65:O66"/>
    <mergeCell ref="M49:M50"/>
    <mergeCell ref="O51:O52"/>
    <mergeCell ref="M53:M54"/>
    <mergeCell ref="O53:O54"/>
    <mergeCell ref="K41:K42"/>
    <mergeCell ref="K43:K44"/>
    <mergeCell ref="K45:K46"/>
    <mergeCell ref="K47:K48"/>
    <mergeCell ref="K49:K50"/>
    <mergeCell ref="K51:K52"/>
    <mergeCell ref="K55:K56"/>
    <mergeCell ref="K57:K58"/>
    <mergeCell ref="K59:K60"/>
    <mergeCell ref="K53:K54"/>
    <mergeCell ref="G51:G52"/>
    <mergeCell ref="G53:G54"/>
    <mergeCell ref="G55:G56"/>
    <mergeCell ref="G57:G58"/>
    <mergeCell ref="G59:G60"/>
    <mergeCell ref="S59:S60"/>
    <mergeCell ref="S61:S62"/>
    <mergeCell ref="E53:E54"/>
    <mergeCell ref="E51:E52"/>
    <mergeCell ref="I55:I56"/>
    <mergeCell ref="I57:I58"/>
    <mergeCell ref="I59:I60"/>
    <mergeCell ref="I61:I62"/>
    <mergeCell ref="K61:K62"/>
    <mergeCell ref="I51:I52"/>
    <mergeCell ref="I53:I54"/>
    <mergeCell ref="S63:S64"/>
    <mergeCell ref="S65:S66"/>
    <mergeCell ref="E41:E42"/>
    <mergeCell ref="G41:G42"/>
    <mergeCell ref="I41:I42"/>
    <mergeCell ref="G43:G44"/>
    <mergeCell ref="M43:M44"/>
    <mergeCell ref="E43:E44"/>
    <mergeCell ref="E45:E46"/>
    <mergeCell ref="E47:E48"/>
    <mergeCell ref="E49:E50"/>
    <mergeCell ref="I43:I44"/>
    <mergeCell ref="I45:I46"/>
    <mergeCell ref="I47:I48"/>
    <mergeCell ref="I49:I50"/>
    <mergeCell ref="M41:M42"/>
    <mergeCell ref="M45:M46"/>
    <mergeCell ref="M47:M48"/>
    <mergeCell ref="E55:E56"/>
    <mergeCell ref="E57:E58"/>
    <mergeCell ref="E59:E60"/>
    <mergeCell ref="E61:E62"/>
    <mergeCell ref="G47:G48"/>
    <mergeCell ref="G49:G50"/>
    <mergeCell ref="B65:B66"/>
    <mergeCell ref="B57:B58"/>
    <mergeCell ref="B59:B60"/>
    <mergeCell ref="B61:B62"/>
    <mergeCell ref="O57:O58"/>
    <mergeCell ref="M57:M58"/>
    <mergeCell ref="Q59:Q60"/>
    <mergeCell ref="Q61:Q62"/>
    <mergeCell ref="Q63:Q64"/>
    <mergeCell ref="Q65:Q66"/>
    <mergeCell ref="E63:E64"/>
    <mergeCell ref="E65:E66"/>
    <mergeCell ref="G63:G64"/>
    <mergeCell ref="G65:G66"/>
    <mergeCell ref="I63:I64"/>
    <mergeCell ref="I65:I66"/>
    <mergeCell ref="K63:K64"/>
    <mergeCell ref="K65:K66"/>
    <mergeCell ref="G61:G62"/>
    <mergeCell ref="B53:B54"/>
    <mergeCell ref="W53:W54"/>
    <mergeCell ref="B55:B56"/>
    <mergeCell ref="W55:W56"/>
    <mergeCell ref="AJ40:AK40"/>
    <mergeCell ref="AL40:AM40"/>
    <mergeCell ref="AN40:AO40"/>
    <mergeCell ref="A41:A65"/>
    <mergeCell ref="B41:B42"/>
    <mergeCell ref="V41:V65"/>
    <mergeCell ref="W41:W42"/>
    <mergeCell ref="B43:B44"/>
    <mergeCell ref="W43:W44"/>
    <mergeCell ref="B45:B46"/>
    <mergeCell ref="W45:W46"/>
    <mergeCell ref="B47:B48"/>
    <mergeCell ref="W47:W48"/>
    <mergeCell ref="B49:B50"/>
    <mergeCell ref="W49:W50"/>
    <mergeCell ref="B51:B52"/>
    <mergeCell ref="Z40:AA40"/>
    <mergeCell ref="AB40:AC40"/>
    <mergeCell ref="AD40:AE40"/>
    <mergeCell ref="B63:B64"/>
    <mergeCell ref="AF40:AG40"/>
    <mergeCell ref="AH40:AI40"/>
    <mergeCell ref="M40:N40"/>
    <mergeCell ref="O40:P40"/>
    <mergeCell ref="Q40:R40"/>
    <mergeCell ref="S40:T40"/>
    <mergeCell ref="X40:Y40"/>
    <mergeCell ref="C40:D40"/>
    <mergeCell ref="E40:F40"/>
    <mergeCell ref="G40:H40"/>
    <mergeCell ref="I40:J40"/>
    <mergeCell ref="K40:L40"/>
    <mergeCell ref="C1:AF1"/>
    <mergeCell ref="A6:A30"/>
    <mergeCell ref="B6:B7"/>
    <mergeCell ref="B8:B9"/>
    <mergeCell ref="B10:B11"/>
    <mergeCell ref="B24:B25"/>
    <mergeCell ref="B26:B27"/>
    <mergeCell ref="B28:B29"/>
    <mergeCell ref="B30:B31"/>
    <mergeCell ref="C3:T3"/>
    <mergeCell ref="C4:T4"/>
    <mergeCell ref="C5:D5"/>
    <mergeCell ref="E5:F5"/>
    <mergeCell ref="G5:H5"/>
    <mergeCell ref="I5:J5"/>
    <mergeCell ref="B12:B13"/>
    <mergeCell ref="B14:B15"/>
    <mergeCell ref="B16:B17"/>
    <mergeCell ref="B18:B19"/>
    <mergeCell ref="K5:L5"/>
    <mergeCell ref="M5:N5"/>
    <mergeCell ref="O5:P5"/>
    <mergeCell ref="Q5:R5"/>
    <mergeCell ref="S5:T5"/>
    <mergeCell ref="X3:AO3"/>
    <mergeCell ref="X4:AO4"/>
    <mergeCell ref="X5:Y5"/>
    <mergeCell ref="Z5:AA5"/>
    <mergeCell ref="AB5:AC5"/>
    <mergeCell ref="AN5:AO5"/>
    <mergeCell ref="AD5:AE5"/>
    <mergeCell ref="AF5:AG5"/>
    <mergeCell ref="AH5:AI5"/>
    <mergeCell ref="AJ5:AK5"/>
    <mergeCell ref="AL5:AM5"/>
    <mergeCell ref="B20:B21"/>
    <mergeCell ref="B22:B23"/>
    <mergeCell ref="W22:W23"/>
    <mergeCell ref="C38:T38"/>
    <mergeCell ref="X38:AO38"/>
    <mergeCell ref="C39:T39"/>
    <mergeCell ref="X39:AO39"/>
    <mergeCell ref="B37:T37"/>
    <mergeCell ref="B36:AN36"/>
    <mergeCell ref="W24:W25"/>
    <mergeCell ref="W26:W27"/>
    <mergeCell ref="W28:W29"/>
    <mergeCell ref="V6:V30"/>
    <mergeCell ref="W6:W7"/>
    <mergeCell ref="W8:W9"/>
    <mergeCell ref="W10:W11"/>
    <mergeCell ref="W12:W13"/>
    <mergeCell ref="W14:W15"/>
    <mergeCell ref="X41:X42"/>
    <mergeCell ref="X43:X44"/>
    <mergeCell ref="X45:X46"/>
    <mergeCell ref="X47:X48"/>
    <mergeCell ref="X49:X50"/>
    <mergeCell ref="X51:X52"/>
    <mergeCell ref="X53:X54"/>
    <mergeCell ref="X55:X56"/>
    <mergeCell ref="W16:W17"/>
    <mergeCell ref="W18:W19"/>
    <mergeCell ref="W20:W21"/>
    <mergeCell ref="W51:W52"/>
    <mergeCell ref="AB41:AB42"/>
    <mergeCell ref="AB43:AB44"/>
    <mergeCell ref="AB45:AB46"/>
    <mergeCell ref="AB47:AB48"/>
    <mergeCell ref="AB49:AB50"/>
    <mergeCell ref="AB51:AB52"/>
    <mergeCell ref="AB53:AB54"/>
    <mergeCell ref="AB55:AB56"/>
    <mergeCell ref="Z41:Z42"/>
    <mergeCell ref="Z43:Z44"/>
    <mergeCell ref="Z45:Z46"/>
    <mergeCell ref="Z47:Z48"/>
    <mergeCell ref="Z49:Z50"/>
    <mergeCell ref="Z51:Z52"/>
    <mergeCell ref="Z53:Z54"/>
    <mergeCell ref="Z55:Z56"/>
    <mergeCell ref="AF41:AF42"/>
    <mergeCell ref="AF43:AF44"/>
    <mergeCell ref="AF45:AF46"/>
    <mergeCell ref="AF47:AF48"/>
    <mergeCell ref="AF49:AF50"/>
    <mergeCell ref="AF51:AF52"/>
    <mergeCell ref="AF53:AF54"/>
    <mergeCell ref="AF55:AF56"/>
    <mergeCell ref="AD41:AD42"/>
    <mergeCell ref="AD43:AD44"/>
    <mergeCell ref="AD45:AD46"/>
    <mergeCell ref="AD47:AD48"/>
    <mergeCell ref="AD49:AD50"/>
    <mergeCell ref="AD51:AD52"/>
    <mergeCell ref="AD53:AD54"/>
    <mergeCell ref="AD55:AD56"/>
    <mergeCell ref="AJ41:AJ42"/>
    <mergeCell ref="AJ43:AJ44"/>
    <mergeCell ref="AJ45:AJ46"/>
    <mergeCell ref="AJ47:AJ48"/>
    <mergeCell ref="AJ49:AJ50"/>
    <mergeCell ref="AJ51:AJ52"/>
    <mergeCell ref="AJ53:AJ54"/>
    <mergeCell ref="AJ55:AJ56"/>
    <mergeCell ref="AH41:AH42"/>
    <mergeCell ref="AH43:AH44"/>
    <mergeCell ref="AH45:AH46"/>
    <mergeCell ref="AH47:AH48"/>
    <mergeCell ref="AH49:AH50"/>
    <mergeCell ref="AH51:AH52"/>
    <mergeCell ref="AH53:AH54"/>
    <mergeCell ref="AH55:AH56"/>
    <mergeCell ref="AN41:AN42"/>
    <mergeCell ref="AN43:AN44"/>
    <mergeCell ref="AN45:AN46"/>
    <mergeCell ref="AN47:AN48"/>
    <mergeCell ref="AN49:AN50"/>
    <mergeCell ref="AN51:AN52"/>
    <mergeCell ref="AN53:AN54"/>
    <mergeCell ref="AN55:AN56"/>
    <mergeCell ref="AL41:AL42"/>
    <mergeCell ref="AL43:AL44"/>
    <mergeCell ref="AL45:AL46"/>
    <mergeCell ref="AL47:AL48"/>
    <mergeCell ref="AL49:AL50"/>
    <mergeCell ref="AL51:AL52"/>
    <mergeCell ref="AL53:AL54"/>
    <mergeCell ref="AL55:AL56"/>
  </mergeCells>
  <pageMargins left="0.7" right="0.7" top="0.75" bottom="0.75" header="0.3" footer="0.3"/>
  <ignoredErrors>
    <ignoredError numberStoredAsText="1" sqref="A1:AO6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O31"/>
  <sheetViews>
    <sheetView workbookViewId="0" rightToLeft="0"/>
  </sheetViews>
  <sheetData>
    <row r="1">
      <c r="C1" s="2" t="str">
        <v>BIFOCAL FT-L28 FOTOCROMATICO</v>
      </c>
    </row>
    <row r="3">
      <c r="C3" s="2" t="str">
        <v>ADICION</v>
      </c>
      <c r="X3" s="2" t="str">
        <v>ADICION</v>
      </c>
    </row>
    <row r="5">
      <c r="A5" s="2" t="str">
        <v>(+)</v>
      </c>
      <c r="C5" s="2" t="str">
        <v>1.00</v>
      </c>
      <c r="E5" s="2" t="str">
        <v>1.25</v>
      </c>
      <c r="G5" s="2" t="str">
        <v>1.50</v>
      </c>
      <c r="I5" s="2" t="str">
        <v>1.75</v>
      </c>
      <c r="K5" s="2" t="str">
        <v>2.00</v>
      </c>
      <c r="M5" s="2" t="str">
        <v>2.25</v>
      </c>
      <c r="O5" s="2" t="str">
        <v>2.50</v>
      </c>
      <c r="Q5" s="2" t="str">
        <v>2.75</v>
      </c>
      <c r="S5" s="2" t="str">
        <v>3.00</v>
      </c>
      <c r="V5" s="2" t="str">
        <v>(-)</v>
      </c>
      <c r="X5" s="2" t="str">
        <v>1.00</v>
      </c>
      <c r="Z5" s="2" t="str">
        <v>1.25</v>
      </c>
      <c r="AB5" s="2" t="str">
        <v>1.50</v>
      </c>
      <c r="AD5" s="2" t="str">
        <v>1.75</v>
      </c>
      <c r="AF5" s="2" t="str">
        <v>2.00</v>
      </c>
      <c r="AH5" s="2" t="str">
        <v>2.25</v>
      </c>
      <c r="AJ5" s="2" t="str">
        <v>2.50</v>
      </c>
      <c r="AL5" s="2" t="str">
        <v>2.75</v>
      </c>
      <c r="AN5" s="2" t="str">
        <v>3.00</v>
      </c>
    </row>
    <row r="6">
      <c r="A6" s="2" t="str">
        <v>ESFERA</v>
      </c>
      <c r="B6" s="2" t="str">
        <v>0.00</v>
      </c>
      <c r="D6" s="2" t="str">
        <v>L</v>
      </c>
      <c r="F6" s="2" t="str">
        <v>L</v>
      </c>
      <c r="H6" s="2" t="str">
        <v>L</v>
      </c>
      <c r="J6" s="2" t="str">
        <v>L</v>
      </c>
      <c r="L6" s="2" t="str">
        <v>L</v>
      </c>
      <c r="N6" s="2" t="str">
        <v>L</v>
      </c>
      <c r="P6" s="2" t="str">
        <v>L</v>
      </c>
      <c r="R6" s="2" t="str">
        <v>L</v>
      </c>
      <c r="T6" s="2" t="str">
        <v>L</v>
      </c>
      <c r="V6" s="2" t="str">
        <v>ESFERA</v>
      </c>
      <c r="W6" s="2" t="str">
        <v>-0.25</v>
      </c>
      <c r="Y6" s="2" t="str">
        <v>L</v>
      </c>
      <c r="AA6" s="2" t="str">
        <v>L</v>
      </c>
      <c r="AC6" s="2" t="str">
        <v>L</v>
      </c>
      <c r="AE6" s="2" t="str">
        <v>L</v>
      </c>
      <c r="AG6" s="2" t="str">
        <v>L</v>
      </c>
      <c r="AI6" s="2" t="str">
        <v>L</v>
      </c>
      <c r="AK6" s="2" t="str">
        <v>L</v>
      </c>
      <c r="AM6" s="2" t="str">
        <v>L</v>
      </c>
      <c r="AO6" s="2" t="str">
        <v>L</v>
      </c>
    </row>
    <row r="7">
      <c r="D7" s="2" t="str">
        <v>R</v>
      </c>
      <c r="F7" s="2" t="str">
        <v>R</v>
      </c>
      <c r="H7" s="2" t="str">
        <v>R</v>
      </c>
      <c r="J7" s="2" t="str">
        <v>R</v>
      </c>
      <c r="L7" s="2" t="str">
        <v>R</v>
      </c>
      <c r="N7" s="2" t="str">
        <v>R</v>
      </c>
      <c r="P7" s="2" t="str">
        <v>R</v>
      </c>
      <c r="R7" s="2" t="str">
        <v>R</v>
      </c>
      <c r="T7" s="2" t="str">
        <v>R</v>
      </c>
      <c r="Y7" s="2" t="str">
        <v>R</v>
      </c>
      <c r="AA7" s="2" t="str">
        <v>R</v>
      </c>
      <c r="AC7" s="2" t="str">
        <v>R</v>
      </c>
      <c r="AE7" s="2" t="str">
        <v>R</v>
      </c>
      <c r="AG7" s="2" t="str">
        <v>R</v>
      </c>
      <c r="AI7" s="2" t="str">
        <v>R</v>
      </c>
      <c r="AK7" s="2" t="str">
        <v>R</v>
      </c>
      <c r="AM7" s="2" t="str">
        <v>R</v>
      </c>
      <c r="AO7" s="2" t="str">
        <v>R</v>
      </c>
    </row>
    <row r="8">
      <c r="B8" s="2" t="str">
        <v>+0.25</v>
      </c>
      <c r="D8" s="2" t="str">
        <v>L</v>
      </c>
      <c r="F8" s="2" t="str">
        <v>L</v>
      </c>
      <c r="H8" s="2" t="str">
        <v>L</v>
      </c>
      <c r="I8" s="2">
        <v>1</v>
      </c>
      <c r="J8" s="2" t="str">
        <v>L</v>
      </c>
      <c r="K8" s="2">
        <v>1</v>
      </c>
      <c r="L8" s="2" t="str">
        <v>L</v>
      </c>
      <c r="N8" s="2" t="str">
        <v>L</v>
      </c>
      <c r="P8" s="2" t="str">
        <v>L</v>
      </c>
      <c r="Q8" s="2">
        <v>1</v>
      </c>
      <c r="R8" s="2" t="str">
        <v>L</v>
      </c>
      <c r="S8" s="2">
        <v>1</v>
      </c>
      <c r="T8" s="2" t="str">
        <v>L</v>
      </c>
      <c r="W8" s="2" t="str">
        <v>-0.50</v>
      </c>
      <c r="Y8" s="2" t="str">
        <v>L</v>
      </c>
      <c r="AA8" s="2" t="str">
        <v>L</v>
      </c>
      <c r="AC8" s="2" t="str">
        <v>L</v>
      </c>
      <c r="AE8" s="2" t="str">
        <v>L</v>
      </c>
      <c r="AG8" s="2" t="str">
        <v>L</v>
      </c>
      <c r="AI8" s="2" t="str">
        <v>L</v>
      </c>
      <c r="AK8" s="2" t="str">
        <v>L</v>
      </c>
      <c r="AM8" s="2" t="str">
        <v>L</v>
      </c>
      <c r="AO8" s="2" t="str">
        <v>L</v>
      </c>
    </row>
    <row r="9">
      <c r="D9" s="2" t="str">
        <v>R</v>
      </c>
      <c r="F9" s="2" t="str">
        <v>R</v>
      </c>
      <c r="H9" s="2" t="str">
        <v>R</v>
      </c>
      <c r="I9" s="2">
        <v>1</v>
      </c>
      <c r="J9" s="2" t="str">
        <v>R</v>
      </c>
      <c r="K9" s="2">
        <v>1</v>
      </c>
      <c r="L9" s="2" t="str">
        <v>R</v>
      </c>
      <c r="N9" s="2" t="str">
        <v>R</v>
      </c>
      <c r="P9" s="2" t="str">
        <v>R</v>
      </c>
      <c r="R9" s="2" t="str">
        <v>R</v>
      </c>
      <c r="S9" s="2">
        <v>1</v>
      </c>
      <c r="T9" s="2" t="str">
        <v>R</v>
      </c>
      <c r="Y9" s="2" t="str">
        <v>R</v>
      </c>
      <c r="AA9" s="2" t="str">
        <v>R</v>
      </c>
      <c r="AC9" s="2" t="str">
        <v>R</v>
      </c>
      <c r="AE9" s="2" t="str">
        <v>R</v>
      </c>
      <c r="AG9" s="2" t="str">
        <v>R</v>
      </c>
      <c r="AI9" s="2" t="str">
        <v>R</v>
      </c>
      <c r="AK9" s="2" t="str">
        <v>R</v>
      </c>
      <c r="AM9" s="2" t="str">
        <v>R</v>
      </c>
      <c r="AO9" s="2" t="str">
        <v>R</v>
      </c>
    </row>
    <row r="10">
      <c r="B10" s="2" t="str">
        <v>+0.50</v>
      </c>
      <c r="D10" s="2" t="str">
        <v>L</v>
      </c>
      <c r="F10" s="2" t="str">
        <v>L</v>
      </c>
      <c r="G10" s="2">
        <v>1</v>
      </c>
      <c r="H10" s="2" t="str">
        <v>L</v>
      </c>
      <c r="J10" s="2" t="str">
        <v>L</v>
      </c>
      <c r="L10" s="2" t="str">
        <v>L</v>
      </c>
      <c r="N10" s="2" t="str">
        <v>L</v>
      </c>
      <c r="P10" s="2" t="str">
        <v>L</v>
      </c>
      <c r="R10" s="2" t="str">
        <v>L</v>
      </c>
      <c r="T10" s="2" t="str">
        <v>L</v>
      </c>
      <c r="W10" s="2" t="str">
        <v>-0.75</v>
      </c>
      <c r="Y10" s="2" t="str">
        <v>L</v>
      </c>
      <c r="AA10" s="2" t="str">
        <v>L</v>
      </c>
      <c r="AC10" s="2" t="str">
        <v>L</v>
      </c>
      <c r="AE10" s="2" t="str">
        <v>L</v>
      </c>
      <c r="AG10" s="2" t="str">
        <v>L</v>
      </c>
      <c r="AI10" s="2" t="str">
        <v>L</v>
      </c>
      <c r="AK10" s="2" t="str">
        <v>L</v>
      </c>
      <c r="AM10" s="2" t="str">
        <v>L</v>
      </c>
      <c r="AO10" s="2" t="str">
        <v>L</v>
      </c>
    </row>
    <row r="11">
      <c r="D11" s="2" t="str">
        <v>R</v>
      </c>
      <c r="F11" s="2" t="str">
        <v>R</v>
      </c>
      <c r="G11" s="2">
        <v>1</v>
      </c>
      <c r="H11" s="2" t="str">
        <v>R</v>
      </c>
      <c r="J11" s="2" t="str">
        <v>R</v>
      </c>
      <c r="K11" s="2">
        <v>1</v>
      </c>
      <c r="L11" s="2" t="str">
        <v>R</v>
      </c>
      <c r="N11" s="2" t="str">
        <v>R</v>
      </c>
      <c r="O11" s="2">
        <v>1</v>
      </c>
      <c r="P11" s="2" t="str">
        <v>R</v>
      </c>
      <c r="R11" s="2" t="str">
        <v>R</v>
      </c>
      <c r="S11" s="2">
        <v>1</v>
      </c>
      <c r="T11" s="2" t="str">
        <v>R</v>
      </c>
      <c r="Y11" s="2" t="str">
        <v>R</v>
      </c>
      <c r="AA11" s="2" t="str">
        <v>R</v>
      </c>
      <c r="AC11" s="2" t="str">
        <v>R</v>
      </c>
      <c r="AE11" s="2" t="str">
        <v>R</v>
      </c>
      <c r="AG11" s="2" t="str">
        <v>R</v>
      </c>
      <c r="AI11" s="2" t="str">
        <v>R</v>
      </c>
      <c r="AK11" s="2" t="str">
        <v>R</v>
      </c>
      <c r="AM11" s="2" t="str">
        <v>R</v>
      </c>
      <c r="AO11" s="2" t="str">
        <v>R</v>
      </c>
    </row>
    <row r="12">
      <c r="B12" s="2" t="str">
        <v>+0.75</v>
      </c>
      <c r="D12" s="2" t="str">
        <v>L</v>
      </c>
      <c r="F12" s="2" t="str">
        <v>L</v>
      </c>
      <c r="G12" s="2">
        <v>1</v>
      </c>
      <c r="H12" s="2" t="str">
        <v>L</v>
      </c>
      <c r="J12" s="2" t="str">
        <v>L</v>
      </c>
      <c r="L12" s="2" t="str">
        <v>L</v>
      </c>
      <c r="N12" s="2" t="str">
        <v>L</v>
      </c>
      <c r="P12" s="2" t="str">
        <v>L</v>
      </c>
      <c r="R12" s="2" t="str">
        <v>L</v>
      </c>
      <c r="T12" s="2" t="str">
        <v>L</v>
      </c>
      <c r="W12" s="2" t="str">
        <v>-1.00</v>
      </c>
      <c r="Y12" s="2" t="str">
        <v>L</v>
      </c>
      <c r="AA12" s="2" t="str">
        <v>L</v>
      </c>
      <c r="AC12" s="2" t="str">
        <v>L</v>
      </c>
      <c r="AE12" s="2" t="str">
        <v>L</v>
      </c>
      <c r="AG12" s="2" t="str">
        <v>L</v>
      </c>
      <c r="AI12" s="2" t="str">
        <v>L</v>
      </c>
      <c r="AK12" s="2" t="str">
        <v>L</v>
      </c>
      <c r="AM12" s="2" t="str">
        <v>L</v>
      </c>
      <c r="AO12" s="2" t="str">
        <v>L</v>
      </c>
    </row>
    <row r="13">
      <c r="D13" s="2" t="str">
        <v>R</v>
      </c>
      <c r="F13" s="2" t="str">
        <v>R</v>
      </c>
      <c r="G13" s="2">
        <v>1</v>
      </c>
      <c r="H13" s="2" t="str">
        <v>R</v>
      </c>
      <c r="J13" s="2" t="str">
        <v>R</v>
      </c>
      <c r="L13" s="2" t="str">
        <v>R</v>
      </c>
      <c r="N13" s="2" t="str">
        <v>R</v>
      </c>
      <c r="P13" s="2" t="str">
        <v>R</v>
      </c>
      <c r="R13" s="2" t="str">
        <v>R</v>
      </c>
      <c r="T13" s="2" t="str">
        <v>R</v>
      </c>
      <c r="Y13" s="2" t="str">
        <v>R</v>
      </c>
      <c r="AA13" s="2" t="str">
        <v>R</v>
      </c>
      <c r="AC13" s="2" t="str">
        <v>R</v>
      </c>
      <c r="AE13" s="2" t="str">
        <v>R</v>
      </c>
      <c r="AG13" s="2" t="str">
        <v>R</v>
      </c>
      <c r="AI13" s="2" t="str">
        <v>R</v>
      </c>
      <c r="AK13" s="2" t="str">
        <v>R</v>
      </c>
      <c r="AM13" s="2" t="str">
        <v>R</v>
      </c>
      <c r="AO13" s="2" t="str">
        <v>R</v>
      </c>
    </row>
    <row r="14">
      <c r="B14" s="2" t="str">
        <v>+1.00</v>
      </c>
      <c r="D14" s="2" t="str">
        <v>L</v>
      </c>
      <c r="F14" s="2" t="str">
        <v>L</v>
      </c>
      <c r="H14" s="2" t="str">
        <v>L</v>
      </c>
      <c r="I14" s="2">
        <v>1</v>
      </c>
      <c r="J14" s="2" t="str">
        <v>L</v>
      </c>
      <c r="L14" s="2" t="str">
        <v>L</v>
      </c>
      <c r="N14" s="2" t="str">
        <v>L</v>
      </c>
      <c r="P14" s="2" t="str">
        <v>L</v>
      </c>
      <c r="R14" s="2" t="str">
        <v>L</v>
      </c>
      <c r="T14" s="2" t="str">
        <v>L</v>
      </c>
      <c r="W14" s="2" t="str">
        <v>-1.25</v>
      </c>
      <c r="Y14" s="2" t="str">
        <v>L</v>
      </c>
      <c r="AA14" s="2" t="str">
        <v>L</v>
      </c>
      <c r="AC14" s="2" t="str">
        <v>L</v>
      </c>
      <c r="AE14" s="2" t="str">
        <v>L</v>
      </c>
      <c r="AG14" s="2" t="str">
        <v>L</v>
      </c>
      <c r="AI14" s="2" t="str">
        <v>L</v>
      </c>
      <c r="AK14" s="2" t="str">
        <v>L</v>
      </c>
      <c r="AM14" s="2" t="str">
        <v>L</v>
      </c>
      <c r="AO14" s="2" t="str">
        <v>L</v>
      </c>
    </row>
    <row r="15">
      <c r="D15" s="2" t="str">
        <v>R</v>
      </c>
      <c r="F15" s="2" t="str">
        <v>R</v>
      </c>
      <c r="H15" s="2" t="str">
        <v>R</v>
      </c>
      <c r="I15" s="2">
        <v>1</v>
      </c>
      <c r="J15" s="2" t="str">
        <v>R</v>
      </c>
      <c r="L15" s="2" t="str">
        <v>R</v>
      </c>
      <c r="N15" s="2" t="str">
        <v>R</v>
      </c>
      <c r="O15" s="2">
        <v>1</v>
      </c>
      <c r="P15" s="2" t="str">
        <v>R</v>
      </c>
      <c r="R15" s="2" t="str">
        <v>R</v>
      </c>
      <c r="T15" s="2" t="str">
        <v>R</v>
      </c>
      <c r="Y15" s="2" t="str">
        <v>R</v>
      </c>
      <c r="AA15" s="2" t="str">
        <v>R</v>
      </c>
      <c r="AC15" s="2" t="str">
        <v>R</v>
      </c>
      <c r="AE15" s="2" t="str">
        <v>R</v>
      </c>
      <c r="AG15" s="2" t="str">
        <v>R</v>
      </c>
      <c r="AI15" s="2" t="str">
        <v>R</v>
      </c>
      <c r="AK15" s="2" t="str">
        <v>R</v>
      </c>
      <c r="AM15" s="2" t="str">
        <v>R</v>
      </c>
      <c r="AO15" s="2" t="str">
        <v>R</v>
      </c>
    </row>
    <row r="16">
      <c r="B16" s="2" t="str">
        <v>+1.25</v>
      </c>
      <c r="D16" s="2" t="str">
        <v>L</v>
      </c>
      <c r="E16" s="2">
        <v>1</v>
      </c>
      <c r="F16" s="2" t="str">
        <v>L</v>
      </c>
      <c r="G16" s="2">
        <v>1</v>
      </c>
      <c r="H16" s="2" t="str">
        <v>L</v>
      </c>
      <c r="J16" s="2" t="str">
        <v>L</v>
      </c>
      <c r="L16" s="2" t="str">
        <v>L</v>
      </c>
      <c r="N16" s="2" t="str">
        <v>L</v>
      </c>
      <c r="P16" s="2" t="str">
        <v>L</v>
      </c>
      <c r="R16" s="2" t="str">
        <v>L</v>
      </c>
      <c r="T16" s="2" t="str">
        <v>L</v>
      </c>
      <c r="W16" s="2" t="str">
        <v>-1.50</v>
      </c>
      <c r="Y16" s="2" t="str">
        <v>L</v>
      </c>
      <c r="AA16" s="2" t="str">
        <v>L</v>
      </c>
      <c r="AC16" s="2" t="str">
        <v>L</v>
      </c>
      <c r="AE16" s="2" t="str">
        <v>L</v>
      </c>
      <c r="AG16" s="2" t="str">
        <v>L</v>
      </c>
      <c r="AI16" s="2" t="str">
        <v>L</v>
      </c>
      <c r="AK16" s="2" t="str">
        <v>L</v>
      </c>
      <c r="AM16" s="2" t="str">
        <v>L</v>
      </c>
      <c r="AO16" s="2" t="str">
        <v>L</v>
      </c>
    </row>
    <row r="17">
      <c r="D17" s="2" t="str">
        <v>R</v>
      </c>
      <c r="F17" s="2" t="str">
        <v>R</v>
      </c>
      <c r="G17" s="2">
        <v>1</v>
      </c>
      <c r="H17" s="2" t="str">
        <v>R</v>
      </c>
      <c r="J17" s="2" t="str">
        <v>R</v>
      </c>
      <c r="L17" s="2" t="str">
        <v>R</v>
      </c>
      <c r="N17" s="2" t="str">
        <v>R</v>
      </c>
      <c r="P17" s="2" t="str">
        <v>R</v>
      </c>
      <c r="R17" s="2" t="str">
        <v>R</v>
      </c>
      <c r="T17" s="2" t="str">
        <v>R</v>
      </c>
      <c r="Y17" s="2" t="str">
        <v>R</v>
      </c>
      <c r="AA17" s="2" t="str">
        <v>R</v>
      </c>
      <c r="AC17" s="2" t="str">
        <v>R</v>
      </c>
      <c r="AE17" s="2" t="str">
        <v>R</v>
      </c>
      <c r="AG17" s="2" t="str">
        <v>R</v>
      </c>
      <c r="AI17" s="2" t="str">
        <v>R</v>
      </c>
      <c r="AK17" s="2" t="str">
        <v>R</v>
      </c>
      <c r="AM17" s="2" t="str">
        <v>R</v>
      </c>
      <c r="AO17" s="2" t="str">
        <v>R</v>
      </c>
    </row>
    <row r="18">
      <c r="B18" s="2" t="str">
        <v>+1.50</v>
      </c>
      <c r="D18" s="2" t="str">
        <v>L</v>
      </c>
      <c r="F18" s="2" t="str">
        <v>L</v>
      </c>
      <c r="H18" s="2" t="str">
        <v>L</v>
      </c>
      <c r="I18" s="2">
        <v>1</v>
      </c>
      <c r="J18" s="2" t="str">
        <v>L</v>
      </c>
      <c r="L18" s="2" t="str">
        <v>L</v>
      </c>
      <c r="N18" s="2" t="str">
        <v>L</v>
      </c>
      <c r="P18" s="2" t="str">
        <v>L</v>
      </c>
      <c r="R18" s="2" t="str">
        <v>L</v>
      </c>
      <c r="T18" s="2" t="str">
        <v>L</v>
      </c>
      <c r="W18" s="2" t="str">
        <v>-1.75</v>
      </c>
      <c r="Y18" s="2" t="str">
        <v>L</v>
      </c>
      <c r="AA18" s="2" t="str">
        <v>L</v>
      </c>
      <c r="AC18" s="2" t="str">
        <v>L</v>
      </c>
      <c r="AE18" s="2" t="str">
        <v>L</v>
      </c>
      <c r="AG18" s="2" t="str">
        <v>L</v>
      </c>
      <c r="AI18" s="2" t="str">
        <v>L</v>
      </c>
      <c r="AK18" s="2" t="str">
        <v>L</v>
      </c>
      <c r="AM18" s="2" t="str">
        <v>L</v>
      </c>
      <c r="AO18" s="2" t="str">
        <v>L</v>
      </c>
    </row>
    <row r="19">
      <c r="D19" s="2" t="str">
        <v>R</v>
      </c>
      <c r="F19" s="2" t="str">
        <v>R</v>
      </c>
      <c r="H19" s="2" t="str">
        <v>R</v>
      </c>
      <c r="I19" s="2">
        <v>1</v>
      </c>
      <c r="J19" s="2" t="str">
        <v>R</v>
      </c>
      <c r="K19" s="2">
        <v>1</v>
      </c>
      <c r="L19" s="2" t="str">
        <v>R</v>
      </c>
      <c r="N19" s="2" t="str">
        <v>R</v>
      </c>
      <c r="P19" s="2" t="str">
        <v>R</v>
      </c>
      <c r="R19" s="2" t="str">
        <v>R</v>
      </c>
      <c r="T19" s="2" t="str">
        <v>R</v>
      </c>
      <c r="Y19" s="2" t="str">
        <v>R</v>
      </c>
      <c r="AA19" s="2" t="str">
        <v>R</v>
      </c>
      <c r="AC19" s="2" t="str">
        <v>R</v>
      </c>
      <c r="AE19" s="2" t="str">
        <v>R</v>
      </c>
      <c r="AG19" s="2" t="str">
        <v>R</v>
      </c>
      <c r="AI19" s="2" t="str">
        <v>R</v>
      </c>
      <c r="AK19" s="2" t="str">
        <v>R</v>
      </c>
      <c r="AM19" s="2" t="str">
        <v>R</v>
      </c>
      <c r="AO19" s="2" t="str">
        <v>R</v>
      </c>
    </row>
    <row r="20">
      <c r="B20" s="2" t="str">
        <v>+1.75</v>
      </c>
      <c r="D20" s="2" t="str">
        <v>L</v>
      </c>
      <c r="F20" s="2" t="str">
        <v>L</v>
      </c>
      <c r="G20" s="2">
        <v>1</v>
      </c>
      <c r="H20" s="2" t="str">
        <v>L</v>
      </c>
      <c r="I20" s="2">
        <v>1</v>
      </c>
      <c r="J20" s="2" t="str">
        <v>L</v>
      </c>
      <c r="K20" s="2">
        <v>1</v>
      </c>
      <c r="L20" s="2" t="str">
        <v>L</v>
      </c>
      <c r="N20" s="2" t="str">
        <v>L</v>
      </c>
      <c r="P20" s="2" t="str">
        <v>L</v>
      </c>
      <c r="R20" s="2" t="str">
        <v>L</v>
      </c>
      <c r="T20" s="2" t="str">
        <v>L</v>
      </c>
      <c r="W20" s="2" t="str">
        <v>-2.00</v>
      </c>
      <c r="Y20" s="2" t="str">
        <v>L</v>
      </c>
      <c r="AA20" s="2" t="str">
        <v>L</v>
      </c>
      <c r="AC20" s="2" t="str">
        <v>L</v>
      </c>
      <c r="AE20" s="2" t="str">
        <v>L</v>
      </c>
      <c r="AG20" s="2" t="str">
        <v>L</v>
      </c>
      <c r="AI20" s="2" t="str">
        <v>L</v>
      </c>
      <c r="AK20" s="2" t="str">
        <v>L</v>
      </c>
      <c r="AM20" s="2" t="str">
        <v>L</v>
      </c>
      <c r="AO20" s="2" t="str">
        <v>L</v>
      </c>
    </row>
    <row r="21">
      <c r="D21" s="2" t="str">
        <v>R</v>
      </c>
      <c r="F21" s="2" t="str">
        <v>R</v>
      </c>
      <c r="G21" s="2">
        <v>1</v>
      </c>
      <c r="H21" s="2" t="str">
        <v>R</v>
      </c>
      <c r="J21" s="2" t="str">
        <v>R</v>
      </c>
      <c r="L21" s="2" t="str">
        <v>R</v>
      </c>
      <c r="N21" s="2" t="str">
        <v>R</v>
      </c>
      <c r="O21" s="2">
        <v>1</v>
      </c>
      <c r="P21" s="2" t="str">
        <v>R</v>
      </c>
      <c r="R21" s="2" t="str">
        <v>R</v>
      </c>
      <c r="T21" s="2" t="str">
        <v>R</v>
      </c>
      <c r="Y21" s="2" t="str">
        <v>R</v>
      </c>
      <c r="AA21" s="2" t="str">
        <v>R</v>
      </c>
      <c r="AC21" s="2" t="str">
        <v>R</v>
      </c>
      <c r="AE21" s="2" t="str">
        <v>R</v>
      </c>
      <c r="AG21" s="2" t="str">
        <v>R</v>
      </c>
      <c r="AI21" s="2" t="str">
        <v>R</v>
      </c>
      <c r="AK21" s="2" t="str">
        <v>R</v>
      </c>
      <c r="AM21" s="2" t="str">
        <v>R</v>
      </c>
      <c r="AO21" s="2" t="str">
        <v>R</v>
      </c>
    </row>
    <row r="22">
      <c r="B22" s="2" t="str">
        <v>+2.00</v>
      </c>
      <c r="D22" s="2" t="str">
        <v>L</v>
      </c>
      <c r="F22" s="2" t="str">
        <v>L</v>
      </c>
      <c r="G22" s="2">
        <v>1</v>
      </c>
      <c r="H22" s="2" t="str">
        <v>L</v>
      </c>
      <c r="I22" s="2">
        <v>1</v>
      </c>
      <c r="J22" s="2" t="str">
        <v>L</v>
      </c>
      <c r="K22" s="2">
        <v>1</v>
      </c>
      <c r="L22" s="2" t="str">
        <v>L</v>
      </c>
      <c r="N22" s="2" t="str">
        <v>L</v>
      </c>
      <c r="P22" s="2" t="str">
        <v>L</v>
      </c>
      <c r="R22" s="2" t="str">
        <v>L</v>
      </c>
      <c r="T22" s="2" t="str">
        <v>L</v>
      </c>
      <c r="W22" s="2" t="str">
        <v>-2.25</v>
      </c>
      <c r="Y22" s="2" t="str">
        <v>L</v>
      </c>
      <c r="AA22" s="2" t="str">
        <v>L</v>
      </c>
      <c r="AC22" s="2" t="str">
        <v>L</v>
      </c>
      <c r="AE22" s="2" t="str">
        <v>L</v>
      </c>
      <c r="AG22" s="2" t="str">
        <v>L</v>
      </c>
      <c r="AI22" s="2" t="str">
        <v>L</v>
      </c>
      <c r="AK22" s="2" t="str">
        <v>L</v>
      </c>
      <c r="AM22" s="2" t="str">
        <v>L</v>
      </c>
      <c r="AO22" s="2" t="str">
        <v>L</v>
      </c>
    </row>
    <row r="23">
      <c r="D23" s="2" t="str">
        <v>R</v>
      </c>
      <c r="F23" s="2" t="str">
        <v>R</v>
      </c>
      <c r="G23" s="2">
        <v>1</v>
      </c>
      <c r="H23" s="2" t="str">
        <v>R</v>
      </c>
      <c r="I23" s="2">
        <v>1</v>
      </c>
      <c r="J23" s="2" t="str">
        <v>R</v>
      </c>
      <c r="L23" s="2" t="str">
        <v>R</v>
      </c>
      <c r="N23" s="2" t="str">
        <v>R</v>
      </c>
      <c r="P23" s="2" t="str">
        <v>R</v>
      </c>
      <c r="R23" s="2" t="str">
        <v>R</v>
      </c>
      <c r="T23" s="2" t="str">
        <v>R</v>
      </c>
      <c r="Y23" s="2" t="str">
        <v>R</v>
      </c>
      <c r="AA23" s="2" t="str">
        <v>R</v>
      </c>
      <c r="AC23" s="2" t="str">
        <v>R</v>
      </c>
      <c r="AE23" s="2" t="str">
        <v>R</v>
      </c>
      <c r="AG23" s="2" t="str">
        <v>R</v>
      </c>
      <c r="AI23" s="2" t="str">
        <v>R</v>
      </c>
      <c r="AK23" s="2" t="str">
        <v>R</v>
      </c>
      <c r="AM23" s="2" t="str">
        <v>R</v>
      </c>
      <c r="AO23" s="2" t="str">
        <v>R</v>
      </c>
    </row>
    <row r="24">
      <c r="B24" s="2" t="str">
        <v>+2.25</v>
      </c>
      <c r="D24" s="2" t="str">
        <v>L</v>
      </c>
      <c r="F24" s="2" t="str">
        <v>L</v>
      </c>
      <c r="H24" s="2" t="str">
        <v>L</v>
      </c>
      <c r="J24" s="2" t="str">
        <v>L</v>
      </c>
      <c r="L24" s="2" t="str">
        <v>L</v>
      </c>
      <c r="N24" s="2" t="str">
        <v>L</v>
      </c>
      <c r="P24" s="2" t="str">
        <v>L</v>
      </c>
      <c r="R24" s="2" t="str">
        <v>L</v>
      </c>
      <c r="T24" s="2" t="str">
        <v>L</v>
      </c>
      <c r="W24" s="2" t="str">
        <v>-2.50</v>
      </c>
      <c r="Y24" s="2" t="str">
        <v>L</v>
      </c>
      <c r="AA24" s="2" t="str">
        <v>L</v>
      </c>
      <c r="AC24" s="2" t="str">
        <v>L</v>
      </c>
      <c r="AE24" s="2" t="str">
        <v>L</v>
      </c>
      <c r="AG24" s="2" t="str">
        <v>L</v>
      </c>
      <c r="AI24" s="2" t="str">
        <v>L</v>
      </c>
      <c r="AK24" s="2" t="str">
        <v>L</v>
      </c>
      <c r="AM24" s="2" t="str">
        <v>L</v>
      </c>
      <c r="AO24" s="2" t="str">
        <v>L</v>
      </c>
    </row>
    <row r="25">
      <c r="D25" s="2" t="str">
        <v>R</v>
      </c>
      <c r="F25" s="2" t="str">
        <v>R</v>
      </c>
      <c r="H25" s="2" t="str">
        <v>R</v>
      </c>
      <c r="J25" s="2" t="str">
        <v>R</v>
      </c>
      <c r="L25" s="2" t="str">
        <v>R</v>
      </c>
      <c r="N25" s="2" t="str">
        <v>R</v>
      </c>
      <c r="P25" s="2" t="str">
        <v>R</v>
      </c>
      <c r="R25" s="2" t="str">
        <v>R</v>
      </c>
      <c r="T25" s="2" t="str">
        <v>R</v>
      </c>
      <c r="Y25" s="2" t="str">
        <v>R</v>
      </c>
      <c r="AA25" s="2" t="str">
        <v>R</v>
      </c>
      <c r="AC25" s="2" t="str">
        <v>R</v>
      </c>
      <c r="AE25" s="2" t="str">
        <v>R</v>
      </c>
      <c r="AG25" s="2" t="str">
        <v>R</v>
      </c>
      <c r="AI25" s="2" t="str">
        <v>R</v>
      </c>
      <c r="AK25" s="2" t="str">
        <v>R</v>
      </c>
      <c r="AM25" s="2" t="str">
        <v>R</v>
      </c>
      <c r="AO25" s="2" t="str">
        <v>R</v>
      </c>
    </row>
    <row r="26">
      <c r="B26" s="2" t="str">
        <v>+2.50</v>
      </c>
      <c r="D26" s="2" t="str">
        <v>L</v>
      </c>
      <c r="F26" s="2" t="str">
        <v>L</v>
      </c>
      <c r="H26" s="2" t="str">
        <v>L</v>
      </c>
      <c r="J26" s="2" t="str">
        <v>L</v>
      </c>
      <c r="L26" s="2" t="str">
        <v>L</v>
      </c>
      <c r="N26" s="2" t="str">
        <v>L</v>
      </c>
      <c r="P26" s="2" t="str">
        <v>L</v>
      </c>
      <c r="R26" s="2" t="str">
        <v>L</v>
      </c>
      <c r="T26" s="2" t="str">
        <v>L</v>
      </c>
      <c r="W26" s="2" t="str">
        <v>-2.75</v>
      </c>
      <c r="Y26" s="2" t="str">
        <v>L</v>
      </c>
      <c r="AA26" s="2" t="str">
        <v>L</v>
      </c>
      <c r="AC26" s="2" t="str">
        <v>L</v>
      </c>
      <c r="AE26" s="2" t="str">
        <v>L</v>
      </c>
      <c r="AG26" s="2" t="str">
        <v>L</v>
      </c>
      <c r="AI26" s="2" t="str">
        <v>L</v>
      </c>
      <c r="AK26" s="2" t="str">
        <v>L</v>
      </c>
      <c r="AM26" s="2" t="str">
        <v>L</v>
      </c>
      <c r="AO26" s="2" t="str">
        <v>L</v>
      </c>
    </row>
    <row r="27">
      <c r="D27" s="2" t="str">
        <v>R</v>
      </c>
      <c r="F27" s="2" t="str">
        <v>R</v>
      </c>
      <c r="H27" s="2" t="str">
        <v>R</v>
      </c>
      <c r="J27" s="2" t="str">
        <v>R</v>
      </c>
      <c r="L27" s="2" t="str">
        <v>R</v>
      </c>
      <c r="N27" s="2" t="str">
        <v>R</v>
      </c>
      <c r="P27" s="2" t="str">
        <v>R</v>
      </c>
      <c r="R27" s="2" t="str">
        <v>R</v>
      </c>
      <c r="T27" s="2" t="str">
        <v>R</v>
      </c>
      <c r="Y27" s="2" t="str">
        <v>R</v>
      </c>
      <c r="AA27" s="2" t="str">
        <v>R</v>
      </c>
      <c r="AC27" s="2" t="str">
        <v>R</v>
      </c>
      <c r="AE27" s="2" t="str">
        <v>R</v>
      </c>
      <c r="AG27" s="2" t="str">
        <v>R</v>
      </c>
      <c r="AI27" s="2" t="str">
        <v>R</v>
      </c>
      <c r="AK27" s="2" t="str">
        <v>R</v>
      </c>
      <c r="AM27" s="2" t="str">
        <v>R</v>
      </c>
      <c r="AO27" s="2" t="str">
        <v>R</v>
      </c>
    </row>
    <row r="28">
      <c r="B28" s="2" t="str">
        <v>+2.75</v>
      </c>
      <c r="D28" s="2" t="str">
        <v>L</v>
      </c>
      <c r="F28" s="2" t="str">
        <v>L</v>
      </c>
      <c r="H28" s="2" t="str">
        <v>L</v>
      </c>
      <c r="J28" s="2" t="str">
        <v>L</v>
      </c>
      <c r="L28" s="2" t="str">
        <v>L</v>
      </c>
      <c r="N28" s="2" t="str">
        <v>L</v>
      </c>
      <c r="P28" s="2" t="str">
        <v>L</v>
      </c>
      <c r="R28" s="2" t="str">
        <v>L</v>
      </c>
      <c r="T28" s="2" t="str">
        <v>L</v>
      </c>
      <c r="W28" s="2" t="str">
        <v>-3.00</v>
      </c>
      <c r="Y28" s="2" t="str">
        <v>L</v>
      </c>
      <c r="AA28" s="2" t="str">
        <v>L</v>
      </c>
      <c r="AC28" s="2" t="str">
        <v>L</v>
      </c>
      <c r="AE28" s="2" t="str">
        <v>L</v>
      </c>
      <c r="AG28" s="2" t="str">
        <v>L</v>
      </c>
      <c r="AI28" s="2" t="str">
        <v>L</v>
      </c>
      <c r="AK28" s="2" t="str">
        <v>L</v>
      </c>
      <c r="AM28" s="2" t="str">
        <v>L</v>
      </c>
      <c r="AO28" s="2" t="str">
        <v>L</v>
      </c>
    </row>
    <row r="29">
      <c r="D29" s="2" t="str">
        <v>R</v>
      </c>
      <c r="F29" s="2" t="str">
        <v>R</v>
      </c>
      <c r="H29" s="2" t="str">
        <v>R</v>
      </c>
      <c r="J29" s="2" t="str">
        <v>R</v>
      </c>
      <c r="L29" s="2" t="str">
        <v>R</v>
      </c>
      <c r="N29" s="2" t="str">
        <v>R</v>
      </c>
      <c r="P29" s="2" t="str">
        <v>R</v>
      </c>
      <c r="R29" s="2" t="str">
        <v>R</v>
      </c>
      <c r="T29" s="2" t="str">
        <v>R</v>
      </c>
      <c r="Y29" s="2" t="str">
        <v>R</v>
      </c>
      <c r="AA29" s="2" t="str">
        <v>R</v>
      </c>
      <c r="AC29" s="2" t="str">
        <v>R</v>
      </c>
      <c r="AE29" s="2" t="str">
        <v>R</v>
      </c>
      <c r="AG29" s="2" t="str">
        <v>R</v>
      </c>
      <c r="AI29" s="2" t="str">
        <v>R</v>
      </c>
      <c r="AK29" s="2" t="str">
        <v>R</v>
      </c>
      <c r="AM29" s="2" t="str">
        <v>R</v>
      </c>
      <c r="AO29" s="2" t="str">
        <v>R</v>
      </c>
    </row>
    <row r="30">
      <c r="B30" s="2" t="str">
        <v>+3.00</v>
      </c>
      <c r="D30" s="2" t="str">
        <v>L</v>
      </c>
      <c r="F30" s="2" t="str">
        <v>L</v>
      </c>
      <c r="H30" s="2" t="str">
        <v>L</v>
      </c>
      <c r="J30" s="2" t="str">
        <v>L</v>
      </c>
      <c r="L30" s="2" t="str">
        <v>L</v>
      </c>
      <c r="N30" s="2" t="str">
        <v>L</v>
      </c>
      <c r="P30" s="2" t="str">
        <v>L</v>
      </c>
      <c r="R30" s="2" t="str">
        <v>L</v>
      </c>
      <c r="S30" s="2" t="str">
        <v>1</v>
      </c>
      <c r="T30" s="2" t="str">
        <v>L</v>
      </c>
    </row>
    <row r="31">
      <c r="D31" s="2" t="str">
        <v>R</v>
      </c>
      <c r="F31" s="2" t="str">
        <v>R</v>
      </c>
      <c r="H31" s="2" t="str">
        <v>R</v>
      </c>
      <c r="J31" s="2" t="str">
        <v>R</v>
      </c>
      <c r="L31" s="2" t="str">
        <v>R</v>
      </c>
      <c r="N31" s="2" t="str">
        <v>R</v>
      </c>
      <c r="P31" s="2" t="str">
        <v>R</v>
      </c>
      <c r="R31" s="2" t="str">
        <v>R</v>
      </c>
      <c r="T31" s="2" t="str">
        <v>R</v>
      </c>
    </row>
  </sheetData>
  <mergeCells count="50">
    <mergeCell ref="B26:B27"/>
    <mergeCell ref="W26:W27"/>
    <mergeCell ref="B28:B29"/>
    <mergeCell ref="W28:W29"/>
    <mergeCell ref="B30:B31"/>
    <mergeCell ref="B20:B21"/>
    <mergeCell ref="W20:W21"/>
    <mergeCell ref="B22:B23"/>
    <mergeCell ref="W22:W23"/>
    <mergeCell ref="B24:B25"/>
    <mergeCell ref="W24:W25"/>
    <mergeCell ref="W12:W13"/>
    <mergeCell ref="B14:B15"/>
    <mergeCell ref="W14:W15"/>
    <mergeCell ref="B16:B17"/>
    <mergeCell ref="W16:W17"/>
    <mergeCell ref="B18:B19"/>
    <mergeCell ref="W18:W19"/>
    <mergeCell ref="AN5:AO5"/>
    <mergeCell ref="A6:A30"/>
    <mergeCell ref="B6:B7"/>
    <mergeCell ref="V6:V30"/>
    <mergeCell ref="W6:W7"/>
    <mergeCell ref="B8:B9"/>
    <mergeCell ref="W8:W9"/>
    <mergeCell ref="B10:B11"/>
    <mergeCell ref="W10:W11"/>
    <mergeCell ref="B12:B13"/>
    <mergeCell ref="AB5:AC5"/>
    <mergeCell ref="AD5:AE5"/>
    <mergeCell ref="AF5:AG5"/>
    <mergeCell ref="AH5:AI5"/>
    <mergeCell ref="AJ5:AK5"/>
    <mergeCell ref="AL5:AM5"/>
    <mergeCell ref="M5:N5"/>
    <mergeCell ref="O5:P5"/>
    <mergeCell ref="Q5:R5"/>
    <mergeCell ref="S5:T5"/>
    <mergeCell ref="X5:Y5"/>
    <mergeCell ref="Z5:AA5"/>
    <mergeCell ref="C1:AF1"/>
    <mergeCell ref="C3:T3"/>
    <mergeCell ref="X3:AO3"/>
    <mergeCell ref="C4:T4"/>
    <mergeCell ref="X4:AO4"/>
    <mergeCell ref="C5:D5"/>
    <mergeCell ref="E5:F5"/>
    <mergeCell ref="G5:H5"/>
    <mergeCell ref="I5:J5"/>
    <mergeCell ref="K5:L5"/>
  </mergeCells>
  <pageMargins left="0.7" right="0.7" top="0.75" bottom="0.75" header="0.3" footer="0.3"/>
  <ignoredErrors>
    <ignoredError numberStoredAsText="1" sqref="A1:AO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O66"/>
  <sheetViews>
    <sheetView workbookViewId="0" rightToLeft="0"/>
  </sheetViews>
  <sheetData>
    <row r="1">
      <c r="C1" s="2" t="str">
        <v>BIFOCAL FT-L28 AR</v>
      </c>
    </row>
    <row r="3">
      <c r="C3" s="2" t="str">
        <v>ADICION</v>
      </c>
      <c r="X3" s="2" t="str">
        <v>ADICION</v>
      </c>
    </row>
    <row r="5">
      <c r="A5" s="2" t="str">
        <v>(+)</v>
      </c>
      <c r="C5" s="2" t="str">
        <v>1.00</v>
      </c>
      <c r="E5" s="2" t="str">
        <v>1.25</v>
      </c>
      <c r="G5" s="2" t="str">
        <v>1.50</v>
      </c>
      <c r="I5" s="2" t="str">
        <v>1.75</v>
      </c>
      <c r="K5" s="2" t="str">
        <v>2.00</v>
      </c>
      <c r="M5" s="2" t="str">
        <v>2.25</v>
      </c>
      <c r="O5" s="2" t="str">
        <v>2.50</v>
      </c>
      <c r="Q5" s="2" t="str">
        <v>2.75</v>
      </c>
      <c r="S5" s="2" t="str">
        <v>3.00</v>
      </c>
      <c r="V5" s="2" t="str">
        <v>(-)</v>
      </c>
      <c r="X5" s="2" t="str">
        <v>1.00</v>
      </c>
      <c r="Z5" s="2" t="str">
        <v>1.25</v>
      </c>
      <c r="AB5" s="2" t="str">
        <v>1.50</v>
      </c>
      <c r="AD5" s="2" t="str">
        <v>1.75</v>
      </c>
      <c r="AF5" s="2" t="str">
        <v>2.00</v>
      </c>
      <c r="AH5" s="2" t="str">
        <v>2.25</v>
      </c>
      <c r="AJ5" s="2" t="str">
        <v>+2.50</v>
      </c>
      <c r="AL5" s="2" t="str">
        <v>+2.75</v>
      </c>
      <c r="AN5" s="2" t="str">
        <v>+3.00</v>
      </c>
    </row>
    <row r="6">
      <c r="A6" s="2" t="str">
        <v>ESFERA</v>
      </c>
      <c r="B6" s="2" t="str">
        <v>0.00</v>
      </c>
      <c r="D6" s="2" t="str">
        <v>L</v>
      </c>
      <c r="E6" s="2">
        <v>3</v>
      </c>
      <c r="F6" s="2" t="str">
        <v>L</v>
      </c>
      <c r="G6" s="2">
        <v>2</v>
      </c>
      <c r="H6" s="2" t="str">
        <v>L</v>
      </c>
      <c r="I6" s="2">
        <v>2</v>
      </c>
      <c r="J6" s="2" t="str">
        <v>L</v>
      </c>
      <c r="K6" s="2">
        <v>3</v>
      </c>
      <c r="L6" s="2" t="str">
        <v>L</v>
      </c>
      <c r="M6" s="2">
        <v>2</v>
      </c>
      <c r="N6" s="2" t="str">
        <v>L</v>
      </c>
      <c r="O6" s="2">
        <v>2</v>
      </c>
      <c r="P6" s="2" t="str">
        <v>L</v>
      </c>
      <c r="Q6" s="2">
        <v>2</v>
      </c>
      <c r="R6" s="2" t="str">
        <v>L</v>
      </c>
      <c r="S6" s="2">
        <v>2</v>
      </c>
      <c r="T6" s="2" t="str">
        <v>L</v>
      </c>
      <c r="V6" s="2" t="str">
        <v>ESFERA</v>
      </c>
      <c r="W6" s="2" t="str">
        <v>-0.25</v>
      </c>
      <c r="Y6" s="2" t="str">
        <v>L</v>
      </c>
      <c r="AA6" s="2" t="str">
        <v>L</v>
      </c>
      <c r="AC6" s="2" t="str">
        <v>L</v>
      </c>
      <c r="AE6" s="2" t="str">
        <v>L</v>
      </c>
      <c r="AG6" s="2" t="str">
        <v>L</v>
      </c>
      <c r="AI6" s="2" t="str">
        <v>L</v>
      </c>
      <c r="AK6" s="2" t="str">
        <v>L</v>
      </c>
      <c r="AM6" s="2" t="str">
        <v>L</v>
      </c>
      <c r="AO6" s="2" t="str">
        <v>L</v>
      </c>
    </row>
    <row r="7">
      <c r="D7" s="2" t="str">
        <v>R</v>
      </c>
      <c r="E7" s="2">
        <v>2</v>
      </c>
      <c r="F7" s="2" t="str">
        <v>R</v>
      </c>
      <c r="G7" s="2">
        <v>2</v>
      </c>
      <c r="H7" s="2" t="str">
        <v>R</v>
      </c>
      <c r="I7" s="2">
        <v>2</v>
      </c>
      <c r="J7" s="2" t="str">
        <v>R</v>
      </c>
      <c r="K7" s="2">
        <v>3</v>
      </c>
      <c r="L7" s="2" t="str">
        <v>R</v>
      </c>
      <c r="M7" s="2">
        <v>2</v>
      </c>
      <c r="N7" s="2" t="str">
        <v>R</v>
      </c>
      <c r="O7" s="2">
        <v>2</v>
      </c>
      <c r="P7" s="2" t="str">
        <v>R</v>
      </c>
      <c r="Q7" s="2">
        <v>2</v>
      </c>
      <c r="R7" s="2" t="str">
        <v>R</v>
      </c>
      <c r="S7" s="2">
        <v>2</v>
      </c>
      <c r="T7" s="2" t="str">
        <v>R</v>
      </c>
      <c r="Y7" s="2" t="str">
        <v>R</v>
      </c>
      <c r="AA7" s="2" t="str">
        <v>R</v>
      </c>
      <c r="AC7" s="2" t="str">
        <v>R</v>
      </c>
      <c r="AE7" s="2" t="str">
        <v>R</v>
      </c>
      <c r="AG7" s="2" t="str">
        <v>R</v>
      </c>
      <c r="AI7" s="2" t="str">
        <v>R</v>
      </c>
      <c r="AK7" s="2" t="str">
        <v>R</v>
      </c>
      <c r="AM7" s="2" t="str">
        <v>R</v>
      </c>
      <c r="AO7" s="2" t="str">
        <v>R</v>
      </c>
    </row>
    <row r="8">
      <c r="B8" s="2" t="str">
        <v>+0.25</v>
      </c>
      <c r="D8" s="2" t="str">
        <v>L</v>
      </c>
      <c r="E8" s="2">
        <v>2</v>
      </c>
      <c r="F8" s="2" t="str">
        <v>L</v>
      </c>
      <c r="G8" s="2">
        <v>3</v>
      </c>
      <c r="H8" s="2" t="str">
        <v>L</v>
      </c>
      <c r="I8" s="2">
        <v>1</v>
      </c>
      <c r="J8" s="2" t="str">
        <v>L</v>
      </c>
      <c r="K8" s="2">
        <v>1</v>
      </c>
      <c r="L8" s="2" t="str">
        <v>L</v>
      </c>
      <c r="M8" s="2">
        <v>2</v>
      </c>
      <c r="N8" s="2" t="str">
        <v>L</v>
      </c>
      <c r="O8" s="2">
        <v>2</v>
      </c>
      <c r="P8" s="2" t="str">
        <v>L</v>
      </c>
      <c r="Q8" s="2">
        <v>2</v>
      </c>
      <c r="R8" s="2" t="str">
        <v>L</v>
      </c>
      <c r="S8" s="2">
        <v>2</v>
      </c>
      <c r="T8" s="2" t="str">
        <v>L</v>
      </c>
      <c r="W8" s="2" t="str">
        <v>-0.50</v>
      </c>
      <c r="Y8" s="2" t="str">
        <v>L</v>
      </c>
      <c r="AA8" s="2" t="str">
        <v>L</v>
      </c>
      <c r="AC8" s="2" t="str">
        <v>L</v>
      </c>
      <c r="AE8" s="2" t="str">
        <v>L</v>
      </c>
      <c r="AG8" s="2" t="str">
        <v>L</v>
      </c>
      <c r="AI8" s="2" t="str">
        <v>L</v>
      </c>
      <c r="AK8" s="2" t="str">
        <v>L</v>
      </c>
      <c r="AM8" s="2" t="str">
        <v>L</v>
      </c>
      <c r="AO8" s="2" t="str">
        <v>L</v>
      </c>
    </row>
    <row r="9">
      <c r="D9" s="2" t="str">
        <v>R</v>
      </c>
      <c r="E9" s="2">
        <v>3</v>
      </c>
      <c r="F9" s="2" t="str">
        <v>R</v>
      </c>
      <c r="G9" s="2">
        <v>2</v>
      </c>
      <c r="H9" s="2" t="str">
        <v>R</v>
      </c>
      <c r="I9" s="2">
        <v>4</v>
      </c>
      <c r="J9" s="2" t="str">
        <v>R</v>
      </c>
      <c r="K9" s="2">
        <v>2</v>
      </c>
      <c r="L9" s="2" t="str">
        <v>R</v>
      </c>
      <c r="M9" s="2">
        <v>2</v>
      </c>
      <c r="N9" s="2" t="str">
        <v>R</v>
      </c>
      <c r="O9" s="2">
        <v>3</v>
      </c>
      <c r="P9" s="2" t="str">
        <v>R</v>
      </c>
      <c r="Q9" s="2">
        <v>2</v>
      </c>
      <c r="R9" s="2" t="str">
        <v>R</v>
      </c>
      <c r="S9" s="2">
        <v>3</v>
      </c>
      <c r="T9" s="2" t="str">
        <v>R</v>
      </c>
      <c r="Y9" s="2" t="str">
        <v>R</v>
      </c>
      <c r="AA9" s="2" t="str">
        <v>R</v>
      </c>
      <c r="AC9" s="2" t="str">
        <v>R</v>
      </c>
      <c r="AE9" s="2" t="str">
        <v>R</v>
      </c>
      <c r="AG9" s="2" t="str">
        <v>R</v>
      </c>
      <c r="AI9" s="2" t="str">
        <v>R</v>
      </c>
      <c r="AK9" s="2" t="str">
        <v>R</v>
      </c>
      <c r="AM9" s="2" t="str">
        <v>R</v>
      </c>
      <c r="AO9" s="2" t="str">
        <v>R</v>
      </c>
    </row>
    <row r="10">
      <c r="B10" s="2" t="str">
        <v>+0.50</v>
      </c>
      <c r="D10" s="2" t="str">
        <v>L</v>
      </c>
      <c r="E10" s="2">
        <v>2</v>
      </c>
      <c r="F10" s="2" t="str">
        <v>L</v>
      </c>
      <c r="G10" s="2">
        <v>2</v>
      </c>
      <c r="H10" s="2" t="str">
        <v>L</v>
      </c>
      <c r="I10" s="2">
        <v>3</v>
      </c>
      <c r="J10" s="2" t="str">
        <v>L</v>
      </c>
      <c r="K10" s="2">
        <v>2</v>
      </c>
      <c r="L10" s="2" t="str">
        <v>L</v>
      </c>
      <c r="M10" s="2">
        <v>2</v>
      </c>
      <c r="N10" s="2" t="str">
        <v>L</v>
      </c>
      <c r="O10" s="2">
        <v>2</v>
      </c>
      <c r="P10" s="2" t="str">
        <v>L</v>
      </c>
      <c r="Q10" s="2">
        <v>3</v>
      </c>
      <c r="R10" s="2" t="str">
        <v>L</v>
      </c>
      <c r="S10" s="2">
        <v>3</v>
      </c>
      <c r="T10" s="2" t="str">
        <v>L</v>
      </c>
      <c r="W10" s="2" t="str">
        <v>-0.75</v>
      </c>
      <c r="Y10" s="2" t="str">
        <v>L</v>
      </c>
      <c r="AA10" s="2" t="str">
        <v>L</v>
      </c>
      <c r="AC10" s="2" t="str">
        <v>L</v>
      </c>
      <c r="AE10" s="2" t="str">
        <v>L</v>
      </c>
      <c r="AG10" s="2" t="str">
        <v>L</v>
      </c>
      <c r="AI10" s="2" t="str">
        <v>L</v>
      </c>
      <c r="AK10" s="2" t="str">
        <v>L</v>
      </c>
      <c r="AM10" s="2" t="str">
        <v>L</v>
      </c>
      <c r="AO10" s="2" t="str">
        <v>L</v>
      </c>
    </row>
    <row r="11">
      <c r="D11" s="2" t="str">
        <v>R</v>
      </c>
      <c r="E11" s="2">
        <v>2</v>
      </c>
      <c r="F11" s="2" t="str">
        <v>R</v>
      </c>
      <c r="G11" s="2">
        <v>3</v>
      </c>
      <c r="H11" s="2" t="str">
        <v>R</v>
      </c>
      <c r="I11" s="2">
        <v>2</v>
      </c>
      <c r="J11" s="2" t="str">
        <v>R</v>
      </c>
      <c r="K11" s="2">
        <v>3</v>
      </c>
      <c r="L11" s="2" t="str">
        <v>R</v>
      </c>
      <c r="M11" s="2">
        <v>2</v>
      </c>
      <c r="N11" s="2" t="str">
        <v>R</v>
      </c>
      <c r="O11" s="2">
        <v>3</v>
      </c>
      <c r="P11" s="2" t="str">
        <v>R</v>
      </c>
      <c r="Q11" s="2">
        <v>2</v>
      </c>
      <c r="R11" s="2" t="str">
        <v>R</v>
      </c>
      <c r="S11" s="2">
        <v>2</v>
      </c>
      <c r="T11" s="2" t="str">
        <v>R</v>
      </c>
      <c r="Y11" s="2" t="str">
        <v>R</v>
      </c>
      <c r="AA11" s="2" t="str">
        <v>R</v>
      </c>
      <c r="AC11" s="2" t="str">
        <v>R</v>
      </c>
      <c r="AE11" s="2" t="str">
        <v>R</v>
      </c>
      <c r="AG11" s="2" t="str">
        <v>R</v>
      </c>
      <c r="AI11" s="2" t="str">
        <v>R</v>
      </c>
      <c r="AK11" s="2" t="str">
        <v>R</v>
      </c>
      <c r="AM11" s="2" t="str">
        <v>R</v>
      </c>
      <c r="AO11" s="2" t="str">
        <v>R</v>
      </c>
    </row>
    <row r="12">
      <c r="B12" s="2" t="str">
        <v>+0.75</v>
      </c>
      <c r="D12" s="2" t="str">
        <v>L</v>
      </c>
      <c r="E12" s="2">
        <v>3</v>
      </c>
      <c r="F12" s="2" t="str">
        <v>L</v>
      </c>
      <c r="G12" s="2">
        <v>2</v>
      </c>
      <c r="H12" s="2" t="str">
        <v>L</v>
      </c>
      <c r="I12" s="2">
        <v>4</v>
      </c>
      <c r="J12" s="2" t="str">
        <v>L</v>
      </c>
      <c r="K12" s="2">
        <v>2</v>
      </c>
      <c r="L12" s="2" t="str">
        <v>L</v>
      </c>
      <c r="M12" s="2">
        <v>2</v>
      </c>
      <c r="N12" s="2" t="str">
        <v>L</v>
      </c>
      <c r="O12" s="2">
        <v>2</v>
      </c>
      <c r="P12" s="2" t="str">
        <v>L</v>
      </c>
      <c r="Q12" s="2">
        <v>2</v>
      </c>
      <c r="R12" s="2" t="str">
        <v>L</v>
      </c>
      <c r="S12" s="2">
        <v>2</v>
      </c>
      <c r="T12" s="2" t="str">
        <v>L</v>
      </c>
      <c r="W12" s="2" t="str">
        <v>-1.00</v>
      </c>
      <c r="Y12" s="2" t="str">
        <v>L</v>
      </c>
      <c r="AA12" s="2" t="str">
        <v>L</v>
      </c>
      <c r="AC12" s="2" t="str">
        <v>L</v>
      </c>
      <c r="AE12" s="2" t="str">
        <v>L</v>
      </c>
      <c r="AG12" s="2" t="str">
        <v>L</v>
      </c>
      <c r="AI12" s="2" t="str">
        <v>L</v>
      </c>
      <c r="AK12" s="2" t="str">
        <v>L</v>
      </c>
      <c r="AM12" s="2" t="str">
        <v>L</v>
      </c>
      <c r="AO12" s="2" t="str">
        <v>L</v>
      </c>
    </row>
    <row r="13">
      <c r="D13" s="2" t="str">
        <v>R</v>
      </c>
      <c r="E13" s="2">
        <v>3</v>
      </c>
      <c r="F13" s="2" t="str">
        <v>R</v>
      </c>
      <c r="G13" s="2">
        <v>1</v>
      </c>
      <c r="H13" s="2" t="str">
        <v>R</v>
      </c>
      <c r="J13" s="2" t="str">
        <v>R</v>
      </c>
      <c r="K13" s="2">
        <v>1</v>
      </c>
      <c r="L13" s="2" t="str">
        <v>R</v>
      </c>
      <c r="M13" s="2">
        <v>2</v>
      </c>
      <c r="N13" s="2" t="str">
        <v>R</v>
      </c>
      <c r="O13" s="2">
        <v>2</v>
      </c>
      <c r="P13" s="2" t="str">
        <v>R</v>
      </c>
      <c r="Q13" s="2">
        <v>3</v>
      </c>
      <c r="R13" s="2" t="str">
        <v>R</v>
      </c>
      <c r="S13" s="2">
        <v>3</v>
      </c>
      <c r="T13" s="2" t="str">
        <v>R</v>
      </c>
      <c r="Y13" s="2" t="str">
        <v>R</v>
      </c>
      <c r="AA13" s="2" t="str">
        <v>R</v>
      </c>
      <c r="AC13" s="2" t="str">
        <v>R</v>
      </c>
      <c r="AE13" s="2" t="str">
        <v>R</v>
      </c>
      <c r="AG13" s="2" t="str">
        <v>R</v>
      </c>
      <c r="AI13" s="2" t="str">
        <v>R</v>
      </c>
      <c r="AK13" s="2" t="str">
        <v>R</v>
      </c>
      <c r="AM13" s="2" t="str">
        <v>R</v>
      </c>
      <c r="AO13" s="2" t="str">
        <v>R</v>
      </c>
    </row>
    <row r="14">
      <c r="B14" s="2" t="str">
        <v>+1.00</v>
      </c>
      <c r="D14" s="2" t="str">
        <v>L</v>
      </c>
      <c r="E14" s="2">
        <v>2</v>
      </c>
      <c r="F14" s="2" t="str">
        <v>L</v>
      </c>
      <c r="G14" s="2">
        <v>3</v>
      </c>
      <c r="H14" s="2" t="str">
        <v>L</v>
      </c>
      <c r="I14" s="2">
        <v>3</v>
      </c>
      <c r="J14" s="2" t="str">
        <v>L</v>
      </c>
      <c r="K14" s="2">
        <v>3</v>
      </c>
      <c r="L14" s="2" t="str">
        <v>L</v>
      </c>
      <c r="M14" s="2">
        <v>2</v>
      </c>
      <c r="N14" s="2" t="str">
        <v>L</v>
      </c>
      <c r="O14" s="2">
        <v>3</v>
      </c>
      <c r="P14" s="2" t="str">
        <v>L</v>
      </c>
      <c r="Q14" s="2">
        <v>1</v>
      </c>
      <c r="R14" s="2" t="str">
        <v>L</v>
      </c>
      <c r="S14" s="2">
        <v>1</v>
      </c>
      <c r="T14" s="2" t="str">
        <v>L</v>
      </c>
      <c r="W14" s="2" t="str">
        <v>-1.25</v>
      </c>
      <c r="Y14" s="2" t="str">
        <v>L</v>
      </c>
      <c r="AA14" s="2" t="str">
        <v>L</v>
      </c>
      <c r="AC14" s="2" t="str">
        <v>L</v>
      </c>
      <c r="AE14" s="2" t="str">
        <v>L</v>
      </c>
      <c r="AG14" s="2" t="str">
        <v>L</v>
      </c>
      <c r="AI14" s="2" t="str">
        <v>L</v>
      </c>
      <c r="AK14" s="2" t="str">
        <v>L</v>
      </c>
      <c r="AM14" s="2" t="str">
        <v>L</v>
      </c>
      <c r="AO14" s="2" t="str">
        <v>L</v>
      </c>
    </row>
    <row r="15">
      <c r="D15" s="2" t="str">
        <v>R</v>
      </c>
      <c r="E15" s="2">
        <v>2</v>
      </c>
      <c r="F15" s="2" t="str">
        <v>R</v>
      </c>
      <c r="G15" s="2">
        <v>3</v>
      </c>
      <c r="H15" s="2" t="str">
        <v>R</v>
      </c>
      <c r="I15" s="2">
        <v>3</v>
      </c>
      <c r="J15" s="2" t="str">
        <v>R</v>
      </c>
      <c r="K15" s="2">
        <v>2</v>
      </c>
      <c r="L15" s="2" t="str">
        <v>R</v>
      </c>
      <c r="M15" s="2">
        <v>2</v>
      </c>
      <c r="N15" s="2" t="str">
        <v>R</v>
      </c>
      <c r="O15" s="2">
        <v>2</v>
      </c>
      <c r="P15" s="2" t="str">
        <v>R</v>
      </c>
      <c r="Q15" s="2">
        <v>3</v>
      </c>
      <c r="R15" s="2" t="str">
        <v>R</v>
      </c>
      <c r="S15" s="2">
        <v>1</v>
      </c>
      <c r="T15" s="2" t="str">
        <v>R</v>
      </c>
      <c r="Y15" s="2" t="str">
        <v>R</v>
      </c>
      <c r="AA15" s="2" t="str">
        <v>R</v>
      </c>
      <c r="AC15" s="2" t="str">
        <v>R</v>
      </c>
      <c r="AE15" s="2" t="str">
        <v>R</v>
      </c>
      <c r="AG15" s="2" t="str">
        <v>R</v>
      </c>
      <c r="AI15" s="2" t="str">
        <v>R</v>
      </c>
      <c r="AK15" s="2" t="str">
        <v>R</v>
      </c>
      <c r="AM15" s="2" t="str">
        <v>R</v>
      </c>
      <c r="AO15" s="2" t="str">
        <v>R</v>
      </c>
    </row>
    <row r="16">
      <c r="B16" s="2" t="str">
        <v>+1.25</v>
      </c>
      <c r="D16" s="2" t="str">
        <v>L</v>
      </c>
      <c r="E16" s="2">
        <v>2</v>
      </c>
      <c r="F16" s="2" t="str">
        <v>L</v>
      </c>
      <c r="G16" s="2">
        <v>2</v>
      </c>
      <c r="H16" s="2" t="str">
        <v>L</v>
      </c>
      <c r="I16" s="2">
        <v>2</v>
      </c>
      <c r="J16" s="2" t="str">
        <v>L</v>
      </c>
      <c r="K16" s="2">
        <v>1</v>
      </c>
      <c r="L16" s="2" t="str">
        <v>L</v>
      </c>
      <c r="M16" s="2">
        <v>3</v>
      </c>
      <c r="N16" s="2" t="str">
        <v>L</v>
      </c>
      <c r="O16" s="2">
        <v>2</v>
      </c>
      <c r="P16" s="2" t="str">
        <v>L</v>
      </c>
      <c r="Q16" s="2">
        <v>3</v>
      </c>
      <c r="R16" s="2" t="str">
        <v>L</v>
      </c>
      <c r="S16" s="2">
        <v>1</v>
      </c>
      <c r="T16" s="2" t="str">
        <v>L</v>
      </c>
      <c r="W16" s="2" t="str">
        <v>-1.50</v>
      </c>
      <c r="Y16" s="2" t="str">
        <v>L</v>
      </c>
      <c r="AA16" s="2" t="str">
        <v>L</v>
      </c>
      <c r="AC16" s="2" t="str">
        <v>L</v>
      </c>
      <c r="AE16" s="2" t="str">
        <v>L</v>
      </c>
      <c r="AG16" s="2" t="str">
        <v>L</v>
      </c>
      <c r="AI16" s="2" t="str">
        <v>L</v>
      </c>
      <c r="AK16" s="2" t="str">
        <v>L</v>
      </c>
      <c r="AM16" s="2" t="str">
        <v>L</v>
      </c>
      <c r="AO16" s="2" t="str">
        <v>L</v>
      </c>
    </row>
    <row r="17">
      <c r="D17" s="2" t="str">
        <v>R</v>
      </c>
      <c r="E17" s="2">
        <v>2</v>
      </c>
      <c r="F17" s="2" t="str">
        <v>R</v>
      </c>
      <c r="G17" s="2">
        <v>2</v>
      </c>
      <c r="H17" s="2" t="str">
        <v>R</v>
      </c>
      <c r="I17" s="2">
        <v>2</v>
      </c>
      <c r="J17" s="2" t="str">
        <v>R</v>
      </c>
      <c r="K17" s="2">
        <v>3</v>
      </c>
      <c r="L17" s="2" t="str">
        <v>R</v>
      </c>
      <c r="M17" s="2">
        <v>2</v>
      </c>
      <c r="N17" s="2" t="str">
        <v>R</v>
      </c>
      <c r="O17" s="2">
        <v>2</v>
      </c>
      <c r="P17" s="2" t="str">
        <v>R</v>
      </c>
      <c r="Q17" s="2">
        <v>2</v>
      </c>
      <c r="R17" s="2" t="str">
        <v>R</v>
      </c>
      <c r="S17" s="2">
        <v>3</v>
      </c>
      <c r="T17" s="2" t="str">
        <v>R</v>
      </c>
      <c r="Y17" s="2" t="str">
        <v>R</v>
      </c>
      <c r="AA17" s="2" t="str">
        <v>R</v>
      </c>
      <c r="AC17" s="2" t="str">
        <v>R</v>
      </c>
      <c r="AE17" s="2" t="str">
        <v>R</v>
      </c>
      <c r="AG17" s="2" t="str">
        <v>R</v>
      </c>
      <c r="AI17" s="2" t="str">
        <v>R</v>
      </c>
      <c r="AK17" s="2" t="str">
        <v>R</v>
      </c>
      <c r="AM17" s="2" t="str">
        <v>R</v>
      </c>
      <c r="AO17" s="2" t="str">
        <v>R</v>
      </c>
    </row>
    <row r="18">
      <c r="B18" s="2" t="str">
        <v>+1.50</v>
      </c>
      <c r="D18" s="2" t="str">
        <v>L</v>
      </c>
      <c r="E18" s="2">
        <v>2</v>
      </c>
      <c r="F18" s="2" t="str">
        <v>L</v>
      </c>
      <c r="G18" s="2">
        <v>1</v>
      </c>
      <c r="H18" s="2" t="str">
        <v>L</v>
      </c>
      <c r="I18" s="2">
        <v>2</v>
      </c>
      <c r="J18" s="2" t="str">
        <v>L</v>
      </c>
      <c r="K18" s="2">
        <v>2</v>
      </c>
      <c r="L18" s="2" t="str">
        <v>L</v>
      </c>
      <c r="M18" s="2">
        <v>2</v>
      </c>
      <c r="N18" s="2" t="str">
        <v>L</v>
      </c>
      <c r="O18" s="2">
        <v>1</v>
      </c>
      <c r="P18" s="2" t="str">
        <v>L</v>
      </c>
      <c r="Q18" s="2">
        <v>3</v>
      </c>
      <c r="R18" s="2" t="str">
        <v>L</v>
      </c>
      <c r="S18" s="2">
        <v>3</v>
      </c>
      <c r="T18" s="2" t="str">
        <v>L</v>
      </c>
      <c r="W18" s="2" t="str">
        <v>-1.75</v>
      </c>
      <c r="Y18" s="2" t="str">
        <v>L</v>
      </c>
      <c r="AA18" s="2" t="str">
        <v>L</v>
      </c>
      <c r="AC18" s="2" t="str">
        <v>L</v>
      </c>
      <c r="AE18" s="2" t="str">
        <v>L</v>
      </c>
      <c r="AG18" s="2" t="str">
        <v>L</v>
      </c>
      <c r="AI18" s="2" t="str">
        <v>L</v>
      </c>
      <c r="AK18" s="2" t="str">
        <v>L</v>
      </c>
      <c r="AM18" s="2" t="str">
        <v>L</v>
      </c>
      <c r="AO18" s="2" t="str">
        <v>L</v>
      </c>
    </row>
    <row r="19">
      <c r="D19" s="2" t="str">
        <v>R</v>
      </c>
      <c r="E19" s="2">
        <v>2</v>
      </c>
      <c r="F19" s="2" t="str">
        <v>R</v>
      </c>
      <c r="G19" s="2">
        <v>3</v>
      </c>
      <c r="H19" s="2" t="str">
        <v>R</v>
      </c>
      <c r="I19" s="2">
        <v>3</v>
      </c>
      <c r="J19" s="2" t="str">
        <v>R</v>
      </c>
      <c r="K19" s="2">
        <v>3</v>
      </c>
      <c r="L19" s="2" t="str">
        <v>R</v>
      </c>
      <c r="M19" s="2">
        <v>2</v>
      </c>
      <c r="N19" s="2" t="str">
        <v>R</v>
      </c>
      <c r="O19" s="2">
        <v>3</v>
      </c>
      <c r="P19" s="2" t="str">
        <v>R</v>
      </c>
      <c r="Q19" s="2">
        <v>1</v>
      </c>
      <c r="R19" s="2" t="str">
        <v>R</v>
      </c>
      <c r="S19" s="2">
        <v>2</v>
      </c>
      <c r="T19" s="2" t="str">
        <v>R</v>
      </c>
      <c r="Y19" s="2" t="str">
        <v>R</v>
      </c>
      <c r="AA19" s="2" t="str">
        <v>R</v>
      </c>
      <c r="AC19" s="2" t="str">
        <v>R</v>
      </c>
      <c r="AE19" s="2" t="str">
        <v>R</v>
      </c>
      <c r="AG19" s="2" t="str">
        <v>R</v>
      </c>
      <c r="AI19" s="2" t="str">
        <v>R</v>
      </c>
      <c r="AK19" s="2" t="str">
        <v>R</v>
      </c>
      <c r="AM19" s="2" t="str">
        <v>R</v>
      </c>
      <c r="AO19" s="2" t="str">
        <v>R</v>
      </c>
    </row>
    <row r="20">
      <c r="B20" s="2" t="str">
        <v>+1.75</v>
      </c>
      <c r="D20" s="2" t="str">
        <v>L</v>
      </c>
      <c r="E20" s="2">
        <v>2</v>
      </c>
      <c r="F20" s="2" t="str">
        <v>L</v>
      </c>
      <c r="G20" s="2">
        <v>3</v>
      </c>
      <c r="H20" s="2" t="str">
        <v>L</v>
      </c>
      <c r="I20" s="2">
        <v>2</v>
      </c>
      <c r="J20" s="2" t="str">
        <v>L</v>
      </c>
      <c r="K20" s="2">
        <v>2</v>
      </c>
      <c r="L20" s="2" t="str">
        <v>L</v>
      </c>
      <c r="M20" s="2">
        <v>3</v>
      </c>
      <c r="N20" s="2" t="str">
        <v>L</v>
      </c>
      <c r="O20" s="2">
        <v>1</v>
      </c>
      <c r="P20" s="2" t="str">
        <v>L</v>
      </c>
      <c r="Q20" s="2">
        <v>2</v>
      </c>
      <c r="R20" s="2" t="str">
        <v>L</v>
      </c>
      <c r="S20" s="2">
        <v>3</v>
      </c>
      <c r="T20" s="2" t="str">
        <v>L</v>
      </c>
      <c r="W20" s="2" t="str">
        <v>-2.00</v>
      </c>
      <c r="Y20" s="2" t="str">
        <v>L</v>
      </c>
      <c r="AA20" s="2" t="str">
        <v>L</v>
      </c>
      <c r="AC20" s="2" t="str">
        <v>L</v>
      </c>
      <c r="AE20" s="2" t="str">
        <v>L</v>
      </c>
      <c r="AG20" s="2" t="str">
        <v>L</v>
      </c>
      <c r="AI20" s="2" t="str">
        <v>L</v>
      </c>
      <c r="AK20" s="2" t="str">
        <v>L</v>
      </c>
      <c r="AM20" s="2" t="str">
        <v>L</v>
      </c>
      <c r="AO20" s="2" t="str">
        <v>L</v>
      </c>
    </row>
    <row r="21">
      <c r="D21" s="2" t="str">
        <v>R</v>
      </c>
      <c r="E21" s="2">
        <v>2</v>
      </c>
      <c r="F21" s="2" t="str">
        <v>R</v>
      </c>
      <c r="G21" s="2">
        <v>2</v>
      </c>
      <c r="H21" s="2" t="str">
        <v>R</v>
      </c>
      <c r="I21" s="2">
        <v>2</v>
      </c>
      <c r="J21" s="2" t="str">
        <v>R</v>
      </c>
      <c r="K21" s="2">
        <v>2</v>
      </c>
      <c r="L21" s="2" t="str">
        <v>R</v>
      </c>
      <c r="M21" s="2">
        <v>2</v>
      </c>
      <c r="N21" s="2" t="str">
        <v>R</v>
      </c>
      <c r="O21" s="2">
        <v>2</v>
      </c>
      <c r="P21" s="2" t="str">
        <v>R</v>
      </c>
      <c r="Q21" s="2">
        <v>2</v>
      </c>
      <c r="R21" s="2" t="str">
        <v>R</v>
      </c>
      <c r="S21" s="2">
        <v>2</v>
      </c>
      <c r="T21" s="2" t="str">
        <v>R</v>
      </c>
      <c r="Y21" s="2" t="str">
        <v>R</v>
      </c>
      <c r="AA21" s="2" t="str">
        <v>R</v>
      </c>
      <c r="AC21" s="2" t="str">
        <v>R</v>
      </c>
      <c r="AE21" s="2" t="str">
        <v>R</v>
      </c>
      <c r="AG21" s="2" t="str">
        <v>R</v>
      </c>
      <c r="AI21" s="2" t="str">
        <v>R</v>
      </c>
      <c r="AK21" s="2" t="str">
        <v>R</v>
      </c>
      <c r="AM21" s="2" t="str">
        <v>R</v>
      </c>
      <c r="AO21" s="2" t="str">
        <v>R</v>
      </c>
    </row>
    <row r="22">
      <c r="B22" s="2" t="str">
        <v>+2.00</v>
      </c>
      <c r="D22" s="2" t="str">
        <v>L</v>
      </c>
      <c r="E22" s="2">
        <v>2</v>
      </c>
      <c r="F22" s="2" t="str">
        <v>L</v>
      </c>
      <c r="G22" s="2">
        <v>3</v>
      </c>
      <c r="H22" s="2" t="str">
        <v>L</v>
      </c>
      <c r="I22" s="2">
        <v>2</v>
      </c>
      <c r="J22" s="2" t="str">
        <v>L</v>
      </c>
      <c r="K22" s="2">
        <v>3</v>
      </c>
      <c r="L22" s="2" t="str">
        <v>L</v>
      </c>
      <c r="M22" s="2">
        <v>2</v>
      </c>
      <c r="N22" s="2" t="str">
        <v>L</v>
      </c>
      <c r="O22" s="2">
        <v>1</v>
      </c>
      <c r="P22" s="2" t="str">
        <v>L</v>
      </c>
      <c r="Q22" s="2">
        <v>2</v>
      </c>
      <c r="R22" s="2" t="str">
        <v>L</v>
      </c>
      <c r="S22" s="2">
        <v>2</v>
      </c>
      <c r="T22" s="2" t="str">
        <v>L</v>
      </c>
    </row>
    <row r="23">
      <c r="D23" s="2" t="str">
        <v>R</v>
      </c>
      <c r="E23" s="2">
        <v>2</v>
      </c>
      <c r="F23" s="2" t="str">
        <v>R</v>
      </c>
      <c r="G23" s="2">
        <v>2</v>
      </c>
      <c r="H23" s="2" t="str">
        <v>R</v>
      </c>
      <c r="I23" s="2">
        <v>2</v>
      </c>
      <c r="J23" s="2" t="str">
        <v>R</v>
      </c>
      <c r="K23" s="2">
        <v>1</v>
      </c>
      <c r="L23" s="2" t="str">
        <v>R</v>
      </c>
      <c r="M23" s="2">
        <v>2</v>
      </c>
      <c r="N23" s="2" t="str">
        <v>R</v>
      </c>
      <c r="O23" s="2">
        <v>3</v>
      </c>
      <c r="P23" s="2" t="str">
        <v>R</v>
      </c>
      <c r="Q23" s="2">
        <v>3</v>
      </c>
      <c r="R23" s="2" t="str">
        <v>R</v>
      </c>
      <c r="S23" s="2">
        <v>3</v>
      </c>
      <c r="T23" s="2" t="str">
        <v>R</v>
      </c>
    </row>
    <row r="24">
      <c r="B24" s="2" t="str">
        <v>+2.25</v>
      </c>
      <c r="D24" s="2" t="str">
        <v>L</v>
      </c>
      <c r="E24" s="2">
        <v>3</v>
      </c>
      <c r="F24" s="2" t="str">
        <v>L</v>
      </c>
      <c r="G24" s="2">
        <v>2</v>
      </c>
      <c r="H24" s="2" t="str">
        <v>L</v>
      </c>
      <c r="I24" s="2">
        <v>2</v>
      </c>
      <c r="J24" s="2" t="str">
        <v>L</v>
      </c>
      <c r="K24" s="2">
        <v>2</v>
      </c>
      <c r="L24" s="2" t="str">
        <v>L</v>
      </c>
      <c r="M24" s="2">
        <v>3</v>
      </c>
      <c r="N24" s="2" t="str">
        <v>L</v>
      </c>
      <c r="O24" s="2">
        <v>2</v>
      </c>
      <c r="P24" s="2" t="str">
        <v>L</v>
      </c>
      <c r="Q24" s="2">
        <v>2</v>
      </c>
      <c r="R24" s="2" t="str">
        <v>L</v>
      </c>
      <c r="S24" s="2">
        <v>2</v>
      </c>
      <c r="T24" s="2" t="str">
        <v>L</v>
      </c>
    </row>
    <row r="25">
      <c r="D25" s="2" t="str">
        <v>R</v>
      </c>
      <c r="E25" s="2">
        <v>3</v>
      </c>
      <c r="F25" s="2" t="str">
        <v>R</v>
      </c>
      <c r="G25" s="2">
        <v>3</v>
      </c>
      <c r="H25" s="2" t="str">
        <v>R</v>
      </c>
      <c r="I25" s="2">
        <v>3</v>
      </c>
      <c r="J25" s="2" t="str">
        <v>R</v>
      </c>
      <c r="K25" s="2">
        <v>2</v>
      </c>
      <c r="L25" s="2" t="str">
        <v>R</v>
      </c>
      <c r="M25" s="2">
        <v>3</v>
      </c>
      <c r="N25" s="2" t="str">
        <v>R</v>
      </c>
      <c r="O25" s="2">
        <v>2</v>
      </c>
      <c r="P25" s="2" t="str">
        <v>R</v>
      </c>
      <c r="Q25" s="2">
        <v>1</v>
      </c>
      <c r="R25" s="2" t="str">
        <v>R</v>
      </c>
      <c r="S25" s="2">
        <v>2</v>
      </c>
      <c r="T25" s="2" t="str">
        <v>R</v>
      </c>
    </row>
    <row r="26">
      <c r="B26" s="2" t="str">
        <v>+2.50</v>
      </c>
      <c r="D26" s="2" t="str">
        <v>L</v>
      </c>
      <c r="E26" s="2">
        <v>4</v>
      </c>
      <c r="F26" s="2" t="str">
        <v>L</v>
      </c>
      <c r="G26" s="2">
        <v>2</v>
      </c>
      <c r="H26" s="2" t="str">
        <v>L</v>
      </c>
      <c r="I26" s="2">
        <v>2</v>
      </c>
      <c r="J26" s="2" t="str">
        <v>L</v>
      </c>
      <c r="K26" s="2">
        <v>3</v>
      </c>
      <c r="L26" s="2" t="str">
        <v>L</v>
      </c>
      <c r="M26" s="2">
        <v>2</v>
      </c>
      <c r="N26" s="2" t="str">
        <v>L</v>
      </c>
      <c r="O26" s="2">
        <v>2</v>
      </c>
      <c r="P26" s="2" t="str">
        <v>L</v>
      </c>
      <c r="Q26" s="2">
        <v>2</v>
      </c>
      <c r="R26" s="2" t="str">
        <v>L</v>
      </c>
      <c r="S26" s="2">
        <v>3</v>
      </c>
      <c r="T26" s="2" t="str">
        <v>L</v>
      </c>
    </row>
    <row r="27">
      <c r="D27" s="2" t="str">
        <v>R</v>
      </c>
      <c r="E27" s="2">
        <v>4</v>
      </c>
      <c r="F27" s="2" t="str">
        <v>R</v>
      </c>
      <c r="G27" s="2">
        <v>2</v>
      </c>
      <c r="H27" s="2" t="str">
        <v>R</v>
      </c>
      <c r="I27" s="2">
        <v>2</v>
      </c>
      <c r="J27" s="2" t="str">
        <v>R</v>
      </c>
      <c r="K27" s="2">
        <v>2</v>
      </c>
      <c r="L27" s="2" t="str">
        <v>R</v>
      </c>
      <c r="M27" s="2">
        <v>2</v>
      </c>
      <c r="N27" s="2" t="str">
        <v>R</v>
      </c>
      <c r="O27" s="2">
        <v>2</v>
      </c>
      <c r="P27" s="2" t="str">
        <v>R</v>
      </c>
      <c r="Q27" s="2">
        <v>3</v>
      </c>
      <c r="R27" s="2" t="str">
        <v>R</v>
      </c>
      <c r="S27" s="2">
        <v>1</v>
      </c>
      <c r="T27" s="2" t="str">
        <v>R</v>
      </c>
    </row>
    <row r="28">
      <c r="B28" s="2" t="str">
        <v>+2.75</v>
      </c>
      <c r="D28" s="2" t="str">
        <v>L</v>
      </c>
      <c r="E28" s="2">
        <v>4</v>
      </c>
      <c r="F28" s="2" t="str">
        <v>L</v>
      </c>
      <c r="G28" s="2">
        <v>2</v>
      </c>
      <c r="H28" s="2" t="str">
        <v>L</v>
      </c>
      <c r="I28" s="2">
        <v>3</v>
      </c>
      <c r="J28" s="2" t="str">
        <v>L</v>
      </c>
      <c r="K28" s="2">
        <v>3</v>
      </c>
      <c r="L28" s="2" t="str">
        <v>L</v>
      </c>
      <c r="M28" s="2">
        <v>2</v>
      </c>
      <c r="N28" s="2" t="str">
        <v>L</v>
      </c>
      <c r="O28" s="2">
        <v>2</v>
      </c>
      <c r="P28" s="2" t="str">
        <v>L</v>
      </c>
      <c r="Q28" s="2">
        <v>2</v>
      </c>
      <c r="R28" s="2" t="str">
        <v>L</v>
      </c>
      <c r="S28" s="2">
        <v>2</v>
      </c>
      <c r="T28" s="2" t="str">
        <v>L</v>
      </c>
    </row>
    <row r="29">
      <c r="D29" s="2" t="str">
        <v>R</v>
      </c>
      <c r="E29" s="2">
        <v>4</v>
      </c>
      <c r="F29" s="2" t="str">
        <v>R</v>
      </c>
      <c r="G29" s="2">
        <v>2</v>
      </c>
      <c r="H29" s="2" t="str">
        <v>R</v>
      </c>
      <c r="I29" s="2">
        <v>2</v>
      </c>
      <c r="J29" s="2" t="str">
        <v>R</v>
      </c>
      <c r="K29" s="2">
        <v>3</v>
      </c>
      <c r="L29" s="2" t="str">
        <v>R</v>
      </c>
      <c r="M29" s="2">
        <v>3</v>
      </c>
      <c r="N29" s="2" t="str">
        <v>R</v>
      </c>
      <c r="O29" s="2">
        <v>1</v>
      </c>
      <c r="P29" s="2" t="str">
        <v>R</v>
      </c>
      <c r="Q29" s="2">
        <v>2</v>
      </c>
      <c r="R29" s="2" t="str">
        <v>R</v>
      </c>
      <c r="S29" s="2">
        <v>2</v>
      </c>
      <c r="T29" s="2" t="str">
        <v>R</v>
      </c>
    </row>
    <row r="30">
      <c r="B30" s="2" t="str">
        <v>+3.00</v>
      </c>
      <c r="D30" s="2" t="str">
        <v>L</v>
      </c>
      <c r="E30" s="2">
        <v>4</v>
      </c>
      <c r="F30" s="2" t="str">
        <v>L</v>
      </c>
      <c r="G30" s="2">
        <v>2</v>
      </c>
      <c r="H30" s="2" t="str">
        <v>L</v>
      </c>
      <c r="I30" s="2">
        <v>1</v>
      </c>
      <c r="J30" s="2" t="str">
        <v>L</v>
      </c>
      <c r="K30" s="2">
        <v>2</v>
      </c>
      <c r="L30" s="2" t="str">
        <v>L</v>
      </c>
      <c r="M30" s="2">
        <v>2</v>
      </c>
      <c r="N30" s="2" t="str">
        <v>L</v>
      </c>
      <c r="O30" s="2">
        <v>2</v>
      </c>
      <c r="P30" s="2" t="str">
        <v>L</v>
      </c>
      <c r="Q30" s="2">
        <v>2</v>
      </c>
      <c r="R30" s="2" t="str">
        <v>L</v>
      </c>
      <c r="S30" s="2">
        <v>3</v>
      </c>
      <c r="T30" s="2" t="str">
        <v>L</v>
      </c>
    </row>
    <row r="31">
      <c r="D31" s="2" t="str">
        <v>R</v>
      </c>
      <c r="E31" s="2">
        <v>4</v>
      </c>
      <c r="F31" s="2" t="str">
        <v>R</v>
      </c>
      <c r="G31" s="2">
        <v>2</v>
      </c>
      <c r="H31" s="2" t="str">
        <v>R</v>
      </c>
      <c r="I31" s="2">
        <v>1</v>
      </c>
      <c r="J31" s="2" t="str">
        <v>R</v>
      </c>
      <c r="K31" s="2">
        <v>3</v>
      </c>
      <c r="L31" s="2" t="str">
        <v>R</v>
      </c>
      <c r="M31" s="2">
        <v>3</v>
      </c>
      <c r="N31" s="2" t="str">
        <v>R</v>
      </c>
      <c r="O31" s="2">
        <v>2</v>
      </c>
      <c r="P31" s="2" t="str">
        <v>R</v>
      </c>
      <c r="Q31" s="2">
        <v>2</v>
      </c>
      <c r="R31" s="2" t="str">
        <v>R</v>
      </c>
      <c r="S31" s="2">
        <v>2</v>
      </c>
      <c r="T31" s="2" t="str">
        <v>R</v>
      </c>
    </row>
    <row r="36">
      <c r="C36" s="2" t="str">
        <v>PEDIDO SUGERIDO BIFOCAL FT-L28 AR (PAR)</v>
      </c>
    </row>
    <row r="37">
      <c r="B37" s="2" t="str">
        <v>PEDIDO SUGERIDO BIFOCAL FT-L28 AR (PAR)</v>
      </c>
    </row>
    <row r="38">
      <c r="C38" s="2" t="str">
        <v>ADICION</v>
      </c>
      <c r="X38" s="2" t="str">
        <v>ADICION</v>
      </c>
    </row>
    <row r="40">
      <c r="A40" s="2" t="str">
        <v>(+)</v>
      </c>
      <c r="C40" s="2" t="str">
        <v>1.00</v>
      </c>
      <c r="E40" s="2" t="str">
        <v>1.25</v>
      </c>
      <c r="G40" s="2" t="str">
        <v>1.50</v>
      </c>
      <c r="I40" s="2" t="str">
        <v>1.75</v>
      </c>
      <c r="K40" s="2" t="str">
        <v>2.00</v>
      </c>
      <c r="M40" s="2" t="str">
        <v>2.25</v>
      </c>
      <c r="O40" s="2" t="str">
        <v>2.50</v>
      </c>
      <c r="Q40" s="2" t="str">
        <v>2.75</v>
      </c>
      <c r="S40" s="2" t="str">
        <v>3.00</v>
      </c>
      <c r="V40" s="2" t="str">
        <v>(-)</v>
      </c>
      <c r="X40" s="2" t="str">
        <v>1.00</v>
      </c>
      <c r="Z40" s="2" t="str">
        <v>1.25</v>
      </c>
      <c r="AB40" s="2" t="str">
        <v>1.50</v>
      </c>
      <c r="AD40" s="2" t="str">
        <v>1.75</v>
      </c>
      <c r="AF40" s="2" t="str">
        <v>2.00</v>
      </c>
      <c r="AH40" s="2" t="str">
        <v>2.25</v>
      </c>
      <c r="AJ40" s="2" t="str">
        <v>+2.50</v>
      </c>
      <c r="AL40" s="2" t="str">
        <v>+2.75</v>
      </c>
      <c r="AN40" s="2" t="str">
        <v>+3.00</v>
      </c>
    </row>
    <row r="41">
      <c r="A41" s="2" t="str">
        <v>ESFERA</v>
      </c>
      <c r="B41" s="2" t="str">
        <v>0.00</v>
      </c>
      <c r="D41" s="2" t="str">
        <v>L</v>
      </c>
      <c r="E41" s="2" t="str">
        <f>IF(QUOTIENT(E6+E7,2)&lt;2,2-QUOTIENT(E6+E7,2),"")</f>
        <v/>
      </c>
      <c r="F41" s="2" t="str">
        <v>L</v>
      </c>
      <c r="G41" s="2" t="str">
        <f>IF(QUOTIENT(G6+G7,2)&lt;2,2-QUOTIENT(G6+G7,2),"")</f>
        <v/>
      </c>
      <c r="H41" s="2" t="str">
        <v>L</v>
      </c>
      <c r="I41" s="2" t="str">
        <f>IF(QUOTIENT(I6+I7,2)&lt;2,2-QUOTIENT(I6+I7,2),"")</f>
        <v/>
      </c>
      <c r="J41" s="2" t="str">
        <v>L</v>
      </c>
      <c r="K41" s="2" t="str">
        <f>IF(QUOTIENT(K6+K7,2)&lt;2,2-QUOTIENT(K6+K7,2),"")</f>
        <v/>
      </c>
      <c r="L41" s="2" t="str">
        <v>L</v>
      </c>
      <c r="M41" s="2" t="str">
        <f>IF(QUOTIENT(M6+M7,2)&lt;2,2-QUOTIENT(M6+M7,2),"")</f>
        <v/>
      </c>
      <c r="N41" s="2" t="str">
        <v>L</v>
      </c>
      <c r="O41" s="2" t="str">
        <f>IF(QUOTIENT(O6+O7,2)&lt;2,2-QUOTIENT(O6+O7,2),"")</f>
        <v/>
      </c>
      <c r="P41" s="2" t="str">
        <v>L</v>
      </c>
      <c r="Q41" s="2" t="str">
        <f>IF(QUOTIENT(Q6+Q7,2)&lt;2,2-QUOTIENT(Q6+Q7,2),"")</f>
        <v/>
      </c>
      <c r="R41" s="2" t="str">
        <v>L</v>
      </c>
      <c r="S41" s="2" t="str">
        <f>IF(QUOTIENT(S6+S7,2)&lt;2,2-QUOTIENT(S6+S7,2),"")</f>
        <v/>
      </c>
      <c r="T41" s="2" t="str">
        <v>L</v>
      </c>
      <c r="V41" s="2" t="str">
        <v>ESFERA</v>
      </c>
      <c r="W41" s="2" t="str">
        <v>-0.25</v>
      </c>
      <c r="Y41" s="2" t="str">
        <v>L</v>
      </c>
      <c r="Z41" s="2">
        <f>IF(QUOTIENT(Z6+Z7,2)&lt;2,2-QUOTIENT(Z6+Z7,2),"")</f>
        <v>2</v>
      </c>
      <c r="AA41" s="2" t="str">
        <v>L</v>
      </c>
      <c r="AB41" s="2">
        <f>IF(QUOTIENT(AB6+AB7,2)&lt;2,2-QUOTIENT(AB6+AB7,2),"")</f>
        <v>2</v>
      </c>
      <c r="AC41" s="2" t="str">
        <v>L</v>
      </c>
      <c r="AD41" s="2">
        <f>IF(QUOTIENT(AD6+AD7,2)&lt;2,2-QUOTIENT(AD6+AD7,2),"")</f>
        <v>2</v>
      </c>
      <c r="AE41" s="2" t="str">
        <v>L</v>
      </c>
      <c r="AF41" s="2">
        <f>IF(QUOTIENT(AF6+AF7,2)&lt;2,2-QUOTIENT(AF6+AF7,2),"")</f>
        <v>2</v>
      </c>
      <c r="AG41" s="2" t="str">
        <v>L</v>
      </c>
      <c r="AH41" s="2">
        <f>IF(QUOTIENT(AH6+AH7,2)&lt;2,2-QUOTIENT(AH6+AH7,2),"")</f>
        <v>2</v>
      </c>
      <c r="AI41" s="2" t="str">
        <v>L</v>
      </c>
      <c r="AJ41" s="2">
        <f>IF(QUOTIENT(AJ6+AJ7,2)&lt;2,2-QUOTIENT(AJ6+AJ7,2),"")</f>
        <v>2</v>
      </c>
      <c r="AK41" s="2" t="str">
        <v>L</v>
      </c>
      <c r="AL41" s="2">
        <f>IF(QUOTIENT(AL6+AL7,2)&lt;2,2-QUOTIENT(AL6+AL7,2),"")</f>
        <v>2</v>
      </c>
      <c r="AM41" s="2" t="str">
        <v>L</v>
      </c>
      <c r="AN41" s="2">
        <f>IF(QUOTIENT(AN6+AN7,2)&lt;2,2-QUOTIENT(AN6+AN7,2),"")</f>
        <v>2</v>
      </c>
      <c r="AO41" s="2" t="str">
        <v>L</v>
      </c>
    </row>
    <row r="42">
      <c r="D42" s="2" t="str">
        <v>R</v>
      </c>
      <c r="F42" s="2" t="str">
        <v>R</v>
      </c>
      <c r="H42" s="2" t="str">
        <v>R</v>
      </c>
      <c r="J42" s="2" t="str">
        <v>R</v>
      </c>
      <c r="L42" s="2" t="str">
        <v>R</v>
      </c>
      <c r="N42" s="2" t="str">
        <v>R</v>
      </c>
      <c r="P42" s="2" t="str">
        <v>R</v>
      </c>
      <c r="R42" s="2" t="str">
        <v>R</v>
      </c>
      <c r="T42" s="2" t="str">
        <v>R</v>
      </c>
      <c r="Y42" s="2" t="str">
        <v>R</v>
      </c>
      <c r="AA42" s="2" t="str">
        <v>R</v>
      </c>
      <c r="AC42" s="2" t="str">
        <v>R</v>
      </c>
      <c r="AE42" s="2" t="str">
        <v>R</v>
      </c>
      <c r="AG42" s="2" t="str">
        <v>R</v>
      </c>
      <c r="AI42" s="2" t="str">
        <v>R</v>
      </c>
      <c r="AK42" s="2" t="str">
        <v>R</v>
      </c>
      <c r="AM42" s="2" t="str">
        <v>R</v>
      </c>
      <c r="AO42" s="2" t="str">
        <v>R</v>
      </c>
    </row>
    <row r="43">
      <c r="B43" s="2" t="str">
        <v>+0.25</v>
      </c>
      <c r="D43" s="2" t="str">
        <v>L</v>
      </c>
      <c r="E43" s="2" t="str">
        <f>IF(QUOTIENT(E8+E9,2)&lt;2,2-QUOTIENT(E8+E9,2),"")</f>
        <v/>
      </c>
      <c r="F43" s="2" t="str">
        <v>L</v>
      </c>
      <c r="G43" s="2" t="str">
        <f>IF(QUOTIENT(G8+G9,2)&lt;2,2-QUOTIENT(G8+G9,2),"")</f>
        <v/>
      </c>
      <c r="H43" s="2" t="str">
        <v>L</v>
      </c>
      <c r="I43" s="2" t="str">
        <f>IF(QUOTIENT(I8+I9,2)&lt;2,2-QUOTIENT(I8+I9,2),"")</f>
        <v/>
      </c>
      <c r="J43" s="2" t="str">
        <v>L</v>
      </c>
      <c r="K43" s="2">
        <f>IF(QUOTIENT(K8+K9,2)&lt;2,2-QUOTIENT(K8+K9,2),"")</f>
        <v>1</v>
      </c>
      <c r="L43" s="2" t="str">
        <v>L</v>
      </c>
      <c r="M43" s="2" t="str">
        <f>IF(QUOTIENT(M8+M9,2)&lt;2,2-QUOTIENT(M8+M9,2),"")</f>
        <v/>
      </c>
      <c r="N43" s="2" t="str">
        <v>L</v>
      </c>
      <c r="O43" s="2" t="str">
        <f>IF(QUOTIENT(O8+O9,2)&lt;2,2-QUOTIENT(O8+O9,2),"")</f>
        <v/>
      </c>
      <c r="P43" s="2" t="str">
        <v>L</v>
      </c>
      <c r="Q43" s="2" t="str">
        <f>IF(QUOTIENT(Q8+Q9,2)&lt;2,2-QUOTIENT(Q8+Q9,2),"")</f>
        <v/>
      </c>
      <c r="R43" s="2" t="str">
        <v>L</v>
      </c>
      <c r="S43" s="2" t="str">
        <f>IF(QUOTIENT(S8+S9,2)&lt;2,2-QUOTIENT(S8+S9,2),"")</f>
        <v/>
      </c>
      <c r="T43" s="2" t="str">
        <v>L</v>
      </c>
      <c r="W43" s="2" t="str">
        <v>-0.50</v>
      </c>
      <c r="Y43" s="2" t="str">
        <v>L</v>
      </c>
      <c r="Z43" s="2">
        <f>IF(QUOTIENT(Z8+Z9,2)&lt;2,2-QUOTIENT(Z8+Z9,2),"")</f>
        <v>2</v>
      </c>
      <c r="AA43" s="2" t="str">
        <v>L</v>
      </c>
      <c r="AB43" s="2">
        <f>IF(QUOTIENT(AB8+AB9,2)&lt;2,2-QUOTIENT(AB8+AB9,2),"")</f>
        <v>2</v>
      </c>
      <c r="AC43" s="2" t="str">
        <v>L</v>
      </c>
      <c r="AD43" s="2">
        <f>IF(QUOTIENT(AD8+AD9,2)&lt;2,2-QUOTIENT(AD8+AD9,2),"")</f>
        <v>2</v>
      </c>
      <c r="AE43" s="2" t="str">
        <v>L</v>
      </c>
      <c r="AF43" s="2">
        <f>IF(QUOTIENT(AF8+AF9,2)&lt;2,2-QUOTIENT(AF8+AF9,2),"")</f>
        <v>2</v>
      </c>
      <c r="AG43" s="2" t="str">
        <v>L</v>
      </c>
      <c r="AH43" s="2">
        <f>IF(QUOTIENT(AH8+AH9,2)&lt;2,2-QUOTIENT(AH8+AH9,2),"")</f>
        <v>2</v>
      </c>
      <c r="AI43" s="2" t="str">
        <v>L</v>
      </c>
      <c r="AJ43" s="2">
        <f>IF(QUOTIENT(AJ8+AJ9,2)&lt;2,2-QUOTIENT(AJ8+AJ9,2),"")</f>
        <v>2</v>
      </c>
      <c r="AK43" s="2" t="str">
        <v>L</v>
      </c>
      <c r="AL43" s="2">
        <f>IF(QUOTIENT(AL8+AL9,2)&lt;2,2-QUOTIENT(AL8+AL9,2),"")</f>
        <v>2</v>
      </c>
      <c r="AM43" s="2" t="str">
        <v>L</v>
      </c>
      <c r="AN43" s="2">
        <f>IF(QUOTIENT(AN8+AN9,2)&lt;2,2-QUOTIENT(AN8+AN9,2),"")</f>
        <v>2</v>
      </c>
      <c r="AO43" s="2" t="str">
        <v>L</v>
      </c>
    </row>
    <row r="44">
      <c r="D44" s="2" t="str">
        <v>R</v>
      </c>
      <c r="F44" s="2" t="str">
        <v>R</v>
      </c>
      <c r="H44" s="2" t="str">
        <v>R</v>
      </c>
      <c r="J44" s="2" t="str">
        <v>R</v>
      </c>
      <c r="L44" s="2" t="str">
        <v>R</v>
      </c>
      <c r="N44" s="2" t="str">
        <v>R</v>
      </c>
      <c r="P44" s="2" t="str">
        <v>R</v>
      </c>
      <c r="R44" s="2" t="str">
        <v>R</v>
      </c>
      <c r="T44" s="2" t="str">
        <v>R</v>
      </c>
      <c r="Y44" s="2" t="str">
        <v>R</v>
      </c>
      <c r="AA44" s="2" t="str">
        <v>R</v>
      </c>
      <c r="AC44" s="2" t="str">
        <v>R</v>
      </c>
      <c r="AE44" s="2" t="str">
        <v>R</v>
      </c>
      <c r="AG44" s="2" t="str">
        <v>R</v>
      </c>
      <c r="AI44" s="2" t="str">
        <v>R</v>
      </c>
      <c r="AK44" s="2" t="str">
        <v>R</v>
      </c>
      <c r="AM44" s="2" t="str">
        <v>R</v>
      </c>
      <c r="AO44" s="2" t="str">
        <v>R</v>
      </c>
    </row>
    <row r="45">
      <c r="B45" s="2" t="str">
        <v>+0.50</v>
      </c>
      <c r="D45" s="2" t="str">
        <v>L</v>
      </c>
      <c r="E45" s="2" t="str">
        <f>IF(QUOTIENT(E10+E11,2)&lt;2,2-QUOTIENT(E10+E11,2),"")</f>
        <v/>
      </c>
      <c r="F45" s="2" t="str">
        <v>L</v>
      </c>
      <c r="G45" s="2" t="str">
        <f>IF(QUOTIENT(G10+G11,2)&lt;2,2-QUOTIENT(G10+G11,2),"")</f>
        <v/>
      </c>
      <c r="H45" s="2" t="str">
        <v>L</v>
      </c>
      <c r="I45" s="2" t="str">
        <f>IF(QUOTIENT(I10+I11,2)&lt;2,2-QUOTIENT(I10+I11,2),"")</f>
        <v/>
      </c>
      <c r="J45" s="2" t="str">
        <v>L</v>
      </c>
      <c r="K45" s="2" t="str">
        <f>IF(QUOTIENT(K10+K11,2)&lt;2,2-QUOTIENT(K10+K11,2),"")</f>
        <v/>
      </c>
      <c r="L45" s="2" t="str">
        <v>L</v>
      </c>
      <c r="M45" s="2" t="str">
        <f>IF(QUOTIENT(M10+M11,2)&lt;2,2-QUOTIENT(M10+M11,2),"")</f>
        <v/>
      </c>
      <c r="N45" s="2" t="str">
        <v>L</v>
      </c>
      <c r="O45" s="2" t="str">
        <f>IF(QUOTIENT(O10+O11,2)&lt;2,2-QUOTIENT(O10+O11,2),"")</f>
        <v/>
      </c>
      <c r="P45" s="2" t="str">
        <v>L</v>
      </c>
      <c r="Q45" s="2" t="str">
        <f>IF(QUOTIENT(Q10+Q11,2)&lt;2,2-QUOTIENT(Q10+Q11,2),"")</f>
        <v/>
      </c>
      <c r="R45" s="2" t="str">
        <v>L</v>
      </c>
      <c r="S45" s="2" t="str">
        <f>IF(QUOTIENT(S10+S11,2)&lt;2,2-QUOTIENT(S10+S11,2),"")</f>
        <v/>
      </c>
      <c r="T45" s="2" t="str">
        <v>L</v>
      </c>
      <c r="W45" s="2" t="str">
        <v>-0.75</v>
      </c>
      <c r="Y45" s="2" t="str">
        <v>L</v>
      </c>
      <c r="Z45" s="2">
        <f>IF(QUOTIENT(Z10+Z11,2)&lt;2,2-QUOTIENT(Z10+Z11,2),"")</f>
        <v>2</v>
      </c>
      <c r="AA45" s="2" t="str">
        <v>L</v>
      </c>
      <c r="AB45" s="2">
        <f>IF(QUOTIENT(AB10+AB11,2)&lt;2,2-QUOTIENT(AB10+AB11,2),"")</f>
        <v>2</v>
      </c>
      <c r="AC45" s="2" t="str">
        <v>L</v>
      </c>
      <c r="AD45" s="2">
        <f>IF(QUOTIENT(AD10+AD11,2)&lt;2,2-QUOTIENT(AD10+AD11,2),"")</f>
        <v>2</v>
      </c>
      <c r="AE45" s="2" t="str">
        <v>L</v>
      </c>
      <c r="AF45" s="2">
        <f>IF(QUOTIENT(AF10+AF11,2)&lt;2,2-QUOTIENT(AF10+AF11,2),"")</f>
        <v>2</v>
      </c>
      <c r="AG45" s="2" t="str">
        <v>L</v>
      </c>
      <c r="AH45" s="2">
        <f>IF(QUOTIENT(AH10+AH11,2)&lt;2,2-QUOTIENT(AH10+AH11,2),"")</f>
        <v>2</v>
      </c>
      <c r="AI45" s="2" t="str">
        <v>L</v>
      </c>
      <c r="AJ45" s="2">
        <f>IF(QUOTIENT(AJ10+AJ11,2)&lt;2,2-QUOTIENT(AJ10+AJ11,2),"")</f>
        <v>2</v>
      </c>
      <c r="AK45" s="2" t="str">
        <v>L</v>
      </c>
      <c r="AL45" s="2">
        <f>IF(QUOTIENT(AL10+AL11,2)&lt;2,2-QUOTIENT(AL10+AL11,2),"")</f>
        <v>2</v>
      </c>
      <c r="AM45" s="2" t="str">
        <v>L</v>
      </c>
      <c r="AN45" s="2">
        <f>IF(QUOTIENT(AN10+AN11,2)&lt;2,2-QUOTIENT(AN10+AN11,2),"")</f>
        <v>2</v>
      </c>
      <c r="AO45" s="2" t="str">
        <v>L</v>
      </c>
    </row>
    <row r="46">
      <c r="D46" s="2" t="str">
        <v>R</v>
      </c>
      <c r="F46" s="2" t="str">
        <v>R</v>
      </c>
      <c r="H46" s="2" t="str">
        <v>R</v>
      </c>
      <c r="J46" s="2" t="str">
        <v>R</v>
      </c>
      <c r="L46" s="2" t="str">
        <v>R</v>
      </c>
      <c r="N46" s="2" t="str">
        <v>R</v>
      </c>
      <c r="P46" s="2" t="str">
        <v>R</v>
      </c>
      <c r="R46" s="2" t="str">
        <v>R</v>
      </c>
      <c r="T46" s="2" t="str">
        <v>R</v>
      </c>
      <c r="Y46" s="2" t="str">
        <v>R</v>
      </c>
      <c r="AA46" s="2" t="str">
        <v>R</v>
      </c>
      <c r="AC46" s="2" t="str">
        <v>R</v>
      </c>
      <c r="AE46" s="2" t="str">
        <v>R</v>
      </c>
      <c r="AG46" s="2" t="str">
        <v>R</v>
      </c>
      <c r="AI46" s="2" t="str">
        <v>R</v>
      </c>
      <c r="AK46" s="2" t="str">
        <v>R</v>
      </c>
      <c r="AM46" s="2" t="str">
        <v>R</v>
      </c>
      <c r="AO46" s="2" t="str">
        <v>R</v>
      </c>
    </row>
    <row r="47">
      <c r="B47" s="2" t="str">
        <v>+0.75</v>
      </c>
      <c r="D47" s="2" t="str">
        <v>L</v>
      </c>
      <c r="E47" s="2" t="str">
        <f>IF(QUOTIENT(E12+E13,2)&lt;2,2-QUOTIENT(E12+E13,2),"")</f>
        <v/>
      </c>
      <c r="F47" s="2" t="str">
        <v>L</v>
      </c>
      <c r="G47" s="2">
        <f>IF(QUOTIENT(G12+G13,2)&lt;2,2-QUOTIENT(G12+G13,2),"")</f>
        <v>1</v>
      </c>
      <c r="H47" s="2" t="str">
        <v>L</v>
      </c>
      <c r="I47" s="2" t="str">
        <f>IF(QUOTIENT(I12+I13,2)&lt;2,2-QUOTIENT(I12+I13,2),"")</f>
        <v/>
      </c>
      <c r="J47" s="2" t="str">
        <v>L</v>
      </c>
      <c r="K47" s="2">
        <f>IF(QUOTIENT(K12+K13,2)&lt;2,2-QUOTIENT(K12+K13,2),"")</f>
        <v>1</v>
      </c>
      <c r="L47" s="2" t="str">
        <v>L</v>
      </c>
      <c r="M47" s="2" t="str">
        <f>IF(QUOTIENT(M12+M13,2)&lt;2,2-QUOTIENT(M12+M13,2),"")</f>
        <v/>
      </c>
      <c r="N47" s="2" t="str">
        <v>L</v>
      </c>
      <c r="O47" s="2" t="str">
        <f>IF(QUOTIENT(O12+O13,2)&lt;2,2-QUOTIENT(O12+O13,2),"")</f>
        <v/>
      </c>
      <c r="P47" s="2" t="str">
        <v>L</v>
      </c>
      <c r="Q47" s="2" t="str">
        <f>IF(QUOTIENT(Q12+Q13,2)&lt;2,2-QUOTIENT(Q12+Q13,2),"")</f>
        <v/>
      </c>
      <c r="R47" s="2" t="str">
        <v>L</v>
      </c>
      <c r="S47" s="2" t="str">
        <f>IF(QUOTIENT(S12+S13,2)&lt;2,2-QUOTIENT(S12+S13,2),"")</f>
        <v/>
      </c>
      <c r="T47" s="2" t="str">
        <v>L</v>
      </c>
      <c r="W47" s="2" t="str">
        <v>-1.00</v>
      </c>
      <c r="Y47" s="2" t="str">
        <v>L</v>
      </c>
      <c r="Z47" s="2">
        <f>IF(QUOTIENT(Z12+Z13,2)&lt;2,2-QUOTIENT(Z12+Z13,2),"")</f>
        <v>2</v>
      </c>
      <c r="AA47" s="2" t="str">
        <v>L</v>
      </c>
      <c r="AB47" s="2">
        <f>IF(QUOTIENT(AB12+AB13,2)&lt;2,2-QUOTIENT(AB12+AB13,2),"")</f>
        <v>2</v>
      </c>
      <c r="AC47" s="2" t="str">
        <v>L</v>
      </c>
      <c r="AD47" s="2">
        <f>IF(QUOTIENT(AD12+AD13,2)&lt;2,2-QUOTIENT(AD12+AD13,2),"")</f>
        <v>2</v>
      </c>
      <c r="AE47" s="2" t="str">
        <v>L</v>
      </c>
      <c r="AF47" s="2">
        <f>IF(QUOTIENT(AF12+AF13,2)&lt;2,2-QUOTIENT(AF12+AF13,2),"")</f>
        <v>2</v>
      </c>
      <c r="AG47" s="2" t="str">
        <v>L</v>
      </c>
      <c r="AH47" s="2">
        <f>IF(QUOTIENT(AH12+AH13,2)&lt;2,2-QUOTIENT(AH12+AH13,2),"")</f>
        <v>2</v>
      </c>
      <c r="AI47" s="2" t="str">
        <v>L</v>
      </c>
      <c r="AJ47" s="2">
        <f>IF(QUOTIENT(AJ12+AJ13,2)&lt;2,2-QUOTIENT(AJ12+AJ13,2),"")</f>
        <v>2</v>
      </c>
      <c r="AK47" s="2" t="str">
        <v>L</v>
      </c>
      <c r="AL47" s="2">
        <f>IF(QUOTIENT(AL12+AL13,2)&lt;2,2-QUOTIENT(AL12+AL13,2),"")</f>
        <v>2</v>
      </c>
      <c r="AM47" s="2" t="str">
        <v>L</v>
      </c>
      <c r="AN47" s="2">
        <f>IF(QUOTIENT(AN12+AN13,2)&lt;2,2-QUOTIENT(AN12+AN13,2),"")</f>
        <v>2</v>
      </c>
      <c r="AO47" s="2" t="str">
        <v>L</v>
      </c>
    </row>
    <row r="48">
      <c r="D48" s="2" t="str">
        <v>R</v>
      </c>
      <c r="F48" s="2" t="str">
        <v>R</v>
      </c>
      <c r="H48" s="2" t="str">
        <v>R</v>
      </c>
      <c r="J48" s="2" t="str">
        <v>R</v>
      </c>
      <c r="L48" s="2" t="str">
        <v>R</v>
      </c>
      <c r="N48" s="2" t="str">
        <v>R</v>
      </c>
      <c r="P48" s="2" t="str">
        <v>R</v>
      </c>
      <c r="R48" s="2" t="str">
        <v>R</v>
      </c>
      <c r="T48" s="2" t="str">
        <v>R</v>
      </c>
      <c r="Y48" s="2" t="str">
        <v>R</v>
      </c>
      <c r="AA48" s="2" t="str">
        <v>R</v>
      </c>
      <c r="AC48" s="2" t="str">
        <v>R</v>
      </c>
      <c r="AE48" s="2" t="str">
        <v>R</v>
      </c>
      <c r="AG48" s="2" t="str">
        <v>R</v>
      </c>
      <c r="AI48" s="2" t="str">
        <v>R</v>
      </c>
      <c r="AK48" s="2" t="str">
        <v>R</v>
      </c>
      <c r="AM48" s="2" t="str">
        <v>R</v>
      </c>
      <c r="AO48" s="2" t="str">
        <v>R</v>
      </c>
    </row>
    <row r="49">
      <c r="B49" s="2" t="str">
        <v>+1.00</v>
      </c>
      <c r="D49" s="2" t="str">
        <v>L</v>
      </c>
      <c r="E49" s="2" t="str">
        <f>IF(QUOTIENT(E14+E15,2)&lt;2,2-QUOTIENT(E14+E15,2),"")</f>
        <v/>
      </c>
      <c r="F49" s="2" t="str">
        <v>L</v>
      </c>
      <c r="G49" s="2" t="str">
        <f>IF(QUOTIENT(G14+G15,2)&lt;2,2-QUOTIENT(G14+G15,2),"")</f>
        <v/>
      </c>
      <c r="H49" s="2" t="str">
        <v>L</v>
      </c>
      <c r="I49" s="2" t="str">
        <f>IF(QUOTIENT(I14+I15,2)&lt;2,2-QUOTIENT(I14+I15,2),"")</f>
        <v/>
      </c>
      <c r="J49" s="2" t="str">
        <v>L</v>
      </c>
      <c r="K49" s="2" t="str">
        <f>IF(QUOTIENT(K14+K15,2)&lt;2,2-QUOTIENT(K14+K15,2),"")</f>
        <v/>
      </c>
      <c r="L49" s="2" t="str">
        <v>L</v>
      </c>
      <c r="M49" s="2" t="str">
        <f>IF(QUOTIENT(M14+M15,2)&lt;2,2-QUOTIENT(M14+M15,2),"")</f>
        <v/>
      </c>
      <c r="N49" s="2" t="str">
        <v>L</v>
      </c>
      <c r="O49" s="2" t="str">
        <f>IF(QUOTIENT(O14+O15,2)&lt;2,2-QUOTIENT(O14+O15,2),"")</f>
        <v/>
      </c>
      <c r="P49" s="2" t="str">
        <v>L</v>
      </c>
      <c r="Q49" s="2" t="str">
        <f>IF(QUOTIENT(Q14+Q15,2)&lt;2,2-QUOTIENT(Q14+Q15,2),"")</f>
        <v/>
      </c>
      <c r="R49" s="2" t="str">
        <v>L</v>
      </c>
      <c r="S49" s="2">
        <f>IF(QUOTIENT(S14+S15,2)&lt;2,2-QUOTIENT(S14+S15,2),"")</f>
        <v>1</v>
      </c>
      <c r="T49" s="2" t="str">
        <v>L</v>
      </c>
      <c r="W49" s="2" t="str">
        <v>-1.25</v>
      </c>
      <c r="Y49" s="2" t="str">
        <v>L</v>
      </c>
      <c r="Z49" s="2">
        <f>IF(QUOTIENT(Z14+Z15,2)&lt;2,2-QUOTIENT(Z14+Z15,2),"")</f>
        <v>2</v>
      </c>
      <c r="AA49" s="2" t="str">
        <v>L</v>
      </c>
      <c r="AB49" s="2">
        <f>IF(QUOTIENT(AB14+AB15,2)&lt;2,2-QUOTIENT(AB14+AB15,2),"")</f>
        <v>2</v>
      </c>
      <c r="AC49" s="2" t="str">
        <v>L</v>
      </c>
      <c r="AD49" s="2">
        <f>IF(QUOTIENT(AD14+AD15,2)&lt;2,2-QUOTIENT(AD14+AD15,2),"")</f>
        <v>2</v>
      </c>
      <c r="AE49" s="2" t="str">
        <v>L</v>
      </c>
      <c r="AF49" s="2">
        <f>IF(QUOTIENT(AF14+AF15,2)&lt;2,2-QUOTIENT(AF14+AF15,2),"")</f>
        <v>2</v>
      </c>
      <c r="AG49" s="2" t="str">
        <v>L</v>
      </c>
      <c r="AH49" s="2">
        <f>IF(QUOTIENT(AH14+AH15,2)&lt;2,2-QUOTIENT(AH14+AH15,2),"")</f>
        <v>2</v>
      </c>
      <c r="AI49" s="2" t="str">
        <v>L</v>
      </c>
      <c r="AJ49" s="2">
        <f>IF(QUOTIENT(AJ14+AJ15,2)&lt;2,2-QUOTIENT(AJ14+AJ15,2),"")</f>
        <v>2</v>
      </c>
      <c r="AK49" s="2" t="str">
        <v>L</v>
      </c>
      <c r="AL49" s="2">
        <f>IF(QUOTIENT(AL14+AL15,2)&lt;2,2-QUOTIENT(AL14+AL15,2),"")</f>
        <v>2</v>
      </c>
      <c r="AM49" s="2" t="str">
        <v>L</v>
      </c>
      <c r="AN49" s="2">
        <f>IF(QUOTIENT(AN14+AN15,2)&lt;2,2-QUOTIENT(AN14+AN15,2),"")</f>
        <v>2</v>
      </c>
      <c r="AO49" s="2" t="str">
        <v>L</v>
      </c>
    </row>
    <row r="50">
      <c r="D50" s="2" t="str">
        <v>R</v>
      </c>
      <c r="F50" s="2" t="str">
        <v>R</v>
      </c>
      <c r="H50" s="2" t="str">
        <v>R</v>
      </c>
      <c r="J50" s="2" t="str">
        <v>R</v>
      </c>
      <c r="L50" s="2" t="str">
        <v>R</v>
      </c>
      <c r="N50" s="2" t="str">
        <v>R</v>
      </c>
      <c r="P50" s="2" t="str">
        <v>R</v>
      </c>
      <c r="R50" s="2" t="str">
        <v>R</v>
      </c>
      <c r="T50" s="2" t="str">
        <v>R</v>
      </c>
      <c r="Y50" s="2" t="str">
        <v>R</v>
      </c>
      <c r="AA50" s="2" t="str">
        <v>R</v>
      </c>
      <c r="AC50" s="2" t="str">
        <v>R</v>
      </c>
      <c r="AE50" s="2" t="str">
        <v>R</v>
      </c>
      <c r="AG50" s="2" t="str">
        <v>R</v>
      </c>
      <c r="AI50" s="2" t="str">
        <v>R</v>
      </c>
      <c r="AK50" s="2" t="str">
        <v>R</v>
      </c>
      <c r="AM50" s="2" t="str">
        <v>R</v>
      </c>
      <c r="AO50" s="2" t="str">
        <v>R</v>
      </c>
    </row>
    <row r="51">
      <c r="B51" s="2" t="str">
        <v>+1.25</v>
      </c>
      <c r="D51" s="2" t="str">
        <v>L</v>
      </c>
      <c r="E51" s="2" t="str">
        <f>IF(QUOTIENT(E16+E17,2)&lt;2,2-QUOTIENT(E16+E17,2),"")</f>
        <v/>
      </c>
      <c r="F51" s="2" t="str">
        <v>L</v>
      </c>
      <c r="G51" s="2" t="str">
        <f>IF(QUOTIENT(G16+G17,2)&lt;2,2-QUOTIENT(G16+G17,2),"")</f>
        <v/>
      </c>
      <c r="H51" s="2" t="str">
        <v>L</v>
      </c>
      <c r="I51" s="2" t="str">
        <f>IF(QUOTIENT(I16+I17,2)&lt;2,2-QUOTIENT(I16+I17,2),"")</f>
        <v/>
      </c>
      <c r="J51" s="2" t="str">
        <v>L</v>
      </c>
      <c r="K51" s="2" t="str">
        <f>IF(QUOTIENT(K16+K17,2)&lt;2,2-QUOTIENT(K16+K17,2),"")</f>
        <v/>
      </c>
      <c r="L51" s="2" t="str">
        <v>L</v>
      </c>
      <c r="M51" s="2" t="str">
        <f>IF(QUOTIENT(M16+M17,2)&lt;2,2-QUOTIENT(M16+M17,2),"")</f>
        <v/>
      </c>
      <c r="N51" s="2" t="str">
        <v>L</v>
      </c>
      <c r="O51" s="2" t="str">
        <f>IF(QUOTIENT(O16+O17,2)&lt;2,2-QUOTIENT(O16+O17,2),"")</f>
        <v/>
      </c>
      <c r="P51" s="2" t="str">
        <v>L</v>
      </c>
      <c r="Q51" s="2" t="str">
        <f>IF(QUOTIENT(Q16+Q17,2)&lt;2,2-QUOTIENT(Q16+Q17,2),"")</f>
        <v/>
      </c>
      <c r="R51" s="2" t="str">
        <v>L</v>
      </c>
      <c r="S51" s="2" t="str">
        <f>IF(QUOTIENT(S16+S17,2)&lt;2,2-QUOTIENT(S16+S17,2),"")</f>
        <v/>
      </c>
      <c r="T51" s="2" t="str">
        <v>L</v>
      </c>
      <c r="W51" s="2" t="str">
        <v>-1.50</v>
      </c>
      <c r="Y51" s="2" t="str">
        <v>L</v>
      </c>
      <c r="Z51" s="2">
        <f>IF(QUOTIENT(Z16+Z17,2)&lt;2,2-QUOTIENT(Z16+Z17,2),"")</f>
        <v>2</v>
      </c>
      <c r="AA51" s="2" t="str">
        <v>L</v>
      </c>
      <c r="AB51" s="2">
        <f>IF(QUOTIENT(AB16+AB17,2)&lt;2,2-QUOTIENT(AB16+AB17,2),"")</f>
        <v>2</v>
      </c>
      <c r="AC51" s="2" t="str">
        <v>L</v>
      </c>
      <c r="AD51" s="2">
        <f>IF(QUOTIENT(AD16+AD17,2)&lt;2,2-QUOTIENT(AD16+AD17,2),"")</f>
        <v>2</v>
      </c>
      <c r="AE51" s="2" t="str">
        <v>L</v>
      </c>
      <c r="AF51" s="2">
        <f>IF(QUOTIENT(AF16+AF17,2)&lt;2,2-QUOTIENT(AF16+AF17,2),"")</f>
        <v>2</v>
      </c>
      <c r="AG51" s="2" t="str">
        <v>L</v>
      </c>
      <c r="AH51" s="2">
        <f>IF(QUOTIENT(AH16+AH17,2)&lt;2,2-QUOTIENT(AH16+AH17,2),"")</f>
        <v>2</v>
      </c>
      <c r="AI51" s="2" t="str">
        <v>L</v>
      </c>
      <c r="AJ51" s="2">
        <f>IF(QUOTIENT(AJ16+AJ17,2)&lt;2,2-QUOTIENT(AJ16+AJ17,2),"")</f>
        <v>2</v>
      </c>
      <c r="AK51" s="2" t="str">
        <v>L</v>
      </c>
      <c r="AL51" s="2">
        <f>IF(QUOTIENT(AL16+AL17,2)&lt;2,2-QUOTIENT(AL16+AL17,2),"")</f>
        <v>2</v>
      </c>
      <c r="AM51" s="2" t="str">
        <v>L</v>
      </c>
      <c r="AN51" s="2">
        <f>IF(QUOTIENT(AN16+AN17,2)&lt;2,2-QUOTIENT(AN16+AN17,2),"")</f>
        <v>2</v>
      </c>
      <c r="AO51" s="2" t="str">
        <v>L</v>
      </c>
    </row>
    <row r="52">
      <c r="D52" s="2" t="str">
        <v>R</v>
      </c>
      <c r="F52" s="2" t="str">
        <v>R</v>
      </c>
      <c r="H52" s="2" t="str">
        <v>R</v>
      </c>
      <c r="J52" s="2" t="str">
        <v>R</v>
      </c>
      <c r="L52" s="2" t="str">
        <v>R</v>
      </c>
      <c r="N52" s="2" t="str">
        <v>R</v>
      </c>
      <c r="P52" s="2" t="str">
        <v>R</v>
      </c>
      <c r="R52" s="2" t="str">
        <v>R</v>
      </c>
      <c r="T52" s="2" t="str">
        <v>R</v>
      </c>
      <c r="Y52" s="2" t="str">
        <v>R</v>
      </c>
      <c r="AA52" s="2" t="str">
        <v>R</v>
      </c>
      <c r="AC52" s="2" t="str">
        <v>R</v>
      </c>
      <c r="AE52" s="2" t="str">
        <v>R</v>
      </c>
      <c r="AG52" s="2" t="str">
        <v>R</v>
      </c>
      <c r="AI52" s="2" t="str">
        <v>R</v>
      </c>
      <c r="AK52" s="2" t="str">
        <v>R</v>
      </c>
      <c r="AM52" s="2" t="str">
        <v>R</v>
      </c>
      <c r="AO52" s="2" t="str">
        <v>R</v>
      </c>
    </row>
    <row r="53">
      <c r="B53" s="2" t="str">
        <v>+1.50</v>
      </c>
      <c r="D53" s="2" t="str">
        <v>L</v>
      </c>
      <c r="E53" s="2" t="str">
        <f>IF(QUOTIENT(E18+E19,2)&lt;2,2-QUOTIENT(E18+E19,2),"")</f>
        <v/>
      </c>
      <c r="F53" s="2" t="str">
        <v>L</v>
      </c>
      <c r="G53" s="2" t="str">
        <f>IF(QUOTIENT(G18+G19,2)&lt;2,2-QUOTIENT(G18+G19,2),"")</f>
        <v/>
      </c>
      <c r="H53" s="2" t="str">
        <v>L</v>
      </c>
      <c r="I53" s="2" t="str">
        <f>IF(QUOTIENT(I18+I19,2)&lt;2,2-QUOTIENT(I18+I19,2),"")</f>
        <v/>
      </c>
      <c r="J53" s="2" t="str">
        <v>L</v>
      </c>
      <c r="K53" s="2" t="str">
        <f>IF(QUOTIENT(K18+K19,2)&lt;2,2-QUOTIENT(K18+K19,2),"")</f>
        <v/>
      </c>
      <c r="L53" s="2" t="str">
        <v>L</v>
      </c>
      <c r="M53" s="2" t="str">
        <f>IF(QUOTIENT(M18+M19,2)&lt;2,2-QUOTIENT(M18+M19,2),"")</f>
        <v/>
      </c>
      <c r="N53" s="2" t="str">
        <v>L</v>
      </c>
      <c r="O53" s="2" t="str">
        <f>IF(QUOTIENT(O18+O19,2)&lt;2,2-QUOTIENT(O18+O19,2),"")</f>
        <v/>
      </c>
      <c r="P53" s="2" t="str">
        <v>L</v>
      </c>
      <c r="Q53" s="2" t="str">
        <f>IF(QUOTIENT(Q18+Q19,2)&lt;2,2-QUOTIENT(Q18+Q19,2),"")</f>
        <v/>
      </c>
      <c r="R53" s="2" t="str">
        <v>L</v>
      </c>
      <c r="S53" s="2" t="str">
        <f>IF(QUOTIENT(S18+S19,2)&lt;2,2-QUOTIENT(S18+S19,2),"")</f>
        <v/>
      </c>
      <c r="T53" s="2" t="str">
        <v>L</v>
      </c>
      <c r="W53" s="2" t="str">
        <v>-1.75</v>
      </c>
      <c r="Y53" s="2" t="str">
        <v>L</v>
      </c>
      <c r="Z53" s="2">
        <f>IF(QUOTIENT(Z18+Z19,2)&lt;2,2-QUOTIENT(Z18+Z19,2),"")</f>
        <v>2</v>
      </c>
      <c r="AA53" s="2" t="str">
        <v>L</v>
      </c>
      <c r="AB53" s="2">
        <f>IF(QUOTIENT(AB18+AB19,2)&lt;2,2-QUOTIENT(AB18+AB19,2),"")</f>
        <v>2</v>
      </c>
      <c r="AC53" s="2" t="str">
        <v>L</v>
      </c>
      <c r="AD53" s="2">
        <f>IF(QUOTIENT(AD18+AD19,2)&lt;2,2-QUOTIENT(AD18+AD19,2),"")</f>
        <v>2</v>
      </c>
      <c r="AE53" s="2" t="str">
        <v>L</v>
      </c>
      <c r="AF53" s="2">
        <f>IF(QUOTIENT(AF18+AF19,2)&lt;2,2-QUOTIENT(AF18+AF19,2),"")</f>
        <v>2</v>
      </c>
      <c r="AG53" s="2" t="str">
        <v>L</v>
      </c>
      <c r="AH53" s="2">
        <f>IF(QUOTIENT(AH18+AH19,2)&lt;2,2-QUOTIENT(AH18+AH19,2),"")</f>
        <v>2</v>
      </c>
      <c r="AI53" s="2" t="str">
        <v>L</v>
      </c>
      <c r="AJ53" s="2">
        <f>IF(QUOTIENT(AJ18+AJ19,2)&lt;2,2-QUOTIENT(AJ18+AJ19,2),"")</f>
        <v>2</v>
      </c>
      <c r="AK53" s="2" t="str">
        <v>L</v>
      </c>
      <c r="AL53" s="2">
        <f>IF(QUOTIENT(AL18+AL19,2)&lt;2,2-QUOTIENT(AL18+AL19,2),"")</f>
        <v>2</v>
      </c>
      <c r="AM53" s="2" t="str">
        <v>L</v>
      </c>
      <c r="AN53" s="2">
        <f>IF(QUOTIENT(AN18+AN19,2)&lt;2,2-QUOTIENT(AN18+AN19,2),"")</f>
        <v>2</v>
      </c>
      <c r="AO53" s="2" t="str">
        <v>L</v>
      </c>
    </row>
    <row r="54">
      <c r="D54" s="2" t="str">
        <v>R</v>
      </c>
      <c r="F54" s="2" t="str">
        <v>R</v>
      </c>
      <c r="H54" s="2" t="str">
        <v>R</v>
      </c>
      <c r="J54" s="2" t="str">
        <v>R</v>
      </c>
      <c r="L54" s="2" t="str">
        <v>R</v>
      </c>
      <c r="N54" s="2" t="str">
        <v>R</v>
      </c>
      <c r="P54" s="2" t="str">
        <v>R</v>
      </c>
      <c r="R54" s="2" t="str">
        <v>R</v>
      </c>
      <c r="T54" s="2" t="str">
        <v>R</v>
      </c>
      <c r="Y54" s="2" t="str">
        <v>R</v>
      </c>
      <c r="AA54" s="2" t="str">
        <v>R</v>
      </c>
      <c r="AC54" s="2" t="str">
        <v>R</v>
      </c>
      <c r="AE54" s="2" t="str">
        <v>R</v>
      </c>
      <c r="AG54" s="2" t="str">
        <v>R</v>
      </c>
      <c r="AI54" s="2" t="str">
        <v>R</v>
      </c>
      <c r="AK54" s="2" t="str">
        <v>R</v>
      </c>
      <c r="AM54" s="2" t="str">
        <v>R</v>
      </c>
      <c r="AO54" s="2" t="str">
        <v>R</v>
      </c>
    </row>
    <row r="55">
      <c r="B55" s="2" t="str">
        <v>+1.75</v>
      </c>
      <c r="D55" s="2" t="str">
        <v>L</v>
      </c>
      <c r="E55" s="2" t="str">
        <f>IF(QUOTIENT(E20+E21,2)&lt;2,2-QUOTIENT(E20+E21,2),"")</f>
        <v/>
      </c>
      <c r="F55" s="2" t="str">
        <v>L</v>
      </c>
      <c r="G55" s="2" t="str">
        <f>IF(QUOTIENT(G20+G21,2)&lt;2,2-QUOTIENT(G20+G21,2),"")</f>
        <v/>
      </c>
      <c r="H55" s="2" t="str">
        <v>L</v>
      </c>
      <c r="I55" s="2" t="str">
        <f>IF(QUOTIENT(I20+I21,2)&lt;2,2-QUOTIENT(I20+I21,2),"")</f>
        <v/>
      </c>
      <c r="J55" s="2" t="str">
        <v>L</v>
      </c>
      <c r="K55" s="2" t="str">
        <f>IF(QUOTIENT(K20+K21,2)&lt;2,2-QUOTIENT(K20+K21,2),"")</f>
        <v/>
      </c>
      <c r="L55" s="2" t="str">
        <v>L</v>
      </c>
      <c r="M55" s="2" t="str">
        <f>IF(QUOTIENT(M20+M21,2)&lt;2,2-QUOTIENT(M20+M21,2),"")</f>
        <v/>
      </c>
      <c r="N55" s="2" t="str">
        <v>L</v>
      </c>
      <c r="O55" s="2">
        <f>IF(QUOTIENT(O20+O21,2)&lt;2,2-QUOTIENT(O20+O21,2),"")</f>
        <v>1</v>
      </c>
      <c r="P55" s="2" t="str">
        <v>L</v>
      </c>
      <c r="Q55" s="2" t="str">
        <f>IF(QUOTIENT(Q20+Q21,2)&lt;2,2-QUOTIENT(Q20+Q21,2),"")</f>
        <v/>
      </c>
      <c r="R55" s="2" t="str">
        <v>L</v>
      </c>
      <c r="S55" s="2" t="str">
        <f>IF(QUOTIENT(S20+S21,2)&lt;2,2-QUOTIENT(S20+S21,2),"")</f>
        <v/>
      </c>
      <c r="T55" s="2" t="str">
        <v>L</v>
      </c>
      <c r="W55" s="2" t="str">
        <v>-2.00</v>
      </c>
      <c r="Y55" s="2" t="str">
        <v>L</v>
      </c>
      <c r="Z55" s="2">
        <f>IF(QUOTIENT(Z20+Z21,2)&lt;2,2-QUOTIENT(Z20+Z21,2),"")</f>
        <v>2</v>
      </c>
      <c r="AA55" s="2" t="str">
        <v>L</v>
      </c>
      <c r="AB55" s="2">
        <f>IF(QUOTIENT(AB20+AB21,2)&lt;2,2-QUOTIENT(AB20+AB21,2),"")</f>
        <v>2</v>
      </c>
      <c r="AC55" s="2" t="str">
        <v>L</v>
      </c>
      <c r="AD55" s="2">
        <f>IF(QUOTIENT(AD20+AD21,2)&lt;2,2-QUOTIENT(AD20+AD21,2),"")</f>
        <v>2</v>
      </c>
      <c r="AE55" s="2" t="str">
        <v>L</v>
      </c>
      <c r="AF55" s="2">
        <f>IF(QUOTIENT(AF20+AF21,2)&lt;2,2-QUOTIENT(AF20+AF21,2),"")</f>
        <v>2</v>
      </c>
      <c r="AG55" s="2" t="str">
        <v>L</v>
      </c>
      <c r="AH55" s="2">
        <f>IF(QUOTIENT(AH20+AH21,2)&lt;2,2-QUOTIENT(AH20+AH21,2),"")</f>
        <v>2</v>
      </c>
      <c r="AI55" s="2" t="str">
        <v>L</v>
      </c>
      <c r="AJ55" s="2">
        <f>IF(QUOTIENT(AJ20+AJ21,2)&lt;2,2-QUOTIENT(AJ20+AJ21,2),"")</f>
        <v>2</v>
      </c>
      <c r="AK55" s="2" t="str">
        <v>L</v>
      </c>
      <c r="AL55" s="2">
        <f>IF(QUOTIENT(AL20+AL21,2)&lt;2,2-QUOTIENT(AL20+AL21,2),"")</f>
        <v>2</v>
      </c>
      <c r="AM55" s="2" t="str">
        <v>L</v>
      </c>
      <c r="AN55" s="2">
        <f>IF(QUOTIENT(AN20+AN21,2)&lt;2,2-QUOTIENT(AN20+AN21,2),"")</f>
        <v>2</v>
      </c>
      <c r="AO55" s="2" t="str">
        <v>L</v>
      </c>
    </row>
    <row r="56">
      <c r="D56" s="2" t="str">
        <v>R</v>
      </c>
      <c r="F56" s="2" t="str">
        <v>R</v>
      </c>
      <c r="H56" s="2" t="str">
        <v>R</v>
      </c>
      <c r="J56" s="2" t="str">
        <v>R</v>
      </c>
      <c r="L56" s="2" t="str">
        <v>R</v>
      </c>
      <c r="N56" s="2" t="str">
        <v>R</v>
      </c>
      <c r="P56" s="2" t="str">
        <v>R</v>
      </c>
      <c r="R56" s="2" t="str">
        <v>R</v>
      </c>
      <c r="T56" s="2" t="str">
        <v>R</v>
      </c>
      <c r="Y56" s="2" t="str">
        <v>R</v>
      </c>
      <c r="AA56" s="2" t="str">
        <v>R</v>
      </c>
      <c r="AC56" s="2" t="str">
        <v>R</v>
      </c>
      <c r="AE56" s="2" t="str">
        <v>R</v>
      </c>
      <c r="AG56" s="2" t="str">
        <v>R</v>
      </c>
      <c r="AI56" s="2" t="str">
        <v>R</v>
      </c>
      <c r="AK56" s="2" t="str">
        <v>R</v>
      </c>
      <c r="AM56" s="2" t="str">
        <v>R</v>
      </c>
      <c r="AO56" s="2" t="str">
        <v>R</v>
      </c>
    </row>
    <row r="57">
      <c r="B57" s="2" t="str">
        <v>+2.00</v>
      </c>
      <c r="D57" s="2" t="str">
        <v>L</v>
      </c>
      <c r="E57" s="2" t="str">
        <f>IF(QUOTIENT(E22+E23,2)&lt;2,2-QUOTIENT(E22+E23,2),"")</f>
        <v/>
      </c>
      <c r="F57" s="2" t="str">
        <v>L</v>
      </c>
      <c r="G57" s="2" t="str">
        <f>IF(QUOTIENT(G22+G23,2)&lt;2,2-QUOTIENT(G22+G23,2),"")</f>
        <v/>
      </c>
      <c r="H57" s="2" t="str">
        <v>L</v>
      </c>
      <c r="I57" s="2" t="str">
        <f>IF(QUOTIENT(I22+I23,2)&lt;2,2-QUOTIENT(I22+I23,2),"")</f>
        <v/>
      </c>
      <c r="J57" s="2" t="str">
        <v>L</v>
      </c>
      <c r="K57" s="2" t="str">
        <f>IF(QUOTIENT(K22+K23,2)&lt;2,2-QUOTIENT(K22+K23,2),"")</f>
        <v/>
      </c>
      <c r="L57" s="2" t="str">
        <v>L</v>
      </c>
      <c r="M57" s="2" t="str">
        <f>IF(QUOTIENT(M22+M23,2)&lt;2,2-QUOTIENT(M22+M23,2),"")</f>
        <v/>
      </c>
      <c r="N57" s="2" t="str">
        <v>L</v>
      </c>
      <c r="O57" s="2" t="str">
        <f>IF(QUOTIENT(O22+O23,2)&lt;2,2-QUOTIENT(O22+O23,2),"")</f>
        <v/>
      </c>
      <c r="P57" s="2" t="str">
        <v>L</v>
      </c>
      <c r="Q57" s="2" t="str">
        <f>IF(QUOTIENT(Q22+Q23,2)&lt;2,2-QUOTIENT(Q22+Q23,2),"")</f>
        <v/>
      </c>
      <c r="R57" s="2" t="str">
        <v>L</v>
      </c>
      <c r="S57" s="2" t="str">
        <f>IF(QUOTIENT(S22+S23,2)&lt;2,2-QUOTIENT(S22+S23,2),"")</f>
        <v/>
      </c>
      <c r="T57" s="2" t="str">
        <v>L</v>
      </c>
    </row>
    <row r="58">
      <c r="D58" s="2" t="str">
        <v>R</v>
      </c>
      <c r="F58" s="2" t="str">
        <v>R</v>
      </c>
      <c r="H58" s="2" t="str">
        <v>R</v>
      </c>
      <c r="J58" s="2" t="str">
        <v>R</v>
      </c>
      <c r="L58" s="2" t="str">
        <v>R</v>
      </c>
      <c r="N58" s="2" t="str">
        <v>R</v>
      </c>
      <c r="P58" s="2" t="str">
        <v>R</v>
      </c>
      <c r="R58" s="2" t="str">
        <v>R</v>
      </c>
      <c r="T58" s="2" t="str">
        <v>R</v>
      </c>
    </row>
    <row r="59">
      <c r="B59" s="2" t="str">
        <v>+2.25</v>
      </c>
      <c r="D59" s="2" t="str">
        <v>L</v>
      </c>
      <c r="E59" s="2" t="str">
        <f>IF(QUOTIENT(E24+E25,2)&lt;2,2-QUOTIENT(E24+E25,2),"")</f>
        <v/>
      </c>
      <c r="F59" s="2" t="str">
        <v>L</v>
      </c>
      <c r="G59" s="2" t="str">
        <f>IF(QUOTIENT(G24+G25,2)&lt;2,2-QUOTIENT(G24+G25,2),"")</f>
        <v/>
      </c>
      <c r="H59" s="2" t="str">
        <v>L</v>
      </c>
      <c r="I59" s="2" t="str">
        <f>IF(QUOTIENT(I24+I25,2)&lt;2,2-QUOTIENT(I24+I25,2),"")</f>
        <v/>
      </c>
      <c r="J59" s="2" t="str">
        <v>L</v>
      </c>
      <c r="K59" s="2" t="str">
        <f>IF(QUOTIENT(K24+K25,2)&lt;2,2-QUOTIENT(K24+K25,2),"")</f>
        <v/>
      </c>
      <c r="L59" s="2" t="str">
        <v>L</v>
      </c>
      <c r="M59" s="2" t="str">
        <f>IF(QUOTIENT(M24+M25,2)&lt;2,2-QUOTIENT(M24+M25,2),"")</f>
        <v/>
      </c>
      <c r="N59" s="2" t="str">
        <v>L</v>
      </c>
      <c r="O59" s="2" t="str">
        <f>IF(QUOTIENT(O24+O25,2)&lt;2,2-QUOTIENT(O24+O25,2),"")</f>
        <v/>
      </c>
      <c r="P59" s="2" t="str">
        <v>L</v>
      </c>
      <c r="Q59" s="2">
        <f>IF(QUOTIENT(Q24+Q25,2)&lt;2,2-QUOTIENT(Q24+Q25,2),"")</f>
        <v>1</v>
      </c>
      <c r="R59" s="2" t="str">
        <v>L</v>
      </c>
      <c r="S59" s="2" t="str">
        <f>IF(QUOTIENT(S24+S25,2)&lt;2,2-QUOTIENT(S24+S25,2),"")</f>
        <v/>
      </c>
      <c r="T59" s="2" t="str">
        <v>L</v>
      </c>
    </row>
    <row r="60">
      <c r="D60" s="2" t="str">
        <v>R</v>
      </c>
      <c r="F60" s="2" t="str">
        <v>R</v>
      </c>
      <c r="H60" s="2" t="str">
        <v>R</v>
      </c>
      <c r="J60" s="2" t="str">
        <v>R</v>
      </c>
      <c r="L60" s="2" t="str">
        <v>R</v>
      </c>
      <c r="N60" s="2" t="str">
        <v>R</v>
      </c>
      <c r="P60" s="2" t="str">
        <v>R</v>
      </c>
      <c r="R60" s="2" t="str">
        <v>R</v>
      </c>
      <c r="T60" s="2" t="str">
        <v>R</v>
      </c>
    </row>
    <row r="61">
      <c r="B61" s="2" t="str">
        <v>+2.50</v>
      </c>
      <c r="D61" s="2" t="str">
        <v>L</v>
      </c>
      <c r="E61" s="2" t="str">
        <f>IF(QUOTIENT(E26+E27,2)&lt;2,2-QUOTIENT(E26+E27,2),"")</f>
        <v/>
      </c>
      <c r="F61" s="2" t="str">
        <v>L</v>
      </c>
      <c r="G61" s="2" t="str">
        <f>IF(QUOTIENT(G26+G27,2)&lt;2,2-QUOTIENT(G26+G27,2),"")</f>
        <v/>
      </c>
      <c r="H61" s="2" t="str">
        <v>L</v>
      </c>
      <c r="I61" s="2" t="str">
        <f>IF(QUOTIENT(I26+I27,2)&lt;2,2-QUOTIENT(I26+I27,2),"")</f>
        <v/>
      </c>
      <c r="J61" s="2" t="str">
        <v>L</v>
      </c>
      <c r="K61" s="2" t="str">
        <f>IF(QUOTIENT(K26+K27,2)&lt;2,2-QUOTIENT(K26+K27,2),"")</f>
        <v/>
      </c>
      <c r="L61" s="2" t="str">
        <v>L</v>
      </c>
      <c r="M61" s="2" t="str">
        <f>IF(QUOTIENT(M26+M27,2)&lt;2,2-QUOTIENT(M26+M27,2),"")</f>
        <v/>
      </c>
      <c r="N61" s="2" t="str">
        <v>L</v>
      </c>
      <c r="O61" s="2" t="str">
        <f>IF(QUOTIENT(O26+O27,2)&lt;2,2-QUOTIENT(O26+O27,2),"")</f>
        <v/>
      </c>
      <c r="P61" s="2" t="str">
        <v>L</v>
      </c>
      <c r="Q61" s="2" t="str">
        <f>IF(QUOTIENT(Q26+Q27,2)&lt;2,2-QUOTIENT(Q26+Q27,2),"")</f>
        <v/>
      </c>
      <c r="R61" s="2" t="str">
        <v>L</v>
      </c>
      <c r="S61" s="2" t="str">
        <f>IF(QUOTIENT(S26+S27,2)&lt;2,2-QUOTIENT(S26+S27,2),"")</f>
        <v/>
      </c>
      <c r="T61" s="2" t="str">
        <v>L</v>
      </c>
    </row>
    <row r="62">
      <c r="D62" s="2" t="str">
        <v>R</v>
      </c>
      <c r="F62" s="2" t="str">
        <v>R</v>
      </c>
      <c r="H62" s="2" t="str">
        <v>R</v>
      </c>
      <c r="J62" s="2" t="str">
        <v>R</v>
      </c>
      <c r="L62" s="2" t="str">
        <v>R</v>
      </c>
      <c r="N62" s="2" t="str">
        <v>R</v>
      </c>
      <c r="P62" s="2" t="str">
        <v>R</v>
      </c>
      <c r="R62" s="2" t="str">
        <v>R</v>
      </c>
      <c r="T62" s="2" t="str">
        <v>R</v>
      </c>
    </row>
    <row r="63">
      <c r="B63" s="2" t="str">
        <v>+2.75</v>
      </c>
      <c r="D63" s="2" t="str">
        <v>L</v>
      </c>
      <c r="E63" s="2" t="str">
        <f>IF(QUOTIENT(E28+E29,2)&lt;2,2-QUOTIENT(E28+E29,2),"")</f>
        <v/>
      </c>
      <c r="F63" s="2" t="str">
        <v>L</v>
      </c>
      <c r="G63" s="2" t="str">
        <f>IF(QUOTIENT(G28+G29,2)&lt;2,2-QUOTIENT(G28+G29,2),"")</f>
        <v/>
      </c>
      <c r="H63" s="2" t="str">
        <v>L</v>
      </c>
      <c r="I63" s="2" t="str">
        <f>IF(QUOTIENT(I28+I29,2)&lt;2,2-QUOTIENT(I28+I29,2),"")</f>
        <v/>
      </c>
      <c r="J63" s="2" t="str">
        <v>L</v>
      </c>
      <c r="K63" s="2" t="str">
        <f>IF(QUOTIENT(K28+K29,2)&lt;2,2-QUOTIENT(K28+K29,2),"")</f>
        <v/>
      </c>
      <c r="L63" s="2" t="str">
        <v>L</v>
      </c>
      <c r="M63" s="2" t="str">
        <f>IF(QUOTIENT(M28+M29,2)&lt;2,2-QUOTIENT(M28+M29,2),"")</f>
        <v/>
      </c>
      <c r="N63" s="2" t="str">
        <v>L</v>
      </c>
      <c r="O63" s="2">
        <f>IF(QUOTIENT(O28+O29,2)&lt;2,2-QUOTIENT(O28+O29,2),"")</f>
        <v>1</v>
      </c>
      <c r="P63" s="2" t="str">
        <v>L</v>
      </c>
      <c r="Q63" s="2" t="str">
        <f>IF(QUOTIENT(Q28+Q29,2)&lt;2,2-QUOTIENT(Q28+Q29,2),"")</f>
        <v/>
      </c>
      <c r="R63" s="2" t="str">
        <v>L</v>
      </c>
      <c r="S63" s="2" t="str">
        <f>IF(QUOTIENT(S28+S29,2)&lt;2,2-QUOTIENT(S28+S29,2),"")</f>
        <v/>
      </c>
      <c r="T63" s="2" t="str">
        <v>L</v>
      </c>
    </row>
    <row r="64">
      <c r="D64" s="2" t="str">
        <v>R</v>
      </c>
      <c r="F64" s="2" t="str">
        <v>R</v>
      </c>
      <c r="H64" s="2" t="str">
        <v>R</v>
      </c>
      <c r="J64" s="2" t="str">
        <v>R</v>
      </c>
      <c r="L64" s="2" t="str">
        <v>R</v>
      </c>
      <c r="N64" s="2" t="str">
        <v>R</v>
      </c>
      <c r="P64" s="2" t="str">
        <v>R</v>
      </c>
      <c r="R64" s="2" t="str">
        <v>R</v>
      </c>
      <c r="T64" s="2" t="str">
        <v>R</v>
      </c>
    </row>
    <row r="65">
      <c r="B65" s="2" t="str">
        <v>+3.00</v>
      </c>
      <c r="D65" s="2" t="str">
        <v>L</v>
      </c>
      <c r="E65" s="2" t="str">
        <f>IF(QUOTIENT(E30+E31,2)&lt;2,2-QUOTIENT(E30+E31,2),"")</f>
        <v/>
      </c>
      <c r="F65" s="2" t="str">
        <v>L</v>
      </c>
      <c r="G65" s="2" t="str">
        <f>IF(QUOTIENT(G30+G31,2)&lt;2,2-QUOTIENT(G30+G31,2),"")</f>
        <v/>
      </c>
      <c r="H65" s="2" t="str">
        <v>L</v>
      </c>
      <c r="I65" s="2">
        <f>IF(QUOTIENT(I30+I31,2)&lt;2,2-QUOTIENT(I30+I31,2),"")</f>
        <v>1</v>
      </c>
      <c r="J65" s="2" t="str">
        <v>L</v>
      </c>
      <c r="K65" s="2" t="str">
        <f>IF(QUOTIENT(K30+K31,2)&lt;2,2-QUOTIENT(K30+K31,2),"")</f>
        <v/>
      </c>
      <c r="L65" s="2" t="str">
        <v>L</v>
      </c>
      <c r="M65" s="2" t="str">
        <f>IF(QUOTIENT(M30+M31,2)&lt;2,2-QUOTIENT(M30+M31,2),"")</f>
        <v/>
      </c>
      <c r="N65" s="2" t="str">
        <v>L</v>
      </c>
      <c r="O65" s="2" t="str">
        <f>IF(QUOTIENT(O30+O31,2)&lt;2,2-QUOTIENT(O30+O31,2),"")</f>
        <v/>
      </c>
      <c r="P65" s="2" t="str">
        <v>L</v>
      </c>
      <c r="Q65" s="2" t="str">
        <f>IF(QUOTIENT(Q30+Q31,2)&lt;2,2-QUOTIENT(Q30+Q31,2),"")</f>
        <v/>
      </c>
      <c r="R65" s="2" t="str">
        <v>L</v>
      </c>
      <c r="S65" s="2" t="str">
        <f>IF(QUOTIENT(S30+S31,2)&lt;2,2-QUOTIENT(S30+S31,2),"")</f>
        <v/>
      </c>
      <c r="T65" s="2" t="str">
        <v>L</v>
      </c>
    </row>
    <row r="66">
      <c r="D66" s="2" t="str">
        <v>R</v>
      </c>
      <c r="F66" s="2" t="str">
        <v>R</v>
      </c>
      <c r="H66" s="2" t="str">
        <v>R</v>
      </c>
      <c r="J66" s="2" t="str">
        <v>R</v>
      </c>
      <c r="L66" s="2" t="str">
        <v>R</v>
      </c>
      <c r="N66" s="2" t="str">
        <v>R</v>
      </c>
      <c r="P66" s="2" t="str">
        <v>R</v>
      </c>
      <c r="R66" s="2" t="str">
        <v>R</v>
      </c>
      <c r="T66" s="2" t="str">
        <v>R</v>
      </c>
    </row>
  </sheetData>
  <mergeCells count="286">
    <mergeCell ref="C65:C66"/>
    <mergeCell ref="Q65:Q66"/>
    <mergeCell ref="S59:S60"/>
    <mergeCell ref="O40:P40"/>
    <mergeCell ref="O5:P5"/>
    <mergeCell ref="Q5:R5"/>
    <mergeCell ref="S5:T5"/>
    <mergeCell ref="Q40:R40"/>
    <mergeCell ref="S40:T40"/>
    <mergeCell ref="I63:I64"/>
    <mergeCell ref="I65:I66"/>
    <mergeCell ref="K41:K42"/>
    <mergeCell ref="M41:M42"/>
    <mergeCell ref="O41:O42"/>
    <mergeCell ref="Q41:Q42"/>
    <mergeCell ref="S41:S42"/>
    <mergeCell ref="G45:G46"/>
    <mergeCell ref="G47:G48"/>
    <mergeCell ref="G49:G50"/>
    <mergeCell ref="G51:G52"/>
    <mergeCell ref="C45:C46"/>
    <mergeCell ref="C47:C48"/>
    <mergeCell ref="C49:C50"/>
    <mergeCell ref="C51:C52"/>
    <mergeCell ref="X5:Y5"/>
    <mergeCell ref="Z5:AA5"/>
    <mergeCell ref="C1:AF1"/>
    <mergeCell ref="C3:T3"/>
    <mergeCell ref="X3:AO3"/>
    <mergeCell ref="C4:T4"/>
    <mergeCell ref="X4:AO4"/>
    <mergeCell ref="C5:D5"/>
    <mergeCell ref="E5:F5"/>
    <mergeCell ref="G5:H5"/>
    <mergeCell ref="I5:J5"/>
    <mergeCell ref="K5:L5"/>
    <mergeCell ref="AN5:AO5"/>
    <mergeCell ref="AB5:AC5"/>
    <mergeCell ref="AD5:AE5"/>
    <mergeCell ref="AF5:AG5"/>
    <mergeCell ref="AH5:AI5"/>
    <mergeCell ref="AJ5:AK5"/>
    <mergeCell ref="AL5:AM5"/>
    <mergeCell ref="M5:N5"/>
    <mergeCell ref="X38:AO38"/>
    <mergeCell ref="C39:T39"/>
    <mergeCell ref="X39:AO39"/>
    <mergeCell ref="C40:D40"/>
    <mergeCell ref="B14:B15"/>
    <mergeCell ref="W14:W15"/>
    <mergeCell ref="B16:B17"/>
    <mergeCell ref="W16:W17"/>
    <mergeCell ref="B18:B19"/>
    <mergeCell ref="W18:W19"/>
    <mergeCell ref="C36:AF36"/>
    <mergeCell ref="E40:F40"/>
    <mergeCell ref="G40:H40"/>
    <mergeCell ref="I40:J40"/>
    <mergeCell ref="K40:L40"/>
    <mergeCell ref="M40:N40"/>
    <mergeCell ref="AD40:AE40"/>
    <mergeCell ref="AF40:AG40"/>
    <mergeCell ref="AH40:AI40"/>
    <mergeCell ref="AJ40:AK40"/>
    <mergeCell ref="AL40:AM40"/>
    <mergeCell ref="AN40:AO40"/>
    <mergeCell ref="B37:T37"/>
    <mergeCell ref="C38:T38"/>
    <mergeCell ref="A6:A30"/>
    <mergeCell ref="B6:B7"/>
    <mergeCell ref="V6:V30"/>
    <mergeCell ref="W6:W7"/>
    <mergeCell ref="B8:B9"/>
    <mergeCell ref="W8:W9"/>
    <mergeCell ref="B10:B11"/>
    <mergeCell ref="W10:W11"/>
    <mergeCell ref="B12:B13"/>
    <mergeCell ref="B26:B27"/>
    <mergeCell ref="B28:B29"/>
    <mergeCell ref="W28:W29"/>
    <mergeCell ref="B30:B31"/>
    <mergeCell ref="B20:B21"/>
    <mergeCell ref="W20:W21"/>
    <mergeCell ref="B22:B23"/>
    <mergeCell ref="W22:W23"/>
    <mergeCell ref="B24:B25"/>
    <mergeCell ref="W24:W25"/>
    <mergeCell ref="W12:W13"/>
    <mergeCell ref="W26:W27"/>
    <mergeCell ref="X40:Y40"/>
    <mergeCell ref="Z40:AA40"/>
    <mergeCell ref="AB40:AC40"/>
    <mergeCell ref="A41:A65"/>
    <mergeCell ref="B41:B42"/>
    <mergeCell ref="E41:E42"/>
    <mergeCell ref="G41:G42"/>
    <mergeCell ref="I41:I42"/>
    <mergeCell ref="V41:V65"/>
    <mergeCell ref="B47:B48"/>
    <mergeCell ref="B53:B54"/>
    <mergeCell ref="E53:E54"/>
    <mergeCell ref="K53:K54"/>
    <mergeCell ref="B65:B66"/>
    <mergeCell ref="B59:B60"/>
    <mergeCell ref="E59:E60"/>
    <mergeCell ref="E61:E62"/>
    <mergeCell ref="E63:E64"/>
    <mergeCell ref="E65:E66"/>
    <mergeCell ref="G61:G62"/>
    <mergeCell ref="G63:G64"/>
    <mergeCell ref="G65:G66"/>
    <mergeCell ref="I59:I60"/>
    <mergeCell ref="I61:I62"/>
    <mergeCell ref="W47:W48"/>
    <mergeCell ref="S61:S62"/>
    <mergeCell ref="S63:S64"/>
    <mergeCell ref="S65:S66"/>
    <mergeCell ref="K55:K56"/>
    <mergeCell ref="K65:K66"/>
    <mergeCell ref="M59:M60"/>
    <mergeCell ref="M61:M62"/>
    <mergeCell ref="M63:M64"/>
    <mergeCell ref="M65:M66"/>
    <mergeCell ref="O59:O60"/>
    <mergeCell ref="O61:O62"/>
    <mergeCell ref="O63:O64"/>
    <mergeCell ref="O65:O66"/>
    <mergeCell ref="Q57:Q58"/>
    <mergeCell ref="M51:M52"/>
    <mergeCell ref="M55:M56"/>
    <mergeCell ref="S57:S58"/>
    <mergeCell ref="E43:E44"/>
    <mergeCell ref="E45:E46"/>
    <mergeCell ref="E47:E48"/>
    <mergeCell ref="E49:E50"/>
    <mergeCell ref="E51:E52"/>
    <mergeCell ref="B63:B64"/>
    <mergeCell ref="M53:M54"/>
    <mergeCell ref="O53:O54"/>
    <mergeCell ref="W53:W54"/>
    <mergeCell ref="B55:B56"/>
    <mergeCell ref="W55:W56"/>
    <mergeCell ref="B57:B58"/>
    <mergeCell ref="M57:M58"/>
    <mergeCell ref="O57:O58"/>
    <mergeCell ref="K59:K60"/>
    <mergeCell ref="K61:K62"/>
    <mergeCell ref="K63:K64"/>
    <mergeCell ref="Q59:Q60"/>
    <mergeCell ref="Q61:Q62"/>
    <mergeCell ref="Q63:Q64"/>
    <mergeCell ref="E57:E58"/>
    <mergeCell ref="C53:C54"/>
    <mergeCell ref="C55:C56"/>
    <mergeCell ref="C57:C58"/>
    <mergeCell ref="G59:G60"/>
    <mergeCell ref="E55:E56"/>
    <mergeCell ref="C59:C60"/>
    <mergeCell ref="C61:C62"/>
    <mergeCell ref="C63:C64"/>
    <mergeCell ref="X41:X42"/>
    <mergeCell ref="X43:X44"/>
    <mergeCell ref="X45:X46"/>
    <mergeCell ref="X47:X48"/>
    <mergeCell ref="X49:X50"/>
    <mergeCell ref="X51:X52"/>
    <mergeCell ref="X53:X54"/>
    <mergeCell ref="X55:X56"/>
    <mergeCell ref="I53:I54"/>
    <mergeCell ref="I55:I56"/>
    <mergeCell ref="I57:I58"/>
    <mergeCell ref="K43:K44"/>
    <mergeCell ref="K45:K46"/>
    <mergeCell ref="K47:K48"/>
    <mergeCell ref="K49:K50"/>
    <mergeCell ref="K51:K52"/>
    <mergeCell ref="K57:K58"/>
    <mergeCell ref="M45:M46"/>
    <mergeCell ref="M47:M48"/>
    <mergeCell ref="B61:B62"/>
    <mergeCell ref="B49:B50"/>
    <mergeCell ref="M49:M50"/>
    <mergeCell ref="W49:W50"/>
    <mergeCell ref="B51:B52"/>
    <mergeCell ref="O51:O52"/>
    <mergeCell ref="W51:W52"/>
    <mergeCell ref="W41:W42"/>
    <mergeCell ref="B43:B44"/>
    <mergeCell ref="G43:G44"/>
    <mergeCell ref="M43:M44"/>
    <mergeCell ref="W43:W44"/>
    <mergeCell ref="B45:B46"/>
    <mergeCell ref="W45:W46"/>
    <mergeCell ref="C41:C42"/>
    <mergeCell ref="C43:C44"/>
    <mergeCell ref="G53:G54"/>
    <mergeCell ref="G55:G56"/>
    <mergeCell ref="G57:G58"/>
    <mergeCell ref="I43:I44"/>
    <mergeCell ref="I45:I46"/>
    <mergeCell ref="I47:I48"/>
    <mergeCell ref="I49:I50"/>
    <mergeCell ref="I51:I52"/>
    <mergeCell ref="AB43:AB44"/>
    <mergeCell ref="AB45:AB46"/>
    <mergeCell ref="AB47:AB48"/>
    <mergeCell ref="AB49:AB50"/>
    <mergeCell ref="AB51:AB52"/>
    <mergeCell ref="AB53:AB54"/>
    <mergeCell ref="AB55:AB56"/>
    <mergeCell ref="Z41:Z42"/>
    <mergeCell ref="Z43:Z44"/>
    <mergeCell ref="Z45:Z46"/>
    <mergeCell ref="Z47:Z48"/>
    <mergeCell ref="Z49:Z50"/>
    <mergeCell ref="Z51:Z52"/>
    <mergeCell ref="Z53:Z54"/>
    <mergeCell ref="Z55:Z56"/>
    <mergeCell ref="O43:O44"/>
    <mergeCell ref="O45:O46"/>
    <mergeCell ref="O47:O48"/>
    <mergeCell ref="O49:O50"/>
    <mergeCell ref="O55:O56"/>
    <mergeCell ref="Q43:Q44"/>
    <mergeCell ref="Q45:Q46"/>
    <mergeCell ref="Q47:Q48"/>
    <mergeCell ref="Q49:Q50"/>
    <mergeCell ref="Q51:Q52"/>
    <mergeCell ref="Q53:Q54"/>
    <mergeCell ref="Q55:Q56"/>
    <mergeCell ref="AF41:AF42"/>
    <mergeCell ref="AF43:AF44"/>
    <mergeCell ref="AF45:AF46"/>
    <mergeCell ref="AF47:AF48"/>
    <mergeCell ref="AF49:AF50"/>
    <mergeCell ref="AF51:AF52"/>
    <mergeCell ref="AF53:AF54"/>
    <mergeCell ref="AF55:AF56"/>
    <mergeCell ref="S43:S44"/>
    <mergeCell ref="S45:S46"/>
    <mergeCell ref="S47:S48"/>
    <mergeCell ref="S49:S50"/>
    <mergeCell ref="S51:S52"/>
    <mergeCell ref="S53:S54"/>
    <mergeCell ref="S55:S56"/>
    <mergeCell ref="AD41:AD42"/>
    <mergeCell ref="AD43:AD44"/>
    <mergeCell ref="AD45:AD46"/>
    <mergeCell ref="AD47:AD48"/>
    <mergeCell ref="AD49:AD50"/>
    <mergeCell ref="AD51:AD52"/>
    <mergeCell ref="AD53:AD54"/>
    <mergeCell ref="AD55:AD56"/>
    <mergeCell ref="AB41:AB42"/>
    <mergeCell ref="AJ41:AJ42"/>
    <mergeCell ref="AJ43:AJ44"/>
    <mergeCell ref="AJ45:AJ46"/>
    <mergeCell ref="AJ47:AJ48"/>
    <mergeCell ref="AJ49:AJ50"/>
    <mergeCell ref="AJ51:AJ52"/>
    <mergeCell ref="AJ53:AJ54"/>
    <mergeCell ref="AJ55:AJ56"/>
    <mergeCell ref="AH41:AH42"/>
    <mergeCell ref="AH43:AH44"/>
    <mergeCell ref="AH45:AH46"/>
    <mergeCell ref="AH47:AH48"/>
    <mergeCell ref="AH49:AH50"/>
    <mergeCell ref="AH51:AH52"/>
    <mergeCell ref="AH53:AH54"/>
    <mergeCell ref="AH55:AH56"/>
    <mergeCell ref="AN41:AN42"/>
    <mergeCell ref="AN43:AN44"/>
    <mergeCell ref="AN45:AN46"/>
    <mergeCell ref="AN47:AN48"/>
    <mergeCell ref="AN49:AN50"/>
    <mergeCell ref="AN51:AN52"/>
    <mergeCell ref="AN53:AN54"/>
    <mergeCell ref="AN55:AN56"/>
    <mergeCell ref="AL41:AL42"/>
    <mergeCell ref="AL43:AL44"/>
    <mergeCell ref="AL45:AL46"/>
    <mergeCell ref="AL47:AL48"/>
    <mergeCell ref="AL49:AL50"/>
    <mergeCell ref="AL51:AL52"/>
    <mergeCell ref="AL53:AL54"/>
    <mergeCell ref="AL55:AL56"/>
  </mergeCells>
  <pageMargins left="0.7" right="0.7" top="0.75" bottom="0.75" header="0.3" footer="0.3"/>
  <ignoredErrors>
    <ignoredError numberStoredAsText="1" sqref="A1:AO6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O66"/>
  <sheetViews>
    <sheetView workbookViewId="0" rightToLeft="0"/>
  </sheetViews>
  <sheetData>
    <row r="1">
      <c r="C1" s="2" t="str">
        <v>BIFOCAL FT-L28 REVOLUTION AR</v>
      </c>
    </row>
    <row r="3">
      <c r="C3" s="2" t="str">
        <v>ADICION</v>
      </c>
      <c r="X3" s="2" t="str">
        <v>ADICION</v>
      </c>
    </row>
    <row r="5">
      <c r="A5" s="2" t="str">
        <v>(+)</v>
      </c>
      <c r="C5" s="2" t="str">
        <v>1.00</v>
      </c>
      <c r="E5" s="2" t="str">
        <v>1.25</v>
      </c>
      <c r="G5" s="2" t="str">
        <v>1.50</v>
      </c>
      <c r="I5" s="2" t="str">
        <v>1.75</v>
      </c>
      <c r="K5" s="2" t="str">
        <v>2.00</v>
      </c>
      <c r="M5" s="2" t="str">
        <v>2.25</v>
      </c>
      <c r="O5" s="2" t="str">
        <v>2.50</v>
      </c>
      <c r="Q5" s="2" t="str">
        <v>2.75</v>
      </c>
      <c r="S5" s="2" t="str">
        <v>3.00</v>
      </c>
      <c r="V5" s="2" t="str">
        <v>(-)</v>
      </c>
      <c r="X5" s="2" t="str">
        <v>1.00</v>
      </c>
      <c r="Z5" s="2" t="str">
        <v>1.25</v>
      </c>
      <c r="AB5" s="2" t="str">
        <v>1.50</v>
      </c>
      <c r="AD5" s="2" t="str">
        <v>1.75</v>
      </c>
      <c r="AF5" s="2" t="str">
        <v>2.00</v>
      </c>
      <c r="AH5" s="2" t="str">
        <v>2.25</v>
      </c>
      <c r="AJ5" s="2" t="str">
        <v>+2.50</v>
      </c>
      <c r="AL5" s="2" t="str">
        <v>+2.75</v>
      </c>
      <c r="AN5" s="2" t="str">
        <v>+3.00</v>
      </c>
    </row>
    <row r="6">
      <c r="A6" s="2" t="str">
        <v>ESFERA</v>
      </c>
      <c r="B6" s="2" t="str">
        <v>0.00</v>
      </c>
      <c r="D6" s="2" t="str">
        <v>L</v>
      </c>
      <c r="E6" s="2">
        <v>2</v>
      </c>
      <c r="F6" s="2" t="str">
        <v>L</v>
      </c>
      <c r="G6" s="2">
        <v>2</v>
      </c>
      <c r="H6" s="2" t="str">
        <v>L</v>
      </c>
      <c r="I6" s="2">
        <v>2</v>
      </c>
      <c r="J6" s="2" t="str">
        <v>L</v>
      </c>
      <c r="K6" s="2">
        <v>2</v>
      </c>
      <c r="L6" s="2" t="str">
        <v>L</v>
      </c>
      <c r="M6" s="2">
        <v>1</v>
      </c>
      <c r="N6" s="2" t="str">
        <v>L</v>
      </c>
      <c r="O6" s="2">
        <v>3</v>
      </c>
      <c r="P6" s="2" t="str">
        <v>L</v>
      </c>
      <c r="Q6" s="2">
        <v>4</v>
      </c>
      <c r="R6" s="2" t="str">
        <v>L</v>
      </c>
      <c r="S6" s="2">
        <v>2</v>
      </c>
      <c r="T6" s="2" t="str">
        <v>L</v>
      </c>
      <c r="V6" s="2" t="str">
        <v>ESFERA</v>
      </c>
      <c r="W6" s="2" t="str">
        <v>-0.25</v>
      </c>
      <c r="Y6" s="2" t="str">
        <v>L</v>
      </c>
      <c r="AA6" s="2" t="str">
        <v>L</v>
      </c>
      <c r="AC6" s="2" t="str">
        <v>L</v>
      </c>
      <c r="AE6" s="2" t="str">
        <v>L</v>
      </c>
      <c r="AG6" s="2" t="str">
        <v>L</v>
      </c>
      <c r="AI6" s="2" t="str">
        <v>L</v>
      </c>
      <c r="AK6" s="2" t="str">
        <v>L</v>
      </c>
      <c r="AM6" s="2" t="str">
        <v>L</v>
      </c>
      <c r="AO6" s="2" t="str">
        <v>L</v>
      </c>
    </row>
    <row r="7">
      <c r="D7" s="2" t="str">
        <v>R</v>
      </c>
      <c r="E7" s="2">
        <v>2</v>
      </c>
      <c r="F7" s="2" t="str">
        <v>R</v>
      </c>
      <c r="G7" s="2">
        <v>2</v>
      </c>
      <c r="H7" s="2" t="str">
        <v>R</v>
      </c>
      <c r="I7" s="2">
        <v>2</v>
      </c>
      <c r="J7" s="2" t="str">
        <v>R</v>
      </c>
      <c r="K7" s="2">
        <v>2</v>
      </c>
      <c r="L7" s="2" t="str">
        <v>R</v>
      </c>
      <c r="M7" s="2">
        <v>1</v>
      </c>
      <c r="N7" s="2" t="str">
        <v>R</v>
      </c>
      <c r="O7" s="2">
        <v>2</v>
      </c>
      <c r="P7" s="2" t="str">
        <v>R</v>
      </c>
      <c r="Q7" s="2">
        <v>2</v>
      </c>
      <c r="R7" s="2" t="str">
        <v>R</v>
      </c>
      <c r="S7" s="2">
        <v>3</v>
      </c>
      <c r="T7" s="2" t="str">
        <v>R</v>
      </c>
      <c r="Y7" s="2" t="str">
        <v>R</v>
      </c>
      <c r="AA7" s="2" t="str">
        <v>R</v>
      </c>
      <c r="AC7" s="2" t="str">
        <v>R</v>
      </c>
      <c r="AE7" s="2" t="str">
        <v>R</v>
      </c>
      <c r="AG7" s="2" t="str">
        <v>R</v>
      </c>
      <c r="AI7" s="2" t="str">
        <v>R</v>
      </c>
      <c r="AK7" s="2" t="str">
        <v>R</v>
      </c>
      <c r="AM7" s="2" t="str">
        <v>R</v>
      </c>
      <c r="AO7" s="2" t="str">
        <v>R</v>
      </c>
    </row>
    <row r="8">
      <c r="B8" s="2" t="str">
        <v>+0.25</v>
      </c>
      <c r="D8" s="2" t="str">
        <v>L</v>
      </c>
      <c r="E8" s="2">
        <v>2</v>
      </c>
      <c r="F8" s="2" t="str">
        <v>L</v>
      </c>
      <c r="G8" s="2">
        <v>3</v>
      </c>
      <c r="H8" s="2" t="str">
        <v>L</v>
      </c>
      <c r="I8" s="2">
        <v>2</v>
      </c>
      <c r="J8" s="2" t="str">
        <v>L</v>
      </c>
      <c r="K8" s="2">
        <v>2</v>
      </c>
      <c r="L8" s="2" t="str">
        <v>L</v>
      </c>
      <c r="M8" s="2">
        <v>1</v>
      </c>
      <c r="N8" s="2" t="str">
        <v>L</v>
      </c>
      <c r="O8" s="2">
        <v>2</v>
      </c>
      <c r="P8" s="2" t="str">
        <v>L</v>
      </c>
      <c r="Q8" s="2">
        <v>2</v>
      </c>
      <c r="R8" s="2" t="str">
        <v>L</v>
      </c>
      <c r="S8" s="2">
        <v>2</v>
      </c>
      <c r="T8" s="2" t="str">
        <v>L</v>
      </c>
      <c r="W8" s="2" t="str">
        <v>-0.50</v>
      </c>
      <c r="Y8" s="2" t="str">
        <v>L</v>
      </c>
      <c r="AA8" s="2" t="str">
        <v>L</v>
      </c>
      <c r="AC8" s="2" t="str">
        <v>L</v>
      </c>
      <c r="AE8" s="2" t="str">
        <v>L</v>
      </c>
      <c r="AG8" s="2" t="str">
        <v>L</v>
      </c>
      <c r="AI8" s="2" t="str">
        <v>L</v>
      </c>
      <c r="AK8" s="2" t="str">
        <v>L</v>
      </c>
      <c r="AM8" s="2" t="str">
        <v>L</v>
      </c>
      <c r="AO8" s="2" t="str">
        <v>L</v>
      </c>
    </row>
    <row r="9">
      <c r="D9" s="2" t="str">
        <v>R</v>
      </c>
      <c r="E9" s="2">
        <v>2</v>
      </c>
      <c r="F9" s="2" t="str">
        <v>R</v>
      </c>
      <c r="G9" s="2">
        <v>2</v>
      </c>
      <c r="H9" s="2" t="str">
        <v>R</v>
      </c>
      <c r="I9" s="2">
        <v>2</v>
      </c>
      <c r="J9" s="2" t="str">
        <v>R</v>
      </c>
      <c r="K9" s="2">
        <v>2</v>
      </c>
      <c r="L9" s="2" t="str">
        <v>R</v>
      </c>
      <c r="M9" s="2">
        <v>3</v>
      </c>
      <c r="N9" s="2" t="str">
        <v>R</v>
      </c>
      <c r="O9" s="2">
        <v>2</v>
      </c>
      <c r="P9" s="2" t="str">
        <v>R</v>
      </c>
      <c r="Q9" s="2">
        <v>2</v>
      </c>
      <c r="R9" s="2" t="str">
        <v>R</v>
      </c>
      <c r="S9" s="2">
        <v>2</v>
      </c>
      <c r="T9" s="2" t="str">
        <v>R</v>
      </c>
      <c r="Y9" s="2" t="str">
        <v>R</v>
      </c>
      <c r="AA9" s="2" t="str">
        <v>R</v>
      </c>
      <c r="AC9" s="2" t="str">
        <v>R</v>
      </c>
      <c r="AE9" s="2" t="str">
        <v>R</v>
      </c>
      <c r="AG9" s="2" t="str">
        <v>R</v>
      </c>
      <c r="AI9" s="2" t="str">
        <v>R</v>
      </c>
      <c r="AK9" s="2" t="str">
        <v>R</v>
      </c>
      <c r="AM9" s="2" t="str">
        <v>R</v>
      </c>
      <c r="AO9" s="2" t="str">
        <v>R</v>
      </c>
    </row>
    <row r="10">
      <c r="B10" s="2" t="str">
        <v>+0.50</v>
      </c>
      <c r="D10" s="2" t="str">
        <v>L</v>
      </c>
      <c r="E10" s="2">
        <v>2</v>
      </c>
      <c r="F10" s="2" t="str">
        <v>L</v>
      </c>
      <c r="G10" s="2">
        <v>1</v>
      </c>
      <c r="H10" s="2" t="str">
        <v>L</v>
      </c>
      <c r="I10" s="2">
        <v>4</v>
      </c>
      <c r="J10" s="2" t="str">
        <v>L</v>
      </c>
      <c r="K10" s="2">
        <v>3</v>
      </c>
      <c r="L10" s="2" t="str">
        <v>L</v>
      </c>
      <c r="M10" s="2">
        <v>2</v>
      </c>
      <c r="N10" s="2" t="str">
        <v>L</v>
      </c>
      <c r="O10" s="2">
        <v>2</v>
      </c>
      <c r="P10" s="2" t="str">
        <v>L</v>
      </c>
      <c r="Q10" s="2">
        <v>2</v>
      </c>
      <c r="R10" s="2" t="str">
        <v>L</v>
      </c>
      <c r="S10" s="2">
        <v>2</v>
      </c>
      <c r="T10" s="2" t="str">
        <v>L</v>
      </c>
      <c r="W10" s="2" t="str">
        <v>-0.75</v>
      </c>
      <c r="Y10" s="2" t="str">
        <v>L</v>
      </c>
      <c r="AA10" s="2" t="str">
        <v>L</v>
      </c>
      <c r="AC10" s="2" t="str">
        <v>L</v>
      </c>
      <c r="AE10" s="2" t="str">
        <v>L</v>
      </c>
      <c r="AG10" s="2" t="str">
        <v>L</v>
      </c>
      <c r="AI10" s="2" t="str">
        <v>L</v>
      </c>
      <c r="AK10" s="2" t="str">
        <v>L</v>
      </c>
      <c r="AM10" s="2" t="str">
        <v>L</v>
      </c>
      <c r="AO10" s="2" t="str">
        <v>L</v>
      </c>
    </row>
    <row r="11">
      <c r="D11" s="2" t="str">
        <v>R</v>
      </c>
      <c r="E11" s="2">
        <v>2</v>
      </c>
      <c r="F11" s="2" t="str">
        <v>R</v>
      </c>
      <c r="G11" s="2">
        <v>1</v>
      </c>
      <c r="H11" s="2" t="str">
        <v>R</v>
      </c>
      <c r="I11" s="2">
        <v>2</v>
      </c>
      <c r="J11" s="2" t="str">
        <v>R</v>
      </c>
      <c r="K11" s="2">
        <v>2</v>
      </c>
      <c r="L11" s="2" t="str">
        <v>R</v>
      </c>
      <c r="M11" s="2">
        <v>3</v>
      </c>
      <c r="N11" s="2" t="str">
        <v>R</v>
      </c>
      <c r="O11" s="2">
        <v>3</v>
      </c>
      <c r="P11" s="2" t="str">
        <v>R</v>
      </c>
      <c r="Q11" s="2">
        <v>3</v>
      </c>
      <c r="R11" s="2" t="str">
        <v>R</v>
      </c>
      <c r="S11" s="2">
        <v>2</v>
      </c>
      <c r="T11" s="2" t="str">
        <v>R</v>
      </c>
      <c r="Y11" s="2" t="str">
        <v>R</v>
      </c>
      <c r="AA11" s="2" t="str">
        <v>R</v>
      </c>
      <c r="AC11" s="2" t="str">
        <v>R</v>
      </c>
      <c r="AE11" s="2" t="str">
        <v>R</v>
      </c>
      <c r="AG11" s="2" t="str">
        <v>R</v>
      </c>
      <c r="AI11" s="2" t="str">
        <v>R</v>
      </c>
      <c r="AK11" s="2" t="str">
        <v>R</v>
      </c>
      <c r="AM11" s="2" t="str">
        <v>R</v>
      </c>
      <c r="AO11" s="2" t="str">
        <v>R</v>
      </c>
    </row>
    <row r="12">
      <c r="B12" s="2" t="str">
        <v>+0.75</v>
      </c>
      <c r="D12" s="2" t="str">
        <v>L</v>
      </c>
      <c r="E12" s="2">
        <v>2</v>
      </c>
      <c r="F12" s="2" t="str">
        <v>L</v>
      </c>
      <c r="G12" s="2">
        <v>2</v>
      </c>
      <c r="H12" s="2" t="str">
        <v>L</v>
      </c>
      <c r="I12" s="2">
        <v>1</v>
      </c>
      <c r="J12" s="2" t="str">
        <v>L</v>
      </c>
      <c r="K12" s="2">
        <v>2</v>
      </c>
      <c r="L12" s="2" t="str">
        <v>L</v>
      </c>
      <c r="M12" s="2">
        <v>3</v>
      </c>
      <c r="N12" s="2" t="str">
        <v>L</v>
      </c>
      <c r="O12" s="2">
        <v>2</v>
      </c>
      <c r="P12" s="2" t="str">
        <v>L</v>
      </c>
      <c r="Q12" s="2">
        <v>1</v>
      </c>
      <c r="R12" s="2" t="str">
        <v>L</v>
      </c>
      <c r="S12" s="2">
        <v>2</v>
      </c>
      <c r="T12" s="2" t="str">
        <v>L</v>
      </c>
      <c r="W12" s="2" t="str">
        <v>-1.00</v>
      </c>
      <c r="Y12" s="2" t="str">
        <v>L</v>
      </c>
      <c r="AA12" s="2" t="str">
        <v>L</v>
      </c>
      <c r="AC12" s="2" t="str">
        <v>L</v>
      </c>
      <c r="AE12" s="2" t="str">
        <v>L</v>
      </c>
      <c r="AG12" s="2" t="str">
        <v>L</v>
      </c>
      <c r="AI12" s="2" t="str">
        <v>L</v>
      </c>
      <c r="AK12" s="2" t="str">
        <v>L</v>
      </c>
      <c r="AM12" s="2" t="str">
        <v>L</v>
      </c>
      <c r="AO12" s="2" t="str">
        <v>L</v>
      </c>
    </row>
    <row r="13">
      <c r="D13" s="2" t="str">
        <v>R</v>
      </c>
      <c r="E13" s="2">
        <v>2</v>
      </c>
      <c r="F13" s="2" t="str">
        <v>R</v>
      </c>
      <c r="G13" s="2">
        <v>2</v>
      </c>
      <c r="H13" s="2" t="str">
        <v>R</v>
      </c>
      <c r="I13" s="2">
        <v>3</v>
      </c>
      <c r="J13" s="2" t="str">
        <v>R</v>
      </c>
      <c r="K13" s="2">
        <v>1</v>
      </c>
      <c r="L13" s="2" t="str">
        <v>R</v>
      </c>
      <c r="M13" s="2">
        <v>1</v>
      </c>
      <c r="N13" s="2" t="str">
        <v>R</v>
      </c>
      <c r="O13" s="2">
        <v>4</v>
      </c>
      <c r="P13" s="2" t="str">
        <v>R</v>
      </c>
      <c r="Q13" s="2">
        <v>4</v>
      </c>
      <c r="R13" s="2" t="str">
        <v>R</v>
      </c>
      <c r="S13" s="2">
        <v>2</v>
      </c>
      <c r="T13" s="2" t="str">
        <v>R</v>
      </c>
      <c r="Y13" s="2" t="str">
        <v>R</v>
      </c>
      <c r="AA13" s="2" t="str">
        <v>R</v>
      </c>
      <c r="AC13" s="2" t="str">
        <v>R</v>
      </c>
      <c r="AE13" s="2" t="str">
        <v>R</v>
      </c>
      <c r="AG13" s="2" t="str">
        <v>R</v>
      </c>
      <c r="AI13" s="2" t="str">
        <v>R</v>
      </c>
      <c r="AK13" s="2" t="str">
        <v>R</v>
      </c>
      <c r="AM13" s="2" t="str">
        <v>R</v>
      </c>
      <c r="AO13" s="2" t="str">
        <v>R</v>
      </c>
    </row>
    <row r="14">
      <c r="B14" s="2" t="str">
        <v>+1.00</v>
      </c>
      <c r="D14" s="2" t="str">
        <v>L</v>
      </c>
      <c r="E14" s="2">
        <v>2</v>
      </c>
      <c r="F14" s="2" t="str">
        <v>L</v>
      </c>
      <c r="G14" s="2">
        <v>2</v>
      </c>
      <c r="H14" s="2" t="str">
        <v>L</v>
      </c>
      <c r="I14" s="2">
        <v>2</v>
      </c>
      <c r="J14" s="2" t="str">
        <v>L</v>
      </c>
      <c r="K14" s="2">
        <v>3</v>
      </c>
      <c r="L14" s="2" t="str">
        <v>L</v>
      </c>
      <c r="M14" s="2">
        <v>2</v>
      </c>
      <c r="N14" s="2" t="str">
        <v>L</v>
      </c>
      <c r="O14" s="2">
        <v>3</v>
      </c>
      <c r="P14" s="2" t="str">
        <v>L</v>
      </c>
      <c r="Q14" s="2">
        <v>2</v>
      </c>
      <c r="R14" s="2" t="str">
        <v>L</v>
      </c>
      <c r="S14" s="2">
        <v>2</v>
      </c>
      <c r="T14" s="2" t="str">
        <v>L</v>
      </c>
      <c r="W14" s="2" t="str">
        <v>-1.25</v>
      </c>
      <c r="Y14" s="2" t="str">
        <v>L</v>
      </c>
      <c r="AA14" s="2" t="str">
        <v>L</v>
      </c>
      <c r="AC14" s="2" t="str">
        <v>L</v>
      </c>
      <c r="AE14" s="2" t="str">
        <v>L</v>
      </c>
      <c r="AG14" s="2" t="str">
        <v>L</v>
      </c>
      <c r="AI14" s="2" t="str">
        <v>L</v>
      </c>
      <c r="AK14" s="2" t="str">
        <v>L</v>
      </c>
      <c r="AM14" s="2" t="str">
        <v>L</v>
      </c>
      <c r="AO14" s="2" t="str">
        <v>L</v>
      </c>
    </row>
    <row r="15">
      <c r="D15" s="2" t="str">
        <v>R</v>
      </c>
      <c r="E15" s="2">
        <v>2</v>
      </c>
      <c r="F15" s="2" t="str">
        <v>R</v>
      </c>
      <c r="G15" s="2">
        <v>2</v>
      </c>
      <c r="H15" s="2" t="str">
        <v>R</v>
      </c>
      <c r="I15" s="2">
        <v>2</v>
      </c>
      <c r="J15" s="2" t="str">
        <v>R</v>
      </c>
      <c r="K15" s="2">
        <v>1</v>
      </c>
      <c r="L15" s="2" t="str">
        <v>R</v>
      </c>
      <c r="M15" s="2">
        <v>2</v>
      </c>
      <c r="N15" s="2" t="str">
        <v>R</v>
      </c>
      <c r="O15" s="2">
        <v>3</v>
      </c>
      <c r="P15" s="2" t="str">
        <v>R</v>
      </c>
      <c r="Q15" s="2">
        <v>3</v>
      </c>
      <c r="R15" s="2" t="str">
        <v>R</v>
      </c>
      <c r="S15" s="2">
        <v>2</v>
      </c>
      <c r="T15" s="2" t="str">
        <v>R</v>
      </c>
      <c r="Y15" s="2" t="str">
        <v>R</v>
      </c>
      <c r="AA15" s="2" t="str">
        <v>R</v>
      </c>
      <c r="AC15" s="2" t="str">
        <v>R</v>
      </c>
      <c r="AE15" s="2" t="str">
        <v>R</v>
      </c>
      <c r="AG15" s="2" t="str">
        <v>R</v>
      </c>
      <c r="AI15" s="2" t="str">
        <v>R</v>
      </c>
      <c r="AK15" s="2" t="str">
        <v>R</v>
      </c>
      <c r="AM15" s="2" t="str">
        <v>R</v>
      </c>
      <c r="AO15" s="2" t="str">
        <v>R</v>
      </c>
    </row>
    <row r="16">
      <c r="B16" s="2" t="str">
        <v>+1.25</v>
      </c>
      <c r="D16" s="2" t="str">
        <v>L</v>
      </c>
      <c r="E16" s="2">
        <v>2</v>
      </c>
      <c r="F16" s="2" t="str">
        <v>L</v>
      </c>
      <c r="G16" s="2">
        <v>2</v>
      </c>
      <c r="H16" s="2" t="str">
        <v>L</v>
      </c>
      <c r="I16" s="2">
        <v>2</v>
      </c>
      <c r="J16" s="2" t="str">
        <v>L</v>
      </c>
      <c r="K16" s="2">
        <v>2</v>
      </c>
      <c r="L16" s="2" t="str">
        <v>L</v>
      </c>
      <c r="M16" s="2">
        <v>1</v>
      </c>
      <c r="N16" s="2" t="str">
        <v>L</v>
      </c>
      <c r="O16" s="2">
        <v>1</v>
      </c>
      <c r="P16" s="2" t="str">
        <v>L</v>
      </c>
      <c r="Q16" s="2">
        <v>2</v>
      </c>
      <c r="R16" s="2" t="str">
        <v>L</v>
      </c>
      <c r="S16" s="2">
        <v>1</v>
      </c>
      <c r="T16" s="2" t="str">
        <v>L</v>
      </c>
      <c r="W16" s="2" t="str">
        <v>-1.50</v>
      </c>
      <c r="Y16" s="2" t="str">
        <v>L</v>
      </c>
      <c r="AA16" s="2" t="str">
        <v>L</v>
      </c>
      <c r="AC16" s="2" t="str">
        <v>L</v>
      </c>
      <c r="AE16" s="2" t="str">
        <v>L</v>
      </c>
      <c r="AG16" s="2" t="str">
        <v>L</v>
      </c>
      <c r="AI16" s="2" t="str">
        <v>L</v>
      </c>
      <c r="AK16" s="2" t="str">
        <v>L</v>
      </c>
      <c r="AM16" s="2" t="str">
        <v>L</v>
      </c>
      <c r="AO16" s="2" t="str">
        <v>L</v>
      </c>
    </row>
    <row r="17">
      <c r="D17" s="2" t="str">
        <v>R</v>
      </c>
      <c r="E17" s="2">
        <v>2</v>
      </c>
      <c r="F17" s="2" t="str">
        <v>R</v>
      </c>
      <c r="G17" s="2">
        <v>3</v>
      </c>
      <c r="H17" s="2" t="str">
        <v>R</v>
      </c>
      <c r="I17" s="2">
        <v>4</v>
      </c>
      <c r="J17" s="2" t="str">
        <v>R</v>
      </c>
      <c r="K17" s="2">
        <v>3</v>
      </c>
      <c r="L17" s="2" t="str">
        <v>R</v>
      </c>
      <c r="M17" s="2">
        <v>2</v>
      </c>
      <c r="N17" s="2" t="str">
        <v>R</v>
      </c>
      <c r="O17" s="2">
        <v>3</v>
      </c>
      <c r="P17" s="2" t="str">
        <v>R</v>
      </c>
      <c r="Q17" s="2">
        <v>2</v>
      </c>
      <c r="R17" s="2" t="str">
        <v>R</v>
      </c>
      <c r="S17" s="2">
        <v>1</v>
      </c>
      <c r="T17" s="2" t="str">
        <v>R</v>
      </c>
      <c r="Y17" s="2" t="str">
        <v>R</v>
      </c>
      <c r="AA17" s="2" t="str">
        <v>R</v>
      </c>
      <c r="AC17" s="2" t="str">
        <v>R</v>
      </c>
      <c r="AE17" s="2" t="str">
        <v>R</v>
      </c>
      <c r="AG17" s="2" t="str">
        <v>R</v>
      </c>
      <c r="AI17" s="2" t="str">
        <v>R</v>
      </c>
      <c r="AK17" s="2" t="str">
        <v>R</v>
      </c>
      <c r="AM17" s="2" t="str">
        <v>R</v>
      </c>
      <c r="AO17" s="2" t="str">
        <v>R</v>
      </c>
    </row>
    <row r="18">
      <c r="B18" s="2" t="str">
        <v>+1.50</v>
      </c>
      <c r="D18" s="2" t="str">
        <v>L</v>
      </c>
      <c r="E18" s="2">
        <v>2</v>
      </c>
      <c r="F18" s="2" t="str">
        <v>L</v>
      </c>
      <c r="G18" s="2">
        <v>2</v>
      </c>
      <c r="H18" s="2" t="str">
        <v>L</v>
      </c>
      <c r="I18" s="2">
        <v>2</v>
      </c>
      <c r="J18" s="2" t="str">
        <v>L</v>
      </c>
      <c r="K18" s="2">
        <v>2</v>
      </c>
      <c r="L18" s="2" t="str">
        <v>L</v>
      </c>
      <c r="M18" s="2">
        <v>2</v>
      </c>
      <c r="N18" s="2" t="str">
        <v>L</v>
      </c>
      <c r="O18" s="2">
        <v>2</v>
      </c>
      <c r="P18" s="2" t="str">
        <v>L</v>
      </c>
      <c r="Q18" s="2">
        <v>3</v>
      </c>
      <c r="R18" s="2" t="str">
        <v>L</v>
      </c>
      <c r="S18" s="2">
        <v>2</v>
      </c>
      <c r="T18" s="2" t="str">
        <v>L</v>
      </c>
      <c r="W18" s="2" t="str">
        <v>-1.75</v>
      </c>
      <c r="Y18" s="2" t="str">
        <v>L</v>
      </c>
      <c r="AA18" s="2" t="str">
        <v>L</v>
      </c>
      <c r="AC18" s="2" t="str">
        <v>L</v>
      </c>
      <c r="AE18" s="2" t="str">
        <v>L</v>
      </c>
      <c r="AG18" s="2" t="str">
        <v>L</v>
      </c>
      <c r="AI18" s="2" t="str">
        <v>L</v>
      </c>
      <c r="AK18" s="2" t="str">
        <v>L</v>
      </c>
      <c r="AM18" s="2" t="str">
        <v>L</v>
      </c>
      <c r="AO18" s="2" t="str">
        <v>L</v>
      </c>
    </row>
    <row r="19">
      <c r="D19" s="2" t="str">
        <v>R</v>
      </c>
      <c r="E19" s="2">
        <v>2</v>
      </c>
      <c r="F19" s="2" t="str">
        <v>R</v>
      </c>
      <c r="G19" s="2">
        <v>2</v>
      </c>
      <c r="H19" s="2" t="str">
        <v>R</v>
      </c>
      <c r="I19" s="2">
        <v>2</v>
      </c>
      <c r="J19" s="2" t="str">
        <v>R</v>
      </c>
      <c r="K19" s="2">
        <v>3</v>
      </c>
      <c r="L19" s="2" t="str">
        <v>R</v>
      </c>
      <c r="M19" s="2">
        <v>3</v>
      </c>
      <c r="N19" s="2" t="str">
        <v>R</v>
      </c>
      <c r="O19" s="2">
        <v>3</v>
      </c>
      <c r="P19" s="2" t="str">
        <v>R</v>
      </c>
      <c r="Q19" s="2">
        <v>2</v>
      </c>
      <c r="R19" s="2" t="str">
        <v>R</v>
      </c>
      <c r="S19" s="2">
        <v>2</v>
      </c>
      <c r="T19" s="2" t="str">
        <v>R</v>
      </c>
      <c r="Y19" s="2" t="str">
        <v>R</v>
      </c>
      <c r="AA19" s="2" t="str">
        <v>R</v>
      </c>
      <c r="AC19" s="2" t="str">
        <v>R</v>
      </c>
      <c r="AE19" s="2" t="str">
        <v>R</v>
      </c>
      <c r="AG19" s="2" t="str">
        <v>R</v>
      </c>
      <c r="AI19" s="2" t="str">
        <v>R</v>
      </c>
      <c r="AK19" s="2" t="str">
        <v>R</v>
      </c>
      <c r="AM19" s="2" t="str">
        <v>R</v>
      </c>
      <c r="AO19" s="2" t="str">
        <v>R</v>
      </c>
    </row>
    <row r="20">
      <c r="B20" s="2" t="str">
        <v>+1.75</v>
      </c>
      <c r="D20" s="2" t="str">
        <v>L</v>
      </c>
      <c r="E20" s="2">
        <v>2</v>
      </c>
      <c r="F20" s="2" t="str">
        <v>L</v>
      </c>
      <c r="G20" s="2">
        <v>3</v>
      </c>
      <c r="H20" s="2" t="str">
        <v>L</v>
      </c>
      <c r="I20" s="2">
        <v>3</v>
      </c>
      <c r="J20" s="2" t="str">
        <v>L</v>
      </c>
      <c r="K20" s="2">
        <v>3</v>
      </c>
      <c r="L20" s="2" t="str">
        <v>L</v>
      </c>
      <c r="M20" s="2">
        <v>2</v>
      </c>
      <c r="N20" s="2" t="str">
        <v>L</v>
      </c>
      <c r="O20" s="2">
        <v>3</v>
      </c>
      <c r="P20" s="2" t="str">
        <v>L</v>
      </c>
      <c r="Q20" s="2">
        <v>2</v>
      </c>
      <c r="R20" s="2" t="str">
        <v>L</v>
      </c>
      <c r="S20" s="2">
        <v>1</v>
      </c>
      <c r="T20" s="2" t="str">
        <v>L</v>
      </c>
      <c r="W20" s="2" t="str">
        <v>-2.00</v>
      </c>
      <c r="Y20" s="2" t="str">
        <v>L</v>
      </c>
      <c r="AA20" s="2" t="str">
        <v>L</v>
      </c>
      <c r="AC20" s="2" t="str">
        <v>L</v>
      </c>
      <c r="AE20" s="2" t="str">
        <v>L</v>
      </c>
      <c r="AG20" s="2" t="str">
        <v>L</v>
      </c>
      <c r="AI20" s="2" t="str">
        <v>L</v>
      </c>
      <c r="AK20" s="2" t="str">
        <v>L</v>
      </c>
      <c r="AM20" s="2" t="str">
        <v>L</v>
      </c>
      <c r="AO20" s="2" t="str">
        <v>L</v>
      </c>
    </row>
    <row r="21">
      <c r="D21" s="2" t="str">
        <v>R</v>
      </c>
      <c r="E21" s="2">
        <v>2</v>
      </c>
      <c r="F21" s="2" t="str">
        <v>R</v>
      </c>
      <c r="G21" s="2">
        <v>2</v>
      </c>
      <c r="H21" s="2" t="str">
        <v>R</v>
      </c>
      <c r="I21" s="2">
        <v>2</v>
      </c>
      <c r="J21" s="2" t="str">
        <v>R</v>
      </c>
      <c r="K21" s="2">
        <v>1</v>
      </c>
      <c r="L21" s="2" t="str">
        <v>R</v>
      </c>
      <c r="M21" s="2">
        <v>2</v>
      </c>
      <c r="N21" s="2" t="str">
        <v>R</v>
      </c>
      <c r="O21" s="2">
        <v>2</v>
      </c>
      <c r="P21" s="2" t="str">
        <v>R</v>
      </c>
      <c r="Q21" s="2">
        <v>2</v>
      </c>
      <c r="R21" s="2" t="str">
        <v>R</v>
      </c>
      <c r="S21" s="2">
        <v>3</v>
      </c>
      <c r="T21" s="2" t="str">
        <v>R</v>
      </c>
      <c r="Y21" s="2" t="str">
        <v>R</v>
      </c>
      <c r="AA21" s="2" t="str">
        <v>R</v>
      </c>
      <c r="AC21" s="2" t="str">
        <v>R</v>
      </c>
      <c r="AE21" s="2" t="str">
        <v>R</v>
      </c>
      <c r="AG21" s="2" t="str">
        <v>R</v>
      </c>
      <c r="AI21" s="2" t="str">
        <v>R</v>
      </c>
      <c r="AK21" s="2" t="str">
        <v>R</v>
      </c>
      <c r="AM21" s="2" t="str">
        <v>R</v>
      </c>
      <c r="AO21" s="2" t="str">
        <v>R</v>
      </c>
    </row>
    <row r="22">
      <c r="B22" s="2" t="str">
        <v>+2.00</v>
      </c>
      <c r="D22" s="2" t="str">
        <v>L</v>
      </c>
      <c r="E22" s="2">
        <v>2</v>
      </c>
      <c r="F22" s="2" t="str">
        <v>L</v>
      </c>
      <c r="G22" s="2">
        <v>2</v>
      </c>
      <c r="H22" s="2" t="str">
        <v>L</v>
      </c>
      <c r="I22" s="2">
        <v>2</v>
      </c>
      <c r="J22" s="2" t="str">
        <v>L</v>
      </c>
      <c r="K22" s="2">
        <v>2</v>
      </c>
      <c r="L22" s="2" t="str">
        <v>L</v>
      </c>
      <c r="M22" s="2">
        <v>3</v>
      </c>
      <c r="N22" s="2" t="str">
        <v>L</v>
      </c>
      <c r="O22" s="2">
        <v>4</v>
      </c>
      <c r="P22" s="2" t="str">
        <v>L</v>
      </c>
      <c r="Q22" s="2">
        <v>3</v>
      </c>
      <c r="R22" s="2" t="str">
        <v>L</v>
      </c>
      <c r="S22" s="2">
        <v>3</v>
      </c>
      <c r="T22" s="2" t="str">
        <v>L</v>
      </c>
      <c r="W22" s="2" t="str">
        <v>-2.25</v>
      </c>
      <c r="Y22" s="2" t="str">
        <v>L</v>
      </c>
      <c r="AA22" s="2" t="str">
        <v>L</v>
      </c>
      <c r="AC22" s="2" t="str">
        <v>L</v>
      </c>
      <c r="AE22" s="2" t="str">
        <v>L</v>
      </c>
      <c r="AG22" s="2" t="str">
        <v>L</v>
      </c>
      <c r="AI22" s="2" t="str">
        <v>L</v>
      </c>
      <c r="AK22" s="2" t="str">
        <v>L</v>
      </c>
      <c r="AM22" s="2" t="str">
        <v>L</v>
      </c>
      <c r="AO22" s="2" t="str">
        <v>L</v>
      </c>
    </row>
    <row r="23">
      <c r="D23" s="2" t="str">
        <v>R</v>
      </c>
      <c r="E23" s="2">
        <v>2</v>
      </c>
      <c r="F23" s="2" t="str">
        <v>R</v>
      </c>
      <c r="G23" s="2">
        <v>3</v>
      </c>
      <c r="H23" s="2" t="str">
        <v>R</v>
      </c>
      <c r="I23" s="2">
        <v>2</v>
      </c>
      <c r="J23" s="2" t="str">
        <v>R</v>
      </c>
      <c r="K23" s="2">
        <v>3</v>
      </c>
      <c r="L23" s="2" t="str">
        <v>R</v>
      </c>
      <c r="M23" s="2">
        <v>1</v>
      </c>
      <c r="N23" s="2" t="str">
        <v>R</v>
      </c>
      <c r="P23" s="2" t="str">
        <v>R</v>
      </c>
      <c r="Q23" s="2">
        <v>3</v>
      </c>
      <c r="R23" s="2" t="str">
        <v>R</v>
      </c>
      <c r="S23" s="2">
        <v>1</v>
      </c>
      <c r="T23" s="2" t="str">
        <v>R</v>
      </c>
      <c r="Y23" s="2" t="str">
        <v>R</v>
      </c>
      <c r="AA23" s="2" t="str">
        <v>R</v>
      </c>
      <c r="AC23" s="2" t="str">
        <v>R</v>
      </c>
      <c r="AE23" s="2" t="str">
        <v>R</v>
      </c>
      <c r="AG23" s="2" t="str">
        <v>R</v>
      </c>
      <c r="AI23" s="2" t="str">
        <v>R</v>
      </c>
      <c r="AK23" s="2" t="str">
        <v>R</v>
      </c>
      <c r="AM23" s="2" t="str">
        <v>R</v>
      </c>
      <c r="AO23" s="2" t="str">
        <v>R</v>
      </c>
    </row>
    <row r="24">
      <c r="B24" s="2" t="str">
        <v>+2.25</v>
      </c>
      <c r="D24" s="2" t="str">
        <v>L</v>
      </c>
      <c r="E24" s="2">
        <v>2</v>
      </c>
      <c r="F24" s="2" t="str">
        <v>L</v>
      </c>
      <c r="G24" s="2">
        <v>3</v>
      </c>
      <c r="H24" s="2" t="str">
        <v>L</v>
      </c>
      <c r="I24" s="2">
        <v>2</v>
      </c>
      <c r="J24" s="2" t="str">
        <v>L</v>
      </c>
      <c r="K24" s="2">
        <v>1</v>
      </c>
      <c r="L24" s="2" t="str">
        <v>L</v>
      </c>
      <c r="M24" s="2">
        <v>1</v>
      </c>
      <c r="N24" s="2" t="str">
        <v>L</v>
      </c>
      <c r="O24" s="2">
        <v>1</v>
      </c>
      <c r="P24" s="2" t="str">
        <v>L</v>
      </c>
      <c r="Q24" s="2">
        <v>3</v>
      </c>
      <c r="R24" s="2" t="str">
        <v>L</v>
      </c>
      <c r="S24" s="2">
        <v>2</v>
      </c>
      <c r="T24" s="2" t="str">
        <v>L</v>
      </c>
      <c r="W24" s="2" t="str">
        <v>-2.50</v>
      </c>
      <c r="Y24" s="2" t="str">
        <v>L</v>
      </c>
      <c r="AA24" s="2" t="str">
        <v>L</v>
      </c>
      <c r="AC24" s="2" t="str">
        <v>L</v>
      </c>
      <c r="AE24" s="2" t="str">
        <v>L</v>
      </c>
      <c r="AG24" s="2" t="str">
        <v>L</v>
      </c>
      <c r="AI24" s="2" t="str">
        <v>L</v>
      </c>
      <c r="AK24" s="2" t="str">
        <v>L</v>
      </c>
      <c r="AM24" s="2" t="str">
        <v>L</v>
      </c>
      <c r="AO24" s="2" t="str">
        <v>L</v>
      </c>
    </row>
    <row r="25">
      <c r="D25" s="2" t="str">
        <v>R</v>
      </c>
      <c r="E25" s="2">
        <v>2</v>
      </c>
      <c r="F25" s="2" t="str">
        <v>R</v>
      </c>
      <c r="G25" s="2">
        <v>2</v>
      </c>
      <c r="H25" s="2" t="str">
        <v>R</v>
      </c>
      <c r="I25" s="2">
        <v>3</v>
      </c>
      <c r="J25" s="2" t="str">
        <v>R</v>
      </c>
      <c r="K25" s="2">
        <v>2</v>
      </c>
      <c r="L25" s="2" t="str">
        <v>R</v>
      </c>
      <c r="M25" s="2">
        <v>3</v>
      </c>
      <c r="N25" s="2" t="str">
        <v>R</v>
      </c>
      <c r="O25" s="2">
        <v>2</v>
      </c>
      <c r="P25" s="2" t="str">
        <v>R</v>
      </c>
      <c r="Q25" s="2">
        <v>2</v>
      </c>
      <c r="R25" s="2" t="str">
        <v>R</v>
      </c>
      <c r="S25" s="2">
        <v>2</v>
      </c>
      <c r="T25" s="2" t="str">
        <v>R</v>
      </c>
      <c r="Y25" s="2" t="str">
        <v>R</v>
      </c>
      <c r="AA25" s="2" t="str">
        <v>R</v>
      </c>
      <c r="AC25" s="2" t="str">
        <v>R</v>
      </c>
      <c r="AE25" s="2" t="str">
        <v>R</v>
      </c>
      <c r="AG25" s="2" t="str">
        <v>R</v>
      </c>
      <c r="AI25" s="2" t="str">
        <v>R</v>
      </c>
      <c r="AK25" s="2" t="str">
        <v>R</v>
      </c>
      <c r="AM25" s="2" t="str">
        <v>R</v>
      </c>
      <c r="AO25" s="2" t="str">
        <v>R</v>
      </c>
    </row>
    <row r="26">
      <c r="B26" s="2" t="str">
        <v>+2.50</v>
      </c>
      <c r="D26" s="2" t="str">
        <v>L</v>
      </c>
      <c r="E26" s="2">
        <v>2</v>
      </c>
      <c r="F26" s="2" t="str">
        <v>L</v>
      </c>
      <c r="G26" s="2">
        <v>2</v>
      </c>
      <c r="H26" s="2" t="str">
        <v>L</v>
      </c>
      <c r="I26" s="2">
        <v>2</v>
      </c>
      <c r="J26" s="2" t="str">
        <v>L</v>
      </c>
      <c r="K26" s="2">
        <v>3</v>
      </c>
      <c r="L26" s="2" t="str">
        <v>L</v>
      </c>
      <c r="M26" s="2">
        <v>2</v>
      </c>
      <c r="N26" s="2" t="str">
        <v>L</v>
      </c>
      <c r="O26" s="2">
        <v>2</v>
      </c>
      <c r="P26" s="2" t="str">
        <v>L</v>
      </c>
      <c r="Q26" s="2">
        <v>2</v>
      </c>
      <c r="R26" s="2" t="str">
        <v>L</v>
      </c>
      <c r="S26" s="2">
        <v>1</v>
      </c>
      <c r="T26" s="2" t="str">
        <v>L</v>
      </c>
      <c r="W26" s="2" t="str">
        <v>-2.75</v>
      </c>
      <c r="Y26" s="2" t="str">
        <v>L</v>
      </c>
      <c r="AA26" s="2" t="str">
        <v>L</v>
      </c>
      <c r="AC26" s="2" t="str">
        <v>L</v>
      </c>
      <c r="AE26" s="2" t="str">
        <v>L</v>
      </c>
      <c r="AG26" s="2" t="str">
        <v>L</v>
      </c>
      <c r="AI26" s="2" t="str">
        <v>L</v>
      </c>
      <c r="AK26" s="2" t="str">
        <v>L</v>
      </c>
      <c r="AM26" s="2" t="str">
        <v>L</v>
      </c>
      <c r="AO26" s="2" t="str">
        <v>L</v>
      </c>
    </row>
    <row r="27">
      <c r="D27" s="2" t="str">
        <v>R</v>
      </c>
      <c r="E27" s="2">
        <v>2</v>
      </c>
      <c r="F27" s="2" t="str">
        <v>R</v>
      </c>
      <c r="G27" s="2">
        <v>2</v>
      </c>
      <c r="H27" s="2" t="str">
        <v>R</v>
      </c>
      <c r="I27" s="2">
        <v>2</v>
      </c>
      <c r="J27" s="2" t="str">
        <v>R</v>
      </c>
      <c r="K27" s="2">
        <v>2</v>
      </c>
      <c r="L27" s="2" t="str">
        <v>R</v>
      </c>
      <c r="M27" s="2">
        <v>2</v>
      </c>
      <c r="N27" s="2" t="str">
        <v>R</v>
      </c>
      <c r="P27" s="2" t="str">
        <v>R</v>
      </c>
      <c r="Q27" s="2">
        <v>2</v>
      </c>
      <c r="R27" s="2" t="str">
        <v>R</v>
      </c>
      <c r="S27" s="2">
        <v>3</v>
      </c>
      <c r="T27" s="2" t="str">
        <v>R</v>
      </c>
      <c r="Y27" s="2" t="str">
        <v>R</v>
      </c>
      <c r="AA27" s="2" t="str">
        <v>R</v>
      </c>
      <c r="AC27" s="2" t="str">
        <v>R</v>
      </c>
      <c r="AE27" s="2" t="str">
        <v>R</v>
      </c>
      <c r="AG27" s="2" t="str">
        <v>R</v>
      </c>
      <c r="AI27" s="2" t="str">
        <v>R</v>
      </c>
      <c r="AK27" s="2" t="str">
        <v>R</v>
      </c>
      <c r="AM27" s="2" t="str">
        <v>R</v>
      </c>
      <c r="AO27" s="2" t="str">
        <v>R</v>
      </c>
    </row>
    <row r="28">
      <c r="B28" s="2" t="str">
        <v>+2.75</v>
      </c>
      <c r="D28" s="2" t="str">
        <v>L</v>
      </c>
      <c r="E28" s="2">
        <v>2</v>
      </c>
      <c r="F28" s="2" t="str">
        <v>L</v>
      </c>
      <c r="G28" s="2">
        <v>2</v>
      </c>
      <c r="H28" s="2" t="str">
        <v>L</v>
      </c>
      <c r="I28" s="2">
        <v>3</v>
      </c>
      <c r="J28" s="2" t="str">
        <v>L</v>
      </c>
      <c r="K28" s="2">
        <v>2</v>
      </c>
      <c r="L28" s="2" t="str">
        <v>L</v>
      </c>
      <c r="M28" s="2">
        <v>2</v>
      </c>
      <c r="N28" s="2" t="str">
        <v>L</v>
      </c>
      <c r="O28" s="2">
        <v>1</v>
      </c>
      <c r="P28" s="2" t="str">
        <v>L</v>
      </c>
      <c r="Q28" s="2">
        <v>2</v>
      </c>
      <c r="R28" s="2" t="str">
        <v>L</v>
      </c>
      <c r="S28" s="2">
        <v>4</v>
      </c>
      <c r="T28" s="2" t="str">
        <v>L</v>
      </c>
      <c r="W28" s="2" t="str">
        <v>-3.00</v>
      </c>
      <c r="Y28" s="2" t="str">
        <v>L</v>
      </c>
      <c r="AA28" s="2" t="str">
        <v>L</v>
      </c>
      <c r="AC28" s="2" t="str">
        <v>L</v>
      </c>
      <c r="AE28" s="2" t="str">
        <v>L</v>
      </c>
      <c r="AG28" s="2" t="str">
        <v>L</v>
      </c>
      <c r="AI28" s="2" t="str">
        <v>L</v>
      </c>
      <c r="AK28" s="2" t="str">
        <v>L</v>
      </c>
      <c r="AM28" s="2" t="str">
        <v>L</v>
      </c>
      <c r="AO28" s="2" t="str">
        <v>L</v>
      </c>
    </row>
    <row r="29">
      <c r="D29" s="2" t="str">
        <v>R</v>
      </c>
      <c r="E29" s="2">
        <v>2</v>
      </c>
      <c r="F29" s="2" t="str">
        <v>R</v>
      </c>
      <c r="G29" s="2">
        <v>2</v>
      </c>
      <c r="H29" s="2" t="str">
        <v>R</v>
      </c>
      <c r="I29" s="2">
        <v>2</v>
      </c>
      <c r="J29" s="2" t="str">
        <v>R</v>
      </c>
      <c r="K29" s="2">
        <v>3</v>
      </c>
      <c r="L29" s="2" t="str">
        <v>R</v>
      </c>
      <c r="M29" s="2">
        <v>2</v>
      </c>
      <c r="N29" s="2" t="str">
        <v>R</v>
      </c>
      <c r="O29" s="2">
        <v>3</v>
      </c>
      <c r="P29" s="2" t="str">
        <v>R</v>
      </c>
      <c r="Q29" s="2">
        <v>2</v>
      </c>
      <c r="R29" s="2" t="str">
        <v>R</v>
      </c>
      <c r="S29" s="2">
        <v>2</v>
      </c>
      <c r="T29" s="2" t="str">
        <v>R</v>
      </c>
      <c r="Y29" s="2" t="str">
        <v>R</v>
      </c>
      <c r="AA29" s="2" t="str">
        <v>R</v>
      </c>
      <c r="AC29" s="2" t="str">
        <v>R</v>
      </c>
      <c r="AE29" s="2" t="str">
        <v>R</v>
      </c>
      <c r="AG29" s="2" t="str">
        <v>R</v>
      </c>
      <c r="AI29" s="2" t="str">
        <v>R</v>
      </c>
      <c r="AK29" s="2" t="str">
        <v>R</v>
      </c>
      <c r="AM29" s="2" t="str">
        <v>R</v>
      </c>
      <c r="AO29" s="2" t="str">
        <v>R</v>
      </c>
    </row>
    <row r="30">
      <c r="B30" s="2" t="str">
        <v>+3.00</v>
      </c>
      <c r="D30" s="2" t="str">
        <v>L</v>
      </c>
      <c r="E30" s="2">
        <v>2</v>
      </c>
      <c r="F30" s="2" t="str">
        <v>L</v>
      </c>
      <c r="G30" s="2">
        <v>2</v>
      </c>
      <c r="H30" s="2" t="str">
        <v>L</v>
      </c>
      <c r="I30" s="2">
        <v>2</v>
      </c>
      <c r="J30" s="2" t="str">
        <v>L</v>
      </c>
      <c r="K30" s="2">
        <v>2</v>
      </c>
      <c r="L30" s="2" t="str">
        <v>L</v>
      </c>
      <c r="M30" s="2">
        <v>2</v>
      </c>
      <c r="N30" s="2" t="str">
        <v>L</v>
      </c>
      <c r="O30" s="2">
        <v>2</v>
      </c>
      <c r="P30" s="2" t="str">
        <v>L</v>
      </c>
      <c r="Q30" s="2">
        <v>2</v>
      </c>
      <c r="R30" s="2" t="str">
        <v>L</v>
      </c>
      <c r="S30" s="2">
        <v>1</v>
      </c>
      <c r="T30" s="2" t="str">
        <v>L</v>
      </c>
    </row>
    <row r="31">
      <c r="D31" s="2" t="str">
        <v>R</v>
      </c>
      <c r="E31" s="2">
        <v>2</v>
      </c>
      <c r="F31" s="2" t="str">
        <v>R</v>
      </c>
      <c r="G31" s="2">
        <v>2</v>
      </c>
      <c r="H31" s="2" t="str">
        <v>R</v>
      </c>
      <c r="I31" s="2">
        <v>3</v>
      </c>
      <c r="J31" s="2" t="str">
        <v>R</v>
      </c>
      <c r="K31" s="2">
        <v>2</v>
      </c>
      <c r="L31" s="2" t="str">
        <v>R</v>
      </c>
      <c r="M31" s="2">
        <v>2</v>
      </c>
      <c r="N31" s="2" t="str">
        <v>R</v>
      </c>
      <c r="O31" s="2">
        <v>3</v>
      </c>
      <c r="P31" s="2" t="str">
        <v>R</v>
      </c>
      <c r="Q31" s="2">
        <v>3</v>
      </c>
      <c r="R31" s="2" t="str">
        <v>R</v>
      </c>
      <c r="S31" s="2">
        <v>1</v>
      </c>
      <c r="T31" s="2" t="str">
        <v>R</v>
      </c>
    </row>
    <row r="36">
      <c r="C36" s="2" t="str">
        <v>PEDIDO SUGERIDO BIFOCAL FT-L28 REVOLUTION AR (PAR)</v>
      </c>
    </row>
    <row r="37">
      <c r="B37" s="2" t="str">
        <v>PEDIDO SUGERIDO BIFOCAL FT-L28 REVOLUTION AR (PAR)</v>
      </c>
    </row>
    <row r="38">
      <c r="C38" s="2" t="str">
        <v>ADICION</v>
      </c>
      <c r="X38" s="2" t="str">
        <v>ADICION</v>
      </c>
    </row>
    <row r="40">
      <c r="A40" s="2" t="str">
        <v>(+)</v>
      </c>
      <c r="C40" s="2" t="str">
        <v>1.00</v>
      </c>
      <c r="E40" s="2" t="str">
        <v>1.25</v>
      </c>
      <c r="G40" s="2" t="str">
        <v>1.50</v>
      </c>
      <c r="I40" s="2" t="str">
        <v>1.75</v>
      </c>
      <c r="K40" s="2" t="str">
        <v>2.00</v>
      </c>
      <c r="M40" s="2" t="str">
        <v>2.25</v>
      </c>
      <c r="O40" s="2" t="str">
        <v>2.50</v>
      </c>
      <c r="Q40" s="2" t="str">
        <v>2.75</v>
      </c>
      <c r="S40" s="2" t="str">
        <v>3.00</v>
      </c>
      <c r="V40" s="2" t="str">
        <v>(-)</v>
      </c>
      <c r="X40" s="2" t="str">
        <v>1.00</v>
      </c>
      <c r="Z40" s="2" t="str">
        <v>1.25</v>
      </c>
      <c r="AB40" s="2" t="str">
        <v>1.50</v>
      </c>
      <c r="AD40" s="2" t="str">
        <v>1.75</v>
      </c>
      <c r="AF40" s="2" t="str">
        <v>2.00</v>
      </c>
      <c r="AH40" s="2" t="str">
        <v>2.25</v>
      </c>
      <c r="AJ40" s="2" t="str">
        <v>+2.50</v>
      </c>
      <c r="AL40" s="2" t="str">
        <v>+2.75</v>
      </c>
      <c r="AN40" s="2" t="str">
        <v>+3.00</v>
      </c>
    </row>
    <row r="41">
      <c r="A41" s="2" t="str">
        <v>ESFERA</v>
      </c>
      <c r="B41" s="2" t="str">
        <v>0.00</v>
      </c>
      <c r="D41" s="2" t="str">
        <v>L</v>
      </c>
      <c r="E41" s="2" t="str">
        <f>IF(QUOTIENT(E6+E7,2)&lt;2,2-QUOTIENT(E6+E7,2),"")</f>
        <v/>
      </c>
      <c r="F41" s="2" t="str">
        <v>L</v>
      </c>
      <c r="G41" s="2" t="str">
        <f>IF(QUOTIENT(G6+G7,2)&lt;2,2-QUOTIENT(G6+G7,2),"")</f>
        <v/>
      </c>
      <c r="H41" s="2" t="str">
        <v>L</v>
      </c>
      <c r="I41" s="2" t="str">
        <f>IF(QUOTIENT(I6+I7,2)&lt;2,2-QUOTIENT(I6+I7,2),"")</f>
        <v/>
      </c>
      <c r="J41" s="2" t="str">
        <v>L</v>
      </c>
      <c r="K41" s="2" t="str">
        <f>IF(QUOTIENT(K6+K7,2)&lt;2,2-QUOTIENT(K6+K7,2),"")</f>
        <v/>
      </c>
      <c r="L41" s="2" t="str">
        <v>L</v>
      </c>
      <c r="M41" s="2">
        <f>IF(QUOTIENT(M6+M7,2)&lt;2,2-QUOTIENT(M6+M7,2),"")</f>
        <v>1</v>
      </c>
      <c r="N41" s="2" t="str">
        <v>L</v>
      </c>
      <c r="O41" s="2" t="str">
        <f>IF(QUOTIENT(O6+O7,2)&lt;2,2-QUOTIENT(O6+O7,2),"")</f>
        <v/>
      </c>
      <c r="P41" s="2" t="str">
        <v>L</v>
      </c>
      <c r="Q41" s="2" t="str">
        <f>IF(QUOTIENT(Q6+Q7,2)&lt;2,2-QUOTIENT(Q6+Q7,2),"")</f>
        <v/>
      </c>
      <c r="R41" s="2" t="str">
        <v>L</v>
      </c>
      <c r="S41" s="2" t="str">
        <f>IF(QUOTIENT(S6+S7,2)&lt;2,2-QUOTIENT(S6+S7,2),"")</f>
        <v/>
      </c>
      <c r="T41" s="2" t="str">
        <v>L</v>
      </c>
      <c r="V41" s="2" t="str">
        <v>ESFERA</v>
      </c>
      <c r="W41" s="2" t="str">
        <v>-0.25</v>
      </c>
      <c r="Y41" s="2" t="str">
        <v>L</v>
      </c>
      <c r="AA41" s="2" t="str">
        <v>L</v>
      </c>
      <c r="AC41" s="2" t="str">
        <v>L</v>
      </c>
      <c r="AE41" s="2" t="str">
        <v>L</v>
      </c>
      <c r="AG41" s="2" t="str">
        <v>L</v>
      </c>
      <c r="AI41" s="2" t="str">
        <v>L</v>
      </c>
      <c r="AK41" s="2" t="str">
        <v>L</v>
      </c>
      <c r="AM41" s="2" t="str">
        <v>L</v>
      </c>
      <c r="AO41" s="2" t="str">
        <v>L</v>
      </c>
    </row>
    <row r="42">
      <c r="D42" s="2" t="str">
        <v>R</v>
      </c>
      <c r="F42" s="2" t="str">
        <v>R</v>
      </c>
      <c r="H42" s="2" t="str">
        <v>R</v>
      </c>
      <c r="J42" s="2" t="str">
        <v>R</v>
      </c>
      <c r="L42" s="2" t="str">
        <v>R</v>
      </c>
      <c r="N42" s="2" t="str">
        <v>R</v>
      </c>
      <c r="P42" s="2" t="str">
        <v>R</v>
      </c>
      <c r="R42" s="2" t="str">
        <v>R</v>
      </c>
      <c r="T42" s="2" t="str">
        <v>R</v>
      </c>
      <c r="Y42" s="2" t="str">
        <v>R</v>
      </c>
      <c r="AA42" s="2" t="str">
        <v>R</v>
      </c>
      <c r="AC42" s="2" t="str">
        <v>R</v>
      </c>
      <c r="AE42" s="2" t="str">
        <v>R</v>
      </c>
      <c r="AG42" s="2" t="str">
        <v>R</v>
      </c>
      <c r="AI42" s="2" t="str">
        <v>R</v>
      </c>
      <c r="AK42" s="2" t="str">
        <v>R</v>
      </c>
      <c r="AM42" s="2" t="str">
        <v>R</v>
      </c>
      <c r="AO42" s="2" t="str">
        <v>R</v>
      </c>
    </row>
    <row r="43">
      <c r="B43" s="2" t="str">
        <v>+0.25</v>
      </c>
      <c r="D43" s="2" t="str">
        <v>L</v>
      </c>
      <c r="E43" s="2" t="str">
        <f>IF(QUOTIENT(E8+E9,2)&lt;2,2-QUOTIENT(E8+E9,2),"")</f>
        <v/>
      </c>
      <c r="F43" s="2" t="str">
        <v>L</v>
      </c>
      <c r="G43" s="2" t="str">
        <f>IF(QUOTIENT(G8+G9,2)&lt;2,2-QUOTIENT(G8+G9,2),"")</f>
        <v/>
      </c>
      <c r="H43" s="2" t="str">
        <v>L</v>
      </c>
      <c r="I43" s="2" t="str">
        <f>IF(QUOTIENT(I8+I9,2)&lt;2,2-QUOTIENT(I8+I9,2),"")</f>
        <v/>
      </c>
      <c r="J43" s="2" t="str">
        <v>L</v>
      </c>
      <c r="K43" s="2" t="str">
        <f>IF(QUOTIENT(K8+K9,2)&lt;2,2-QUOTIENT(K8+K9,2),"")</f>
        <v/>
      </c>
      <c r="L43" s="2" t="str">
        <v>L</v>
      </c>
      <c r="M43" s="2" t="str">
        <f>IF(QUOTIENT(M8+M9,2)&lt;2,2-QUOTIENT(M8+M9,2),"")</f>
        <v/>
      </c>
      <c r="N43" s="2" t="str">
        <v>L</v>
      </c>
      <c r="O43" s="2" t="str">
        <f>IF(QUOTIENT(O8+O9,2)&lt;2,2-QUOTIENT(O8+O9,2),"")</f>
        <v/>
      </c>
      <c r="P43" s="2" t="str">
        <v>L</v>
      </c>
      <c r="Q43" s="2" t="str">
        <f>IF(QUOTIENT(Q8+Q9,2)&lt;2,2-QUOTIENT(Q8+Q9,2),"")</f>
        <v/>
      </c>
      <c r="R43" s="2" t="str">
        <v>L</v>
      </c>
      <c r="S43" s="2" t="str">
        <f>IF(QUOTIENT(S8+S9,2)&lt;2,2-QUOTIENT(S8+S9,2),"")</f>
        <v/>
      </c>
      <c r="T43" s="2" t="str">
        <v>L</v>
      </c>
      <c r="W43" s="2" t="str">
        <v>-0.50</v>
      </c>
      <c r="Y43" s="2" t="str">
        <v>L</v>
      </c>
      <c r="AA43" s="2" t="str">
        <v>L</v>
      </c>
      <c r="AC43" s="2" t="str">
        <v>L</v>
      </c>
      <c r="AE43" s="2" t="str">
        <v>L</v>
      </c>
      <c r="AG43" s="2" t="str">
        <v>L</v>
      </c>
      <c r="AI43" s="2" t="str">
        <v>L</v>
      </c>
      <c r="AK43" s="2" t="str">
        <v>L</v>
      </c>
      <c r="AM43" s="2" t="str">
        <v>L</v>
      </c>
      <c r="AO43" s="2" t="str">
        <v>L</v>
      </c>
    </row>
    <row r="44">
      <c r="D44" s="2" t="str">
        <v>R</v>
      </c>
      <c r="F44" s="2" t="str">
        <v>R</v>
      </c>
      <c r="H44" s="2" t="str">
        <v>R</v>
      </c>
      <c r="J44" s="2" t="str">
        <v>R</v>
      </c>
      <c r="L44" s="2" t="str">
        <v>R</v>
      </c>
      <c r="N44" s="2" t="str">
        <v>R</v>
      </c>
      <c r="P44" s="2" t="str">
        <v>R</v>
      </c>
      <c r="R44" s="2" t="str">
        <v>R</v>
      </c>
      <c r="T44" s="2" t="str">
        <v>R</v>
      </c>
      <c r="Y44" s="2" t="str">
        <v>R</v>
      </c>
      <c r="AA44" s="2" t="str">
        <v>R</v>
      </c>
      <c r="AC44" s="2" t="str">
        <v>R</v>
      </c>
      <c r="AE44" s="2" t="str">
        <v>R</v>
      </c>
      <c r="AG44" s="2" t="str">
        <v>R</v>
      </c>
      <c r="AI44" s="2" t="str">
        <v>R</v>
      </c>
      <c r="AK44" s="2" t="str">
        <v>R</v>
      </c>
      <c r="AM44" s="2" t="str">
        <v>R</v>
      </c>
      <c r="AO44" s="2" t="str">
        <v>R</v>
      </c>
    </row>
    <row r="45">
      <c r="B45" s="2" t="str">
        <v>+0.50</v>
      </c>
      <c r="D45" s="2" t="str">
        <v>L</v>
      </c>
      <c r="E45" s="2" t="str">
        <f>IF(QUOTIENT(E10+E11,2)&lt;2,2-QUOTIENT(E10+E11,2),"")</f>
        <v/>
      </c>
      <c r="F45" s="2" t="str">
        <v>L</v>
      </c>
      <c r="G45" s="2">
        <f>IF(QUOTIENT(G10+G11,2)&lt;2,2-QUOTIENT(G10+G11,2),"")</f>
        <v>1</v>
      </c>
      <c r="H45" s="2" t="str">
        <v>L</v>
      </c>
      <c r="I45" s="2" t="str">
        <f>IF(QUOTIENT(I10+I11,2)&lt;2,2-QUOTIENT(I10+I11,2),"")</f>
        <v/>
      </c>
      <c r="J45" s="2" t="str">
        <v>L</v>
      </c>
      <c r="K45" s="2" t="str">
        <f>IF(QUOTIENT(K10+K11,2)&lt;2,2-QUOTIENT(K10+K11,2),"")</f>
        <v/>
      </c>
      <c r="L45" s="2" t="str">
        <v>L</v>
      </c>
      <c r="M45" s="2" t="str">
        <f>IF(QUOTIENT(M10+M11,2)&lt;2,2-QUOTIENT(M10+M11,2),"")</f>
        <v/>
      </c>
      <c r="N45" s="2" t="str">
        <v>L</v>
      </c>
      <c r="O45" s="2" t="str">
        <f>IF(QUOTIENT(O10+O11,2)&lt;2,2-QUOTIENT(O10+O11,2),"")</f>
        <v/>
      </c>
      <c r="P45" s="2" t="str">
        <v>L</v>
      </c>
      <c r="Q45" s="2" t="str">
        <f>IF(QUOTIENT(Q10+Q11,2)&lt;2,2-QUOTIENT(Q10+Q11,2),"")</f>
        <v/>
      </c>
      <c r="R45" s="2" t="str">
        <v>L</v>
      </c>
      <c r="S45" s="2" t="str">
        <f>IF(QUOTIENT(S10+S11,2)&lt;2,2-QUOTIENT(S10+S11,2),"")</f>
        <v/>
      </c>
      <c r="T45" s="2" t="str">
        <v>L</v>
      </c>
      <c r="W45" s="2" t="str">
        <v>-0.75</v>
      </c>
      <c r="Y45" s="2" t="str">
        <v>L</v>
      </c>
      <c r="AA45" s="2" t="str">
        <v>L</v>
      </c>
      <c r="AC45" s="2" t="str">
        <v>L</v>
      </c>
      <c r="AE45" s="2" t="str">
        <v>L</v>
      </c>
      <c r="AG45" s="2" t="str">
        <v>L</v>
      </c>
      <c r="AI45" s="2" t="str">
        <v>L</v>
      </c>
      <c r="AK45" s="2" t="str">
        <v>L</v>
      </c>
      <c r="AM45" s="2" t="str">
        <v>L</v>
      </c>
      <c r="AO45" s="2" t="str">
        <v>L</v>
      </c>
    </row>
    <row r="46">
      <c r="D46" s="2" t="str">
        <v>R</v>
      </c>
      <c r="F46" s="2" t="str">
        <v>R</v>
      </c>
      <c r="H46" s="2" t="str">
        <v>R</v>
      </c>
      <c r="J46" s="2" t="str">
        <v>R</v>
      </c>
      <c r="L46" s="2" t="str">
        <v>R</v>
      </c>
      <c r="N46" s="2" t="str">
        <v>R</v>
      </c>
      <c r="P46" s="2" t="str">
        <v>R</v>
      </c>
      <c r="R46" s="2" t="str">
        <v>R</v>
      </c>
      <c r="T46" s="2" t="str">
        <v>R</v>
      </c>
      <c r="Y46" s="2" t="str">
        <v>R</v>
      </c>
      <c r="AA46" s="2" t="str">
        <v>R</v>
      </c>
      <c r="AC46" s="2" t="str">
        <v>R</v>
      </c>
      <c r="AE46" s="2" t="str">
        <v>R</v>
      </c>
      <c r="AG46" s="2" t="str">
        <v>R</v>
      </c>
      <c r="AI46" s="2" t="str">
        <v>R</v>
      </c>
      <c r="AK46" s="2" t="str">
        <v>R</v>
      </c>
      <c r="AM46" s="2" t="str">
        <v>R</v>
      </c>
      <c r="AO46" s="2" t="str">
        <v>R</v>
      </c>
    </row>
    <row r="47">
      <c r="B47" s="2" t="str">
        <v>+0.75</v>
      </c>
      <c r="D47" s="2" t="str">
        <v>L</v>
      </c>
      <c r="E47" s="2" t="str">
        <f>IF(QUOTIENT(E12+E13,2)&lt;2,2-QUOTIENT(E12+E13,2),"")</f>
        <v/>
      </c>
      <c r="F47" s="2" t="str">
        <v>L</v>
      </c>
      <c r="G47" s="2" t="str">
        <f>IF(QUOTIENT(G12+G13,2)&lt;2,2-QUOTIENT(G12+G13,2),"")</f>
        <v/>
      </c>
      <c r="H47" s="2" t="str">
        <v>L</v>
      </c>
      <c r="I47" s="2" t="str">
        <f>IF(QUOTIENT(I12+I13,2)&lt;2,2-QUOTIENT(I12+I13,2),"")</f>
        <v/>
      </c>
      <c r="J47" s="2" t="str">
        <v>L</v>
      </c>
      <c r="K47" s="2">
        <f>IF(QUOTIENT(K12+K13,2)&lt;2,2-QUOTIENT(K12+K13,2),"")</f>
        <v>1</v>
      </c>
      <c r="L47" s="2" t="str">
        <v>L</v>
      </c>
      <c r="M47" s="2" t="str">
        <f>IF(QUOTIENT(M12+M13,2)&lt;2,2-QUOTIENT(M12+M13,2),"")</f>
        <v/>
      </c>
      <c r="N47" s="2" t="str">
        <v>L</v>
      </c>
      <c r="O47" s="2" t="str">
        <f>IF(QUOTIENT(O12+O13,2)&lt;2,2-QUOTIENT(O12+O13,2),"")</f>
        <v/>
      </c>
      <c r="P47" s="2" t="str">
        <v>L</v>
      </c>
      <c r="Q47" s="2" t="str">
        <f>IF(QUOTIENT(Q12+Q13,2)&lt;2,2-QUOTIENT(Q12+Q13,2),"")</f>
        <v/>
      </c>
      <c r="R47" s="2" t="str">
        <v>L</v>
      </c>
      <c r="S47" s="2" t="str">
        <f>IF(QUOTIENT(S12+S13,2)&lt;2,2-QUOTIENT(S12+S13,2),"")</f>
        <v/>
      </c>
      <c r="T47" s="2" t="str">
        <v>L</v>
      </c>
      <c r="W47" s="2" t="str">
        <v>-1.00</v>
      </c>
      <c r="Y47" s="2" t="str">
        <v>L</v>
      </c>
      <c r="AA47" s="2" t="str">
        <v>L</v>
      </c>
      <c r="AC47" s="2" t="str">
        <v>L</v>
      </c>
      <c r="AE47" s="2" t="str">
        <v>L</v>
      </c>
      <c r="AG47" s="2" t="str">
        <v>L</v>
      </c>
      <c r="AI47" s="2" t="str">
        <v>L</v>
      </c>
      <c r="AK47" s="2" t="str">
        <v>L</v>
      </c>
      <c r="AM47" s="2" t="str">
        <v>L</v>
      </c>
      <c r="AO47" s="2" t="str">
        <v>L</v>
      </c>
    </row>
    <row r="48">
      <c r="D48" s="2" t="str">
        <v>R</v>
      </c>
      <c r="F48" s="2" t="str">
        <v>R</v>
      </c>
      <c r="H48" s="2" t="str">
        <v>R</v>
      </c>
      <c r="J48" s="2" t="str">
        <v>R</v>
      </c>
      <c r="L48" s="2" t="str">
        <v>R</v>
      </c>
      <c r="N48" s="2" t="str">
        <v>R</v>
      </c>
      <c r="P48" s="2" t="str">
        <v>R</v>
      </c>
      <c r="R48" s="2" t="str">
        <v>R</v>
      </c>
      <c r="T48" s="2" t="str">
        <v>R</v>
      </c>
      <c r="Y48" s="2" t="str">
        <v>R</v>
      </c>
      <c r="AA48" s="2" t="str">
        <v>R</v>
      </c>
      <c r="AC48" s="2" t="str">
        <v>R</v>
      </c>
      <c r="AE48" s="2" t="str">
        <v>R</v>
      </c>
      <c r="AG48" s="2" t="str">
        <v>R</v>
      </c>
      <c r="AI48" s="2" t="str">
        <v>R</v>
      </c>
      <c r="AK48" s="2" t="str">
        <v>R</v>
      </c>
      <c r="AM48" s="2" t="str">
        <v>R</v>
      </c>
      <c r="AO48" s="2" t="str">
        <v>R</v>
      </c>
    </row>
    <row r="49">
      <c r="B49" s="2" t="str">
        <v>+1.00</v>
      </c>
      <c r="D49" s="2" t="str">
        <v>L</v>
      </c>
      <c r="E49" s="2" t="str">
        <f>IF(QUOTIENT(E14+E15,2)&lt;2,2-QUOTIENT(E14+E15,2),"")</f>
        <v/>
      </c>
      <c r="F49" s="2" t="str">
        <v>L</v>
      </c>
      <c r="G49" s="2" t="str">
        <f>IF(QUOTIENT(G14+G15,2)&lt;2,2-QUOTIENT(G14+G15,2),"")</f>
        <v/>
      </c>
      <c r="H49" s="2" t="str">
        <v>L</v>
      </c>
      <c r="I49" s="2" t="str">
        <f>IF(QUOTIENT(I14+I15,2)&lt;2,2-QUOTIENT(I14+I15,2),"")</f>
        <v/>
      </c>
      <c r="J49" s="2" t="str">
        <v>L</v>
      </c>
      <c r="K49" s="2" t="str">
        <f>IF(QUOTIENT(K14+K15,2)&lt;2,2-QUOTIENT(K14+K15,2),"")</f>
        <v/>
      </c>
      <c r="L49" s="2" t="str">
        <v>L</v>
      </c>
      <c r="M49" s="2" t="str">
        <f>IF(QUOTIENT(M14+M15,2)&lt;2,2-QUOTIENT(M14+M15,2),"")</f>
        <v/>
      </c>
      <c r="N49" s="2" t="str">
        <v>L</v>
      </c>
      <c r="O49" s="2" t="str">
        <f>IF(QUOTIENT(O14+O15,2)&lt;2,2-QUOTIENT(O14+O15,2),"")</f>
        <v/>
      </c>
      <c r="P49" s="2" t="str">
        <v>L</v>
      </c>
      <c r="Q49" s="2" t="str">
        <f>IF(QUOTIENT(Q14+Q15,2)&lt;2,2-QUOTIENT(Q14+Q15,2),"")</f>
        <v/>
      </c>
      <c r="R49" s="2" t="str">
        <v>L</v>
      </c>
      <c r="S49" s="2" t="str">
        <f>IF(QUOTIENT(S14+S15,2)&lt;2,2-QUOTIENT(S14+S15,2),"")</f>
        <v/>
      </c>
      <c r="T49" s="2" t="str">
        <v>L</v>
      </c>
      <c r="W49" s="2" t="str">
        <v>-1.25</v>
      </c>
      <c r="Y49" s="2" t="str">
        <v>L</v>
      </c>
      <c r="AA49" s="2" t="str">
        <v>L</v>
      </c>
      <c r="AC49" s="2" t="str">
        <v>L</v>
      </c>
      <c r="AE49" s="2" t="str">
        <v>L</v>
      </c>
      <c r="AG49" s="2" t="str">
        <v>L</v>
      </c>
      <c r="AI49" s="2" t="str">
        <v>L</v>
      </c>
      <c r="AK49" s="2" t="str">
        <v>L</v>
      </c>
      <c r="AM49" s="2" t="str">
        <v>L</v>
      </c>
      <c r="AO49" s="2" t="str">
        <v>L</v>
      </c>
    </row>
    <row r="50">
      <c r="D50" s="2" t="str">
        <v>R</v>
      </c>
      <c r="F50" s="2" t="str">
        <v>R</v>
      </c>
      <c r="H50" s="2" t="str">
        <v>R</v>
      </c>
      <c r="J50" s="2" t="str">
        <v>R</v>
      </c>
      <c r="L50" s="2" t="str">
        <v>R</v>
      </c>
      <c r="N50" s="2" t="str">
        <v>R</v>
      </c>
      <c r="P50" s="2" t="str">
        <v>R</v>
      </c>
      <c r="R50" s="2" t="str">
        <v>R</v>
      </c>
      <c r="T50" s="2" t="str">
        <v>R</v>
      </c>
      <c r="Y50" s="2" t="str">
        <v>R</v>
      </c>
      <c r="AA50" s="2" t="str">
        <v>R</v>
      </c>
      <c r="AC50" s="2" t="str">
        <v>R</v>
      </c>
      <c r="AE50" s="2" t="str">
        <v>R</v>
      </c>
      <c r="AG50" s="2" t="str">
        <v>R</v>
      </c>
      <c r="AI50" s="2" t="str">
        <v>R</v>
      </c>
      <c r="AK50" s="2" t="str">
        <v>R</v>
      </c>
      <c r="AM50" s="2" t="str">
        <v>R</v>
      </c>
      <c r="AO50" s="2" t="str">
        <v>R</v>
      </c>
    </row>
    <row r="51">
      <c r="B51" s="2" t="str">
        <v>+1.25</v>
      </c>
      <c r="D51" s="2" t="str">
        <v>L</v>
      </c>
      <c r="E51" s="2" t="str">
        <f>IF(QUOTIENT(E16+E17,2)&lt;2,2-QUOTIENT(E16+E17,2),"")</f>
        <v/>
      </c>
      <c r="F51" s="2" t="str">
        <v>L</v>
      </c>
      <c r="G51" s="2" t="str">
        <f>IF(QUOTIENT(G16+G17,2)&lt;2,2-QUOTIENT(G16+G17,2),"")</f>
        <v/>
      </c>
      <c r="H51" s="2" t="str">
        <v>L</v>
      </c>
      <c r="I51" s="2" t="str">
        <f>IF(QUOTIENT(I16+I17,2)&lt;2,2-QUOTIENT(I16+I17,2),"")</f>
        <v/>
      </c>
      <c r="J51" s="2" t="str">
        <v>L</v>
      </c>
      <c r="K51" s="2" t="str">
        <f>IF(QUOTIENT(K16+K17,2)&lt;2,2-QUOTIENT(K16+K17,2),"")</f>
        <v/>
      </c>
      <c r="L51" s="2" t="str">
        <v>L</v>
      </c>
      <c r="M51" s="2">
        <f>IF(QUOTIENT(M16+M17,2)&lt;2,2-QUOTIENT(M16+M17,2),"")</f>
        <v>1</v>
      </c>
      <c r="N51" s="2" t="str">
        <v>L</v>
      </c>
      <c r="O51" s="2" t="str">
        <f>IF(QUOTIENT(O16+O17,2)&lt;2,2-QUOTIENT(O16+O17,2),"")</f>
        <v/>
      </c>
      <c r="P51" s="2" t="str">
        <v>L</v>
      </c>
      <c r="Q51" s="2" t="str">
        <f>IF(QUOTIENT(Q16+Q17,2)&lt;2,2-QUOTIENT(Q16+Q17,2),"")</f>
        <v/>
      </c>
      <c r="R51" s="2" t="str">
        <v>L</v>
      </c>
      <c r="S51" s="2">
        <f>IF(QUOTIENT(S16+S17,2)&lt;2,2-QUOTIENT(S16+S17,2),"")</f>
        <v>1</v>
      </c>
      <c r="T51" s="2" t="str">
        <v>L</v>
      </c>
      <c r="W51" s="2" t="str">
        <v>-1.50</v>
      </c>
      <c r="Y51" s="2" t="str">
        <v>L</v>
      </c>
      <c r="AA51" s="2" t="str">
        <v>L</v>
      </c>
      <c r="AC51" s="2" t="str">
        <v>L</v>
      </c>
      <c r="AE51" s="2" t="str">
        <v>L</v>
      </c>
      <c r="AG51" s="2" t="str">
        <v>L</v>
      </c>
      <c r="AI51" s="2" t="str">
        <v>L</v>
      </c>
      <c r="AK51" s="2" t="str">
        <v>L</v>
      </c>
      <c r="AM51" s="2" t="str">
        <v>L</v>
      </c>
      <c r="AO51" s="2" t="str">
        <v>L</v>
      </c>
    </row>
    <row r="52">
      <c r="D52" s="2" t="str">
        <v>R</v>
      </c>
      <c r="F52" s="2" t="str">
        <v>R</v>
      </c>
      <c r="H52" s="2" t="str">
        <v>R</v>
      </c>
      <c r="J52" s="2" t="str">
        <v>R</v>
      </c>
      <c r="L52" s="2" t="str">
        <v>R</v>
      </c>
      <c r="N52" s="2" t="str">
        <v>R</v>
      </c>
      <c r="P52" s="2" t="str">
        <v>R</v>
      </c>
      <c r="R52" s="2" t="str">
        <v>R</v>
      </c>
      <c r="T52" s="2" t="str">
        <v>R</v>
      </c>
      <c r="Y52" s="2" t="str">
        <v>R</v>
      </c>
      <c r="AA52" s="2" t="str">
        <v>R</v>
      </c>
      <c r="AC52" s="2" t="str">
        <v>R</v>
      </c>
      <c r="AE52" s="2" t="str">
        <v>R</v>
      </c>
      <c r="AG52" s="2" t="str">
        <v>R</v>
      </c>
      <c r="AI52" s="2" t="str">
        <v>R</v>
      </c>
      <c r="AK52" s="2" t="str">
        <v>R</v>
      </c>
      <c r="AM52" s="2" t="str">
        <v>R</v>
      </c>
      <c r="AO52" s="2" t="str">
        <v>R</v>
      </c>
    </row>
    <row r="53">
      <c r="B53" s="2" t="str">
        <v>+1.50</v>
      </c>
      <c r="D53" s="2" t="str">
        <v>L</v>
      </c>
      <c r="E53" s="2" t="str">
        <f>IF(QUOTIENT(E18+E19,2)&lt;2,2-QUOTIENT(E18+E19,2),"")</f>
        <v/>
      </c>
      <c r="F53" s="2" t="str">
        <v>L</v>
      </c>
      <c r="G53" s="2" t="str">
        <f>IF(QUOTIENT(G18+G19,2)&lt;2,2-QUOTIENT(G18+G19,2),"")</f>
        <v/>
      </c>
      <c r="H53" s="2" t="str">
        <v>L</v>
      </c>
      <c r="I53" s="2" t="str">
        <f>IF(QUOTIENT(I18+I19,2)&lt;2,2-QUOTIENT(I18+I19,2),"")</f>
        <v/>
      </c>
      <c r="J53" s="2" t="str">
        <v>L</v>
      </c>
      <c r="K53" s="2" t="str">
        <f>IF(QUOTIENT(K18+K19,2)&lt;2,2-QUOTIENT(K18+K19,2),"")</f>
        <v/>
      </c>
      <c r="L53" s="2" t="str">
        <v>L</v>
      </c>
      <c r="M53" s="2" t="str">
        <f>IF(QUOTIENT(M18+M19,2)&lt;2,2-QUOTIENT(M18+M19,2),"")</f>
        <v/>
      </c>
      <c r="N53" s="2" t="str">
        <v>L</v>
      </c>
      <c r="O53" s="2" t="str">
        <f>IF(QUOTIENT(O18+O19,2)&lt;2,2-QUOTIENT(O18+O19,2),"")</f>
        <v/>
      </c>
      <c r="P53" s="2" t="str">
        <v>L</v>
      </c>
      <c r="Q53" s="2" t="str">
        <f>IF(QUOTIENT(Q18+Q19,2)&lt;2,2-QUOTIENT(Q18+Q19,2),"")</f>
        <v/>
      </c>
      <c r="R53" s="2" t="str">
        <v>L</v>
      </c>
      <c r="S53" s="2" t="str">
        <f>IF(QUOTIENT(S18+S19,2)&lt;2,2-QUOTIENT(S18+S19,2),"")</f>
        <v/>
      </c>
      <c r="T53" s="2" t="str">
        <v>L</v>
      </c>
      <c r="W53" s="2" t="str">
        <v>-1.75</v>
      </c>
      <c r="Y53" s="2" t="str">
        <v>L</v>
      </c>
      <c r="AA53" s="2" t="str">
        <v>L</v>
      </c>
      <c r="AC53" s="2" t="str">
        <v>L</v>
      </c>
      <c r="AE53" s="2" t="str">
        <v>L</v>
      </c>
      <c r="AG53" s="2" t="str">
        <v>L</v>
      </c>
      <c r="AI53" s="2" t="str">
        <v>L</v>
      </c>
      <c r="AK53" s="2" t="str">
        <v>L</v>
      </c>
      <c r="AM53" s="2" t="str">
        <v>L</v>
      </c>
      <c r="AO53" s="2" t="str">
        <v>L</v>
      </c>
    </row>
    <row r="54">
      <c r="D54" s="2" t="str">
        <v>R</v>
      </c>
      <c r="F54" s="2" t="str">
        <v>R</v>
      </c>
      <c r="H54" s="2" t="str">
        <v>R</v>
      </c>
      <c r="J54" s="2" t="str">
        <v>R</v>
      </c>
      <c r="L54" s="2" t="str">
        <v>R</v>
      </c>
      <c r="N54" s="2" t="str">
        <v>R</v>
      </c>
      <c r="P54" s="2" t="str">
        <v>R</v>
      </c>
      <c r="R54" s="2" t="str">
        <v>R</v>
      </c>
      <c r="T54" s="2" t="str">
        <v>R</v>
      </c>
      <c r="Y54" s="2" t="str">
        <v>R</v>
      </c>
      <c r="AA54" s="2" t="str">
        <v>R</v>
      </c>
      <c r="AC54" s="2" t="str">
        <v>R</v>
      </c>
      <c r="AE54" s="2" t="str">
        <v>R</v>
      </c>
      <c r="AG54" s="2" t="str">
        <v>R</v>
      </c>
      <c r="AI54" s="2" t="str">
        <v>R</v>
      </c>
      <c r="AK54" s="2" t="str">
        <v>R</v>
      </c>
      <c r="AM54" s="2" t="str">
        <v>R</v>
      </c>
      <c r="AO54" s="2" t="str">
        <v>R</v>
      </c>
    </row>
    <row r="55">
      <c r="B55" s="2" t="str">
        <v>+1.75</v>
      </c>
      <c r="D55" s="2" t="str">
        <v>L</v>
      </c>
      <c r="E55" s="2" t="str">
        <f>IF(QUOTIENT(E20+E21,2)&lt;2,2-QUOTIENT(E20+E21,2),"")</f>
        <v/>
      </c>
      <c r="F55" s="2" t="str">
        <v>L</v>
      </c>
      <c r="G55" s="2" t="str">
        <f>IF(QUOTIENT(G20+G21,2)&lt;2,2-QUOTIENT(G20+G21,2),"")</f>
        <v/>
      </c>
      <c r="H55" s="2" t="str">
        <v>L</v>
      </c>
      <c r="I55" s="2" t="str">
        <f>IF(QUOTIENT(I20+I21,2)&lt;2,2-QUOTIENT(I20+I21,2),"")</f>
        <v/>
      </c>
      <c r="J55" s="2" t="str">
        <v>L</v>
      </c>
      <c r="K55" s="2" t="str">
        <f>IF(QUOTIENT(K20+K21,2)&lt;2,2-QUOTIENT(K20+K21,2),"")</f>
        <v/>
      </c>
      <c r="L55" s="2" t="str">
        <v>L</v>
      </c>
      <c r="M55" s="2" t="str">
        <f>IF(QUOTIENT(M20+M21,2)&lt;2,2-QUOTIENT(M20+M21,2),"")</f>
        <v/>
      </c>
      <c r="N55" s="2" t="str">
        <v>L</v>
      </c>
      <c r="O55" s="2" t="str">
        <f>IF(QUOTIENT(O20+O21,2)&lt;2,2-QUOTIENT(O20+O21,2),"")</f>
        <v/>
      </c>
      <c r="P55" s="2" t="str">
        <v>L</v>
      </c>
      <c r="Q55" s="2" t="str">
        <f>IF(QUOTIENT(Q20+Q21,2)&lt;2,2-QUOTIENT(Q20+Q21,2),"")</f>
        <v/>
      </c>
      <c r="R55" s="2" t="str">
        <v>L</v>
      </c>
      <c r="S55" s="2" t="str">
        <f>IF(QUOTIENT(S20+S21,2)&lt;2,2-QUOTIENT(S20+S21,2),"")</f>
        <v/>
      </c>
      <c r="T55" s="2" t="str">
        <v>L</v>
      </c>
      <c r="W55" s="2" t="str">
        <v>-2.00</v>
      </c>
      <c r="Y55" s="2" t="str">
        <v>L</v>
      </c>
      <c r="AA55" s="2" t="str">
        <v>L</v>
      </c>
      <c r="AC55" s="2" t="str">
        <v>L</v>
      </c>
      <c r="AE55" s="2" t="str">
        <v>L</v>
      </c>
      <c r="AG55" s="2" t="str">
        <v>L</v>
      </c>
      <c r="AI55" s="2" t="str">
        <v>L</v>
      </c>
      <c r="AK55" s="2" t="str">
        <v>L</v>
      </c>
      <c r="AM55" s="2" t="str">
        <v>L</v>
      </c>
      <c r="AO55" s="2" t="str">
        <v>L</v>
      </c>
    </row>
    <row r="56">
      <c r="D56" s="2" t="str">
        <v>R</v>
      </c>
      <c r="F56" s="2" t="str">
        <v>R</v>
      </c>
      <c r="H56" s="2" t="str">
        <v>R</v>
      </c>
      <c r="J56" s="2" t="str">
        <v>R</v>
      </c>
      <c r="L56" s="2" t="str">
        <v>R</v>
      </c>
      <c r="N56" s="2" t="str">
        <v>R</v>
      </c>
      <c r="P56" s="2" t="str">
        <v>R</v>
      </c>
      <c r="R56" s="2" t="str">
        <v>R</v>
      </c>
      <c r="T56" s="2" t="str">
        <v>R</v>
      </c>
      <c r="Y56" s="2" t="str">
        <v>R</v>
      </c>
      <c r="AA56" s="2" t="str">
        <v>R</v>
      </c>
      <c r="AC56" s="2" t="str">
        <v>R</v>
      </c>
      <c r="AE56" s="2" t="str">
        <v>R</v>
      </c>
      <c r="AG56" s="2" t="str">
        <v>R</v>
      </c>
      <c r="AI56" s="2" t="str">
        <v>R</v>
      </c>
      <c r="AK56" s="2" t="str">
        <v>R</v>
      </c>
      <c r="AM56" s="2" t="str">
        <v>R</v>
      </c>
      <c r="AO56" s="2" t="str">
        <v>R</v>
      </c>
    </row>
    <row r="57">
      <c r="B57" s="2" t="str">
        <v>+2.00</v>
      </c>
      <c r="D57" s="2" t="str">
        <v>L</v>
      </c>
      <c r="E57" s="2" t="str">
        <f>IF(QUOTIENT(E22+E23,2)&lt;2,2-QUOTIENT(E22+E23,2),"")</f>
        <v/>
      </c>
      <c r="F57" s="2" t="str">
        <v>L</v>
      </c>
      <c r="G57" s="2" t="str">
        <f>IF(QUOTIENT(G22+G23,2)&lt;2,2-QUOTIENT(G22+G23,2),"")</f>
        <v/>
      </c>
      <c r="H57" s="2" t="str">
        <v>L</v>
      </c>
      <c r="I57" s="2" t="str">
        <f>IF(QUOTIENT(I22+I23,2)&lt;2,2-QUOTIENT(I22+I23,2),"")</f>
        <v/>
      </c>
      <c r="J57" s="2" t="str">
        <v>L</v>
      </c>
      <c r="K57" s="2" t="str">
        <f>IF(QUOTIENT(K22+K23,2)&lt;2,2-QUOTIENT(K22+K23,2),"")</f>
        <v/>
      </c>
      <c r="L57" s="2" t="str">
        <v>L</v>
      </c>
      <c r="M57" s="2" t="str">
        <f>IF(QUOTIENT(M22+M23,2)&lt;2,2-QUOTIENT(M22+M23,2),"")</f>
        <v/>
      </c>
      <c r="N57" s="2" t="str">
        <v>L</v>
      </c>
      <c r="O57" s="2" t="str">
        <f>IF(QUOTIENT(O22+O23,2)&lt;2,2-QUOTIENT(O22+O23,2),"")</f>
        <v/>
      </c>
      <c r="P57" s="2" t="str">
        <v>L</v>
      </c>
      <c r="Q57" s="2" t="str">
        <f>IF(QUOTIENT(Q22+Q23,2)&lt;2,2-QUOTIENT(Q22+Q23,2),"")</f>
        <v/>
      </c>
      <c r="R57" s="2" t="str">
        <v>L</v>
      </c>
      <c r="S57" s="2" t="str">
        <f>IF(QUOTIENT(S22+S23,2)&lt;2,2-QUOTIENT(S22+S23,2),"")</f>
        <v/>
      </c>
      <c r="T57" s="2" t="str">
        <v>L</v>
      </c>
    </row>
    <row r="58">
      <c r="D58" s="2" t="str">
        <v>R</v>
      </c>
      <c r="F58" s="2" t="str">
        <v>R</v>
      </c>
      <c r="H58" s="2" t="str">
        <v>R</v>
      </c>
      <c r="J58" s="2" t="str">
        <v>R</v>
      </c>
      <c r="L58" s="2" t="str">
        <v>R</v>
      </c>
      <c r="N58" s="2" t="str">
        <v>R</v>
      </c>
      <c r="P58" s="2" t="str">
        <v>R</v>
      </c>
      <c r="R58" s="2" t="str">
        <v>R</v>
      </c>
      <c r="T58" s="2" t="str">
        <v>R</v>
      </c>
    </row>
    <row r="59">
      <c r="B59" s="2" t="str">
        <v>+2.25</v>
      </c>
      <c r="D59" s="2" t="str">
        <v>L</v>
      </c>
      <c r="E59" s="2" t="str">
        <f>IF(QUOTIENT(E24+E25,2)&lt;2,2-QUOTIENT(E24+E25,2),"")</f>
        <v/>
      </c>
      <c r="F59" s="2" t="str">
        <v>L</v>
      </c>
      <c r="G59" s="2" t="str">
        <f>IF(QUOTIENT(G24+G25,2)&lt;2,2-QUOTIENT(G24+G25,2),"")</f>
        <v/>
      </c>
      <c r="H59" s="2" t="str">
        <v>L</v>
      </c>
      <c r="I59" s="2" t="str">
        <f>IF(QUOTIENT(I24+I25,2)&lt;2,2-QUOTIENT(I24+I25,2),"")</f>
        <v/>
      </c>
      <c r="J59" s="2" t="str">
        <v>L</v>
      </c>
      <c r="K59" s="2">
        <f>IF(QUOTIENT(K24+K25,2)&lt;2,2-QUOTIENT(K24+K25,2),"")</f>
        <v>1</v>
      </c>
      <c r="L59" s="2" t="str">
        <v>L</v>
      </c>
      <c r="M59" s="2" t="str">
        <f>IF(QUOTIENT(M24+M25,2)&lt;2,2-QUOTIENT(M24+M25,2),"")</f>
        <v/>
      </c>
      <c r="N59" s="2" t="str">
        <v>L</v>
      </c>
      <c r="O59" s="2">
        <f>IF(QUOTIENT(O24+O25,2)&lt;2,2-QUOTIENT(O24+O25,2),"")</f>
        <v>1</v>
      </c>
      <c r="P59" s="2" t="str">
        <v>L</v>
      </c>
      <c r="Q59" s="2" t="str">
        <f>IF(QUOTIENT(Q24+Q25,2)&lt;2,2-QUOTIENT(Q24+Q25,2),"")</f>
        <v/>
      </c>
      <c r="R59" s="2" t="str">
        <v>L</v>
      </c>
      <c r="S59" s="2" t="str">
        <f>IF(QUOTIENT(S24+S25,2)&lt;2,2-QUOTIENT(S24+S25,2),"")</f>
        <v/>
      </c>
      <c r="T59" s="2" t="str">
        <v>L</v>
      </c>
    </row>
    <row r="60">
      <c r="D60" s="2" t="str">
        <v>R</v>
      </c>
      <c r="F60" s="2" t="str">
        <v>R</v>
      </c>
      <c r="H60" s="2" t="str">
        <v>R</v>
      </c>
      <c r="J60" s="2" t="str">
        <v>R</v>
      </c>
      <c r="L60" s="2" t="str">
        <v>R</v>
      </c>
      <c r="N60" s="2" t="str">
        <v>R</v>
      </c>
      <c r="P60" s="2" t="str">
        <v>R</v>
      </c>
      <c r="R60" s="2" t="str">
        <v>R</v>
      </c>
      <c r="T60" s="2" t="str">
        <v>R</v>
      </c>
    </row>
    <row r="61">
      <c r="B61" s="2" t="str">
        <v>+2.50</v>
      </c>
      <c r="D61" s="2" t="str">
        <v>L</v>
      </c>
      <c r="E61" s="2" t="str">
        <f>IF(QUOTIENT(E26+E27,2)&lt;2,2-QUOTIENT(E26+E27,2),"")</f>
        <v/>
      </c>
      <c r="F61" s="2" t="str">
        <v>L</v>
      </c>
      <c r="G61" s="2" t="str">
        <f>IF(QUOTIENT(G26+G27,2)&lt;2,2-QUOTIENT(G26+G27,2),"")</f>
        <v/>
      </c>
      <c r="H61" s="2" t="str">
        <v>L</v>
      </c>
      <c r="I61" s="2" t="str">
        <f>IF(QUOTIENT(I26+I27,2)&lt;2,2-QUOTIENT(I26+I27,2),"")</f>
        <v/>
      </c>
      <c r="J61" s="2" t="str">
        <v>L</v>
      </c>
      <c r="K61" s="2" t="str">
        <f>IF(QUOTIENT(K26+K27,2)&lt;2,2-QUOTIENT(K26+K27,2),"")</f>
        <v/>
      </c>
      <c r="L61" s="2" t="str">
        <v>L</v>
      </c>
      <c r="M61" s="2" t="str">
        <f>IF(QUOTIENT(M26+M27,2)&lt;2,2-QUOTIENT(M26+M27,2),"")</f>
        <v/>
      </c>
      <c r="N61" s="2" t="str">
        <v>L</v>
      </c>
      <c r="O61" s="2">
        <f>IF(QUOTIENT(O26+O27,2)&lt;2,2-QUOTIENT(O26+O27,2),"")</f>
        <v>1</v>
      </c>
      <c r="P61" s="2" t="str">
        <v>L</v>
      </c>
      <c r="Q61" s="2" t="str">
        <f>IF(QUOTIENT(Q26+Q27,2)&lt;2,2-QUOTIENT(Q26+Q27,2),"")</f>
        <v/>
      </c>
      <c r="R61" s="2" t="str">
        <v>L</v>
      </c>
      <c r="S61" s="2" t="str">
        <f>IF(QUOTIENT(S26+S27,2)&lt;2,2-QUOTIENT(S26+S27,2),"")</f>
        <v/>
      </c>
      <c r="T61" s="2" t="str">
        <v>L</v>
      </c>
    </row>
    <row r="62">
      <c r="D62" s="2" t="str">
        <v>R</v>
      </c>
      <c r="F62" s="2" t="str">
        <v>R</v>
      </c>
      <c r="H62" s="2" t="str">
        <v>R</v>
      </c>
      <c r="J62" s="2" t="str">
        <v>R</v>
      </c>
      <c r="L62" s="2" t="str">
        <v>R</v>
      </c>
      <c r="N62" s="2" t="str">
        <v>R</v>
      </c>
      <c r="P62" s="2" t="str">
        <v>R</v>
      </c>
      <c r="R62" s="2" t="str">
        <v>R</v>
      </c>
      <c r="T62" s="2" t="str">
        <v>R</v>
      </c>
    </row>
    <row r="63">
      <c r="B63" s="2" t="str">
        <v>+2.75</v>
      </c>
      <c r="D63" s="2" t="str">
        <v>L</v>
      </c>
      <c r="E63" s="2" t="str">
        <f>IF(QUOTIENT(E28+E29,2)&lt;2,2-QUOTIENT(E28+E29,2),"")</f>
        <v/>
      </c>
      <c r="F63" s="2" t="str">
        <v>L</v>
      </c>
      <c r="G63" s="2" t="str">
        <f>IF(QUOTIENT(G28+G29,2)&lt;2,2-QUOTIENT(G28+G29,2),"")</f>
        <v/>
      </c>
      <c r="H63" s="2" t="str">
        <v>L</v>
      </c>
      <c r="I63" s="2" t="str">
        <f>IF(QUOTIENT(I28+I29,2)&lt;2,2-QUOTIENT(I28+I29,2),"")</f>
        <v/>
      </c>
      <c r="J63" s="2" t="str">
        <v>L</v>
      </c>
      <c r="K63" s="2" t="str">
        <f>IF(QUOTIENT(K28+K29,2)&lt;2,2-QUOTIENT(K28+K29,2),"")</f>
        <v/>
      </c>
      <c r="L63" s="2" t="str">
        <v>L</v>
      </c>
      <c r="M63" s="2" t="str">
        <f>IF(QUOTIENT(M28+M29,2)&lt;2,2-QUOTIENT(M28+M29,2),"")</f>
        <v/>
      </c>
      <c r="N63" s="2" t="str">
        <v>L</v>
      </c>
      <c r="O63" s="2" t="str">
        <f>IF(QUOTIENT(O28+O29,2)&lt;2,2-QUOTIENT(O28+O29,2),"")</f>
        <v/>
      </c>
      <c r="P63" s="2" t="str">
        <v>L</v>
      </c>
      <c r="Q63" s="2" t="str">
        <f>IF(QUOTIENT(Q28+Q29,2)&lt;2,2-QUOTIENT(Q28+Q29,2),"")</f>
        <v/>
      </c>
      <c r="R63" s="2" t="str">
        <v>L</v>
      </c>
      <c r="S63" s="2" t="str">
        <f>IF(QUOTIENT(S28+S29,2)&lt;2,2-QUOTIENT(S28+S29,2),"")</f>
        <v/>
      </c>
      <c r="T63" s="2" t="str">
        <v>L</v>
      </c>
    </row>
    <row r="64">
      <c r="D64" s="2" t="str">
        <v>R</v>
      </c>
      <c r="F64" s="2" t="str">
        <v>R</v>
      </c>
      <c r="H64" s="2" t="str">
        <v>R</v>
      </c>
      <c r="J64" s="2" t="str">
        <v>R</v>
      </c>
      <c r="L64" s="2" t="str">
        <v>R</v>
      </c>
      <c r="N64" s="2" t="str">
        <v>R</v>
      </c>
      <c r="P64" s="2" t="str">
        <v>R</v>
      </c>
      <c r="R64" s="2" t="str">
        <v>R</v>
      </c>
      <c r="T64" s="2" t="str">
        <v>R</v>
      </c>
    </row>
    <row r="65">
      <c r="B65" s="2" t="str">
        <v>+3.00</v>
      </c>
      <c r="D65" s="2" t="str">
        <v>L</v>
      </c>
      <c r="E65" s="2" t="str">
        <f>IF(QUOTIENT(E30+E31,2)&lt;2,2-QUOTIENT(E30+E31,2),"")</f>
        <v/>
      </c>
      <c r="F65" s="2" t="str">
        <v>L</v>
      </c>
      <c r="G65" s="2" t="str">
        <f>IF(QUOTIENT(G30+G31,2)&lt;2,2-QUOTIENT(G30+G31,2),"")</f>
        <v/>
      </c>
      <c r="H65" s="2" t="str">
        <v>L</v>
      </c>
      <c r="I65" s="2" t="str">
        <f>IF(QUOTIENT(I30+I31,2)&lt;2,2-QUOTIENT(I30+I31,2),"")</f>
        <v/>
      </c>
      <c r="J65" s="2" t="str">
        <v>L</v>
      </c>
      <c r="K65" s="2" t="str">
        <f>IF(QUOTIENT(K30+K31,2)&lt;2,2-QUOTIENT(K30+K31,2),"")</f>
        <v/>
      </c>
      <c r="L65" s="2" t="str">
        <v>L</v>
      </c>
      <c r="M65" s="2" t="str">
        <f>IF(QUOTIENT(M30+M31,2)&lt;2,2-QUOTIENT(M30+M31,2),"")</f>
        <v/>
      </c>
      <c r="N65" s="2" t="str">
        <v>L</v>
      </c>
      <c r="O65" s="2" t="str">
        <f>IF(QUOTIENT(O30+O31,2)&lt;2,2-QUOTIENT(O30+O31,2),"")</f>
        <v/>
      </c>
      <c r="P65" s="2" t="str">
        <v>L</v>
      </c>
      <c r="Q65" s="2" t="str">
        <f>IF(QUOTIENT(Q30+Q31,2)&lt;2,2-QUOTIENT(Q30+Q31,2),"")</f>
        <v/>
      </c>
      <c r="R65" s="2" t="str">
        <v>L</v>
      </c>
      <c r="S65" s="2">
        <f>IF(QUOTIENT(S30+S31,2)&lt;2,2-QUOTIENT(S30+S31,2),"")</f>
        <v>1</v>
      </c>
      <c r="T65" s="2" t="str">
        <v>L</v>
      </c>
    </row>
    <row r="66">
      <c r="D66" s="2" t="str">
        <v>R</v>
      </c>
      <c r="F66" s="2" t="str">
        <v>R</v>
      </c>
      <c r="H66" s="2" t="str">
        <v>R</v>
      </c>
      <c r="J66" s="2" t="str">
        <v>R</v>
      </c>
      <c r="L66" s="2" t="str">
        <v>R</v>
      </c>
      <c r="N66" s="2" t="str">
        <v>R</v>
      </c>
      <c r="P66" s="2" t="str">
        <v>R</v>
      </c>
      <c r="R66" s="2" t="str">
        <v>R</v>
      </c>
      <c r="T66" s="2" t="str">
        <v>R</v>
      </c>
    </row>
  </sheetData>
  <mergeCells count="285">
    <mergeCell ref="B37:T37"/>
    <mergeCell ref="M65:M66"/>
    <mergeCell ref="O59:O60"/>
    <mergeCell ref="O61:O62"/>
    <mergeCell ref="O65:O66"/>
    <mergeCell ref="Q59:Q60"/>
    <mergeCell ref="Q61:Q62"/>
    <mergeCell ref="Q65:Q66"/>
    <mergeCell ref="S59:S60"/>
    <mergeCell ref="S61:S62"/>
    <mergeCell ref="S65:S66"/>
    <mergeCell ref="C38:T38"/>
    <mergeCell ref="I49:I50"/>
    <mergeCell ref="I51:I52"/>
    <mergeCell ref="K47:K48"/>
    <mergeCell ref="K49:K50"/>
    <mergeCell ref="K51:K52"/>
    <mergeCell ref="M47:M48"/>
    <mergeCell ref="M51:M52"/>
    <mergeCell ref="O47:O48"/>
    <mergeCell ref="O49:O50"/>
    <mergeCell ref="Q47:Q48"/>
    <mergeCell ref="K41:K42"/>
    <mergeCell ref="M41:M42"/>
    <mergeCell ref="O5:P5"/>
    <mergeCell ref="Q5:R5"/>
    <mergeCell ref="S5:T5"/>
    <mergeCell ref="X5:Y5"/>
    <mergeCell ref="Z5:AA5"/>
    <mergeCell ref="C1:AF1"/>
    <mergeCell ref="C3:T3"/>
    <mergeCell ref="X3:AO3"/>
    <mergeCell ref="C4:T4"/>
    <mergeCell ref="X4:AO4"/>
    <mergeCell ref="C5:D5"/>
    <mergeCell ref="E5:F5"/>
    <mergeCell ref="G5:H5"/>
    <mergeCell ref="I5:J5"/>
    <mergeCell ref="K5:L5"/>
    <mergeCell ref="W12:W13"/>
    <mergeCell ref="B14:B15"/>
    <mergeCell ref="W14:W15"/>
    <mergeCell ref="B16:B17"/>
    <mergeCell ref="W16:W17"/>
    <mergeCell ref="B18:B19"/>
    <mergeCell ref="W18:W19"/>
    <mergeCell ref="AN5:AO5"/>
    <mergeCell ref="A6:A30"/>
    <mergeCell ref="B6:B7"/>
    <mergeCell ref="V6:V30"/>
    <mergeCell ref="W6:W7"/>
    <mergeCell ref="B8:B9"/>
    <mergeCell ref="W8:W9"/>
    <mergeCell ref="B10:B11"/>
    <mergeCell ref="W10:W11"/>
    <mergeCell ref="B12:B13"/>
    <mergeCell ref="AB5:AC5"/>
    <mergeCell ref="AD5:AE5"/>
    <mergeCell ref="AF5:AG5"/>
    <mergeCell ref="AH5:AI5"/>
    <mergeCell ref="AJ5:AK5"/>
    <mergeCell ref="AL5:AM5"/>
    <mergeCell ref="M5:N5"/>
    <mergeCell ref="B26:B27"/>
    <mergeCell ref="W26:W27"/>
    <mergeCell ref="B28:B29"/>
    <mergeCell ref="W28:W29"/>
    <mergeCell ref="B30:B31"/>
    <mergeCell ref="C36:AF36"/>
    <mergeCell ref="B20:B21"/>
    <mergeCell ref="W20:W21"/>
    <mergeCell ref="B22:B23"/>
    <mergeCell ref="W22:W23"/>
    <mergeCell ref="B24:B25"/>
    <mergeCell ref="W24:W25"/>
    <mergeCell ref="X38:AO38"/>
    <mergeCell ref="C39:T39"/>
    <mergeCell ref="X39:AO39"/>
    <mergeCell ref="C40:D40"/>
    <mergeCell ref="E40:F40"/>
    <mergeCell ref="G40:H40"/>
    <mergeCell ref="I40:J40"/>
    <mergeCell ref="K40:L40"/>
    <mergeCell ref="M40:N40"/>
    <mergeCell ref="AD40:AE40"/>
    <mergeCell ref="AF40:AG40"/>
    <mergeCell ref="AH40:AI40"/>
    <mergeCell ref="AJ40:AK40"/>
    <mergeCell ref="AL40:AM40"/>
    <mergeCell ref="AN40:AO40"/>
    <mergeCell ref="O40:P40"/>
    <mergeCell ref="Q40:R40"/>
    <mergeCell ref="S40:T40"/>
    <mergeCell ref="X40:Y40"/>
    <mergeCell ref="Z40:AA40"/>
    <mergeCell ref="AB40:AC40"/>
    <mergeCell ref="A41:A65"/>
    <mergeCell ref="B41:B42"/>
    <mergeCell ref="E41:E42"/>
    <mergeCell ref="G41:G42"/>
    <mergeCell ref="I41:I42"/>
    <mergeCell ref="V41:V65"/>
    <mergeCell ref="B47:B48"/>
    <mergeCell ref="B53:B54"/>
    <mergeCell ref="E53:E54"/>
    <mergeCell ref="K53:K54"/>
    <mergeCell ref="B65:B66"/>
    <mergeCell ref="B59:B60"/>
    <mergeCell ref="E59:E60"/>
    <mergeCell ref="E61:E62"/>
    <mergeCell ref="E65:E66"/>
    <mergeCell ref="G59:G60"/>
    <mergeCell ref="G61:G62"/>
    <mergeCell ref="G65:G66"/>
    <mergeCell ref="I59:I60"/>
    <mergeCell ref="I61:I62"/>
    <mergeCell ref="I65:I66"/>
    <mergeCell ref="K59:K60"/>
    <mergeCell ref="K61:K62"/>
    <mergeCell ref="K65:K66"/>
    <mergeCell ref="B49:B50"/>
    <mergeCell ref="M49:M50"/>
    <mergeCell ref="W49:W50"/>
    <mergeCell ref="B51:B52"/>
    <mergeCell ref="O51:O52"/>
    <mergeCell ref="W51:W52"/>
    <mergeCell ref="W41:W42"/>
    <mergeCell ref="B43:B44"/>
    <mergeCell ref="G43:G44"/>
    <mergeCell ref="M43:M44"/>
    <mergeCell ref="W43:W44"/>
    <mergeCell ref="B45:B46"/>
    <mergeCell ref="W45:W46"/>
    <mergeCell ref="E43:E44"/>
    <mergeCell ref="E45:E46"/>
    <mergeCell ref="E47:E48"/>
    <mergeCell ref="E49:E50"/>
    <mergeCell ref="E51:E52"/>
    <mergeCell ref="G45:G46"/>
    <mergeCell ref="G47:G48"/>
    <mergeCell ref="G49:G50"/>
    <mergeCell ref="G51:G52"/>
    <mergeCell ref="I47:I48"/>
    <mergeCell ref="O41:O42"/>
    <mergeCell ref="B61:B62"/>
    <mergeCell ref="B63:B64"/>
    <mergeCell ref="M53:M54"/>
    <mergeCell ref="O53:O54"/>
    <mergeCell ref="W53:W54"/>
    <mergeCell ref="B55:B56"/>
    <mergeCell ref="W55:W56"/>
    <mergeCell ref="B57:B58"/>
    <mergeCell ref="M57:M58"/>
    <mergeCell ref="O57:O58"/>
    <mergeCell ref="M59:M60"/>
    <mergeCell ref="M61:M62"/>
    <mergeCell ref="S53:S54"/>
    <mergeCell ref="S57:S58"/>
    <mergeCell ref="G53:G54"/>
    <mergeCell ref="E57:E58"/>
    <mergeCell ref="G57:G58"/>
    <mergeCell ref="I53:I54"/>
    <mergeCell ref="I57:I58"/>
    <mergeCell ref="K57:K58"/>
    <mergeCell ref="C59:C60"/>
    <mergeCell ref="C61:C62"/>
    <mergeCell ref="C63:C64"/>
    <mergeCell ref="G63:G64"/>
    <mergeCell ref="I43:I44"/>
    <mergeCell ref="K43:K44"/>
    <mergeCell ref="I45:I46"/>
    <mergeCell ref="K45:K46"/>
    <mergeCell ref="M45:M46"/>
    <mergeCell ref="O43:O44"/>
    <mergeCell ref="Q43:Q44"/>
    <mergeCell ref="S43:S44"/>
    <mergeCell ref="O45:O46"/>
    <mergeCell ref="Q45:Q46"/>
    <mergeCell ref="S45:S46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E55:E56"/>
    <mergeCell ref="G55:G56"/>
    <mergeCell ref="I55:I56"/>
    <mergeCell ref="K55:K56"/>
    <mergeCell ref="I63:I64"/>
    <mergeCell ref="K63:K64"/>
    <mergeCell ref="M63:M64"/>
    <mergeCell ref="O63:O64"/>
    <mergeCell ref="M55:M56"/>
    <mergeCell ref="O55:O56"/>
    <mergeCell ref="E63:E64"/>
    <mergeCell ref="Q63:Q64"/>
    <mergeCell ref="S63:S64"/>
    <mergeCell ref="X41:X42"/>
    <mergeCell ref="X43:X44"/>
    <mergeCell ref="X45:X46"/>
    <mergeCell ref="X47:X48"/>
    <mergeCell ref="X49:X50"/>
    <mergeCell ref="X51:X52"/>
    <mergeCell ref="X53:X54"/>
    <mergeCell ref="X55:X56"/>
    <mergeCell ref="S47:S48"/>
    <mergeCell ref="Q49:Q50"/>
    <mergeCell ref="S49:S50"/>
    <mergeCell ref="S51:S52"/>
    <mergeCell ref="Q51:Q52"/>
    <mergeCell ref="Q53:Q54"/>
    <mergeCell ref="Q57:Q58"/>
    <mergeCell ref="Q55:Q56"/>
    <mergeCell ref="S55:S56"/>
    <mergeCell ref="Q41:Q42"/>
    <mergeCell ref="S41:S42"/>
    <mergeCell ref="W47:W48"/>
    <mergeCell ref="AB41:AB42"/>
    <mergeCell ref="AB43:AB44"/>
    <mergeCell ref="AB45:AB46"/>
    <mergeCell ref="AB47:AB48"/>
    <mergeCell ref="AB49:AB50"/>
    <mergeCell ref="AB51:AB52"/>
    <mergeCell ref="AB53:AB54"/>
    <mergeCell ref="AB55:AB56"/>
    <mergeCell ref="Z41:Z42"/>
    <mergeCell ref="Z43:Z44"/>
    <mergeCell ref="Z45:Z46"/>
    <mergeCell ref="Z47:Z48"/>
    <mergeCell ref="Z49:Z50"/>
    <mergeCell ref="Z51:Z52"/>
    <mergeCell ref="Z53:Z54"/>
    <mergeCell ref="Z55:Z56"/>
    <mergeCell ref="AF41:AF42"/>
    <mergeCell ref="AF43:AF44"/>
    <mergeCell ref="AF45:AF46"/>
    <mergeCell ref="AF47:AF48"/>
    <mergeCell ref="AF49:AF50"/>
    <mergeCell ref="AF51:AF52"/>
    <mergeCell ref="AF53:AF54"/>
    <mergeCell ref="AF55:AF56"/>
    <mergeCell ref="AD41:AD42"/>
    <mergeCell ref="AD43:AD44"/>
    <mergeCell ref="AD45:AD46"/>
    <mergeCell ref="AD47:AD48"/>
    <mergeCell ref="AD49:AD50"/>
    <mergeCell ref="AD51:AD52"/>
    <mergeCell ref="AD53:AD54"/>
    <mergeCell ref="AD55:AD56"/>
    <mergeCell ref="AJ41:AJ42"/>
    <mergeCell ref="AJ43:AJ44"/>
    <mergeCell ref="AJ45:AJ46"/>
    <mergeCell ref="AJ47:AJ48"/>
    <mergeCell ref="AJ49:AJ50"/>
    <mergeCell ref="AJ51:AJ52"/>
    <mergeCell ref="AJ53:AJ54"/>
    <mergeCell ref="AJ55:AJ56"/>
    <mergeCell ref="AH41:AH42"/>
    <mergeCell ref="AH43:AH44"/>
    <mergeCell ref="AH45:AH46"/>
    <mergeCell ref="AH47:AH48"/>
    <mergeCell ref="AH49:AH50"/>
    <mergeCell ref="AH51:AH52"/>
    <mergeCell ref="AH53:AH54"/>
    <mergeCell ref="AH55:AH56"/>
    <mergeCell ref="AN41:AN42"/>
    <mergeCell ref="AN43:AN44"/>
    <mergeCell ref="AN45:AN46"/>
    <mergeCell ref="AN47:AN48"/>
    <mergeCell ref="AN49:AN50"/>
    <mergeCell ref="AN51:AN52"/>
    <mergeCell ref="AN53:AN54"/>
    <mergeCell ref="AN55:AN56"/>
    <mergeCell ref="AL41:AL42"/>
    <mergeCell ref="AL43:AL44"/>
    <mergeCell ref="AL45:AL46"/>
    <mergeCell ref="AL47:AL48"/>
    <mergeCell ref="AL49:AL50"/>
    <mergeCell ref="AL51:AL52"/>
    <mergeCell ref="AL53:AL54"/>
    <mergeCell ref="AL55:AL56"/>
  </mergeCells>
  <pageMargins left="0.7" right="0.7" top="0.75" bottom="0.75" header="0.3" footer="0.3"/>
  <ignoredErrors>
    <ignoredError numberStoredAsText="1" sqref="A1:AO6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O67"/>
  <sheetViews>
    <sheetView workbookViewId="0" rightToLeft="0"/>
  </sheetViews>
  <sheetData>
    <row r="1">
      <c r="C1" s="2" t="str">
        <v>PROGRESIVO AR</v>
      </c>
    </row>
    <row r="3">
      <c r="C3" s="2" t="str">
        <v>ADICION</v>
      </c>
      <c r="X3" s="2" t="str">
        <v>ADICION</v>
      </c>
    </row>
    <row r="5">
      <c r="A5" s="2" t="str">
        <v>(+)</v>
      </c>
      <c r="C5" s="2" t="str">
        <v>1.00</v>
      </c>
      <c r="E5" s="2" t="str">
        <v>1.25</v>
      </c>
      <c r="G5" s="2" t="str">
        <v>1.50</v>
      </c>
      <c r="I5" s="2" t="str">
        <v>1.75</v>
      </c>
      <c r="K5" s="2" t="str">
        <v>2.00</v>
      </c>
      <c r="M5" s="2" t="str">
        <v>2.25</v>
      </c>
      <c r="O5" s="2" t="str">
        <v>2.50</v>
      </c>
      <c r="Q5" s="2" t="str">
        <v>2.75</v>
      </c>
      <c r="S5" s="2" t="str">
        <v>3.00</v>
      </c>
      <c r="V5" s="2" t="str">
        <v>(-)</v>
      </c>
      <c r="X5" s="2" t="str">
        <v>1.00</v>
      </c>
      <c r="Z5" s="2" t="str">
        <v>1.25</v>
      </c>
      <c r="AB5" s="2" t="str">
        <v>1.50</v>
      </c>
      <c r="AD5" s="2" t="str">
        <v>1.75</v>
      </c>
      <c r="AF5" s="2" t="str">
        <v>2.00</v>
      </c>
      <c r="AH5" s="2" t="str">
        <v>2.25</v>
      </c>
      <c r="AJ5" s="2" t="str">
        <v>+2.50</v>
      </c>
      <c r="AL5" s="2" t="str">
        <v>+2.75</v>
      </c>
      <c r="AN5" s="2" t="str">
        <v>+3.00</v>
      </c>
    </row>
    <row r="6">
      <c r="A6" s="2" t="str">
        <v>ESFERA</v>
      </c>
      <c r="B6" s="2" t="str">
        <v>0.00</v>
      </c>
      <c r="D6" s="2" t="str">
        <v>L</v>
      </c>
      <c r="E6" s="2">
        <v>4</v>
      </c>
      <c r="F6" s="2" t="str">
        <v>L</v>
      </c>
      <c r="G6" s="2">
        <v>5</v>
      </c>
      <c r="H6" s="2" t="str">
        <v>L</v>
      </c>
      <c r="I6" s="2">
        <v>3</v>
      </c>
      <c r="J6" s="2" t="str">
        <v>L</v>
      </c>
      <c r="K6" s="2">
        <v>4</v>
      </c>
      <c r="L6" s="2" t="str">
        <v>L</v>
      </c>
      <c r="M6" s="2">
        <v>5</v>
      </c>
      <c r="N6" s="2" t="str">
        <v>L</v>
      </c>
      <c r="O6" s="2">
        <v>5</v>
      </c>
      <c r="P6" s="2" t="str">
        <v>L</v>
      </c>
      <c r="Q6" s="2">
        <v>5</v>
      </c>
      <c r="R6" s="2" t="str">
        <v>L</v>
      </c>
      <c r="S6" s="2">
        <v>2</v>
      </c>
      <c r="T6" s="2" t="str">
        <v>L</v>
      </c>
      <c r="V6" s="2" t="str">
        <v>ESFERA</v>
      </c>
      <c r="W6" s="2" t="str">
        <v>-0.25</v>
      </c>
      <c r="Y6" s="2" t="str">
        <v>L</v>
      </c>
      <c r="AA6" s="2" t="str">
        <v>L</v>
      </c>
      <c r="AC6" s="2" t="str">
        <v>L</v>
      </c>
      <c r="AD6" s="2">
        <v>4</v>
      </c>
      <c r="AE6" s="2" t="str">
        <v>L</v>
      </c>
      <c r="AF6" s="2">
        <v>3</v>
      </c>
      <c r="AG6" s="2" t="str">
        <v>L</v>
      </c>
      <c r="AH6" s="2">
        <v>2</v>
      </c>
      <c r="AI6" s="2" t="str">
        <v>L</v>
      </c>
      <c r="AJ6" s="2">
        <v>2</v>
      </c>
      <c r="AK6" s="2" t="str">
        <v>L</v>
      </c>
      <c r="AL6" s="2">
        <v>2</v>
      </c>
      <c r="AM6" s="2" t="str">
        <v>L</v>
      </c>
      <c r="AN6" s="2">
        <v>2</v>
      </c>
      <c r="AO6" s="2" t="str">
        <v>L</v>
      </c>
    </row>
    <row r="7">
      <c r="D7" s="2" t="str">
        <v>R</v>
      </c>
      <c r="E7" s="2">
        <v>5</v>
      </c>
      <c r="F7" s="2" t="str">
        <v>R</v>
      </c>
      <c r="G7" s="2">
        <v>4</v>
      </c>
      <c r="H7" s="2" t="str">
        <v>R</v>
      </c>
      <c r="I7" s="2">
        <v>2</v>
      </c>
      <c r="J7" s="2" t="str">
        <v>R</v>
      </c>
      <c r="K7" s="2">
        <v>4</v>
      </c>
      <c r="L7" s="2" t="str">
        <v>R</v>
      </c>
      <c r="M7" s="2">
        <v>4</v>
      </c>
      <c r="N7" s="2" t="str">
        <v>R</v>
      </c>
      <c r="O7" s="2">
        <v>4</v>
      </c>
      <c r="P7" s="2" t="str">
        <v>R</v>
      </c>
      <c r="Q7" s="2">
        <v>4</v>
      </c>
      <c r="R7" s="2" t="str">
        <v>R</v>
      </c>
      <c r="S7" s="2">
        <v>6</v>
      </c>
      <c r="T7" s="2" t="str">
        <v>R</v>
      </c>
      <c r="Y7" s="2" t="str">
        <v>R</v>
      </c>
      <c r="AA7" s="2" t="str">
        <v>R</v>
      </c>
      <c r="AB7" s="2">
        <v>1</v>
      </c>
      <c r="AC7" s="2" t="str">
        <v>R</v>
      </c>
      <c r="AD7" s="2">
        <v>1</v>
      </c>
      <c r="AE7" s="2" t="str">
        <v>R</v>
      </c>
      <c r="AF7" s="2">
        <v>1</v>
      </c>
      <c r="AG7" s="2" t="str">
        <v>R</v>
      </c>
      <c r="AH7" s="2">
        <v>3</v>
      </c>
      <c r="AI7" s="2" t="str">
        <v>R</v>
      </c>
      <c r="AJ7" s="2">
        <v>3</v>
      </c>
      <c r="AK7" s="2" t="str">
        <v>R</v>
      </c>
      <c r="AL7" s="2">
        <v>2</v>
      </c>
      <c r="AM7" s="2" t="str">
        <v>R</v>
      </c>
      <c r="AN7" s="2">
        <v>2</v>
      </c>
      <c r="AO7" s="2" t="str">
        <v>R</v>
      </c>
    </row>
    <row r="8">
      <c r="B8" s="2" t="str">
        <v>+0.25</v>
      </c>
      <c r="D8" s="2" t="str">
        <v>L</v>
      </c>
      <c r="E8" s="2">
        <v>2</v>
      </c>
      <c r="F8" s="2" t="str">
        <v>L</v>
      </c>
      <c r="G8" s="2">
        <v>4</v>
      </c>
      <c r="H8" s="2" t="str">
        <v>L</v>
      </c>
      <c r="I8" s="2">
        <v>5</v>
      </c>
      <c r="J8" s="2" t="str">
        <v>L</v>
      </c>
      <c r="K8" s="2">
        <v>4</v>
      </c>
      <c r="L8" s="2" t="str">
        <v>L</v>
      </c>
      <c r="M8" s="2">
        <v>4</v>
      </c>
      <c r="N8" s="2" t="str">
        <v>L</v>
      </c>
      <c r="O8" s="2">
        <v>2</v>
      </c>
      <c r="P8" s="2" t="str">
        <v>L</v>
      </c>
      <c r="Q8" s="2">
        <v>2</v>
      </c>
      <c r="R8" s="2" t="str">
        <v>L</v>
      </c>
      <c r="S8" s="2">
        <v>2</v>
      </c>
      <c r="T8" s="2" t="str">
        <v>L</v>
      </c>
      <c r="W8" s="2" t="str">
        <v>-0.50</v>
      </c>
      <c r="Y8" s="2" t="str">
        <v>L</v>
      </c>
      <c r="Z8" s="2">
        <v>3</v>
      </c>
      <c r="AA8" s="2" t="str">
        <v>L</v>
      </c>
      <c r="AB8" s="2">
        <v>3</v>
      </c>
      <c r="AC8" s="2" t="str">
        <v>L</v>
      </c>
      <c r="AD8" s="2">
        <v>3</v>
      </c>
      <c r="AE8" s="2" t="str">
        <v>L</v>
      </c>
      <c r="AF8" s="2">
        <v>2</v>
      </c>
      <c r="AG8" s="2" t="str">
        <v>L</v>
      </c>
      <c r="AH8" s="2">
        <v>3</v>
      </c>
      <c r="AI8" s="2" t="str">
        <v>L</v>
      </c>
      <c r="AJ8" s="2">
        <v>1</v>
      </c>
      <c r="AK8" s="2" t="str">
        <v>L</v>
      </c>
      <c r="AL8" s="2">
        <v>2</v>
      </c>
      <c r="AM8" s="2" t="str">
        <v>L</v>
      </c>
      <c r="AN8" s="2">
        <v>3</v>
      </c>
      <c r="AO8" s="2" t="str">
        <v>L</v>
      </c>
    </row>
    <row r="9">
      <c r="D9" s="2" t="str">
        <v>R</v>
      </c>
      <c r="E9" s="2">
        <v>3</v>
      </c>
      <c r="F9" s="2" t="str">
        <v>R</v>
      </c>
      <c r="G9" s="2">
        <v>4</v>
      </c>
      <c r="H9" s="2" t="str">
        <v>R</v>
      </c>
      <c r="I9" s="2">
        <v>3</v>
      </c>
      <c r="J9" s="2" t="str">
        <v>R</v>
      </c>
      <c r="K9" s="2">
        <v>4</v>
      </c>
      <c r="L9" s="2" t="str">
        <v>R</v>
      </c>
      <c r="M9" s="2">
        <v>4</v>
      </c>
      <c r="N9" s="2" t="str">
        <v>R</v>
      </c>
      <c r="O9" s="2">
        <v>4</v>
      </c>
      <c r="P9" s="2" t="str">
        <v>R</v>
      </c>
      <c r="Q9" s="2">
        <v>2</v>
      </c>
      <c r="R9" s="2" t="str">
        <v>R</v>
      </c>
      <c r="S9" s="2">
        <v>2</v>
      </c>
      <c r="T9" s="2" t="str">
        <v>R</v>
      </c>
      <c r="Y9" s="2" t="str">
        <v>R</v>
      </c>
      <c r="Z9" s="2">
        <v>1</v>
      </c>
      <c r="AA9" s="2" t="str">
        <v>R</v>
      </c>
      <c r="AB9" s="2">
        <v>2</v>
      </c>
      <c r="AC9" s="2" t="str">
        <v>R</v>
      </c>
      <c r="AD9" s="2">
        <v>2</v>
      </c>
      <c r="AE9" s="2" t="str">
        <v>R</v>
      </c>
      <c r="AF9" s="2">
        <v>2</v>
      </c>
      <c r="AG9" s="2" t="str">
        <v>R</v>
      </c>
      <c r="AH9" s="2">
        <v>2</v>
      </c>
      <c r="AI9" s="2" t="str">
        <v>R</v>
      </c>
      <c r="AJ9" s="2">
        <v>1</v>
      </c>
      <c r="AK9" s="2" t="str">
        <v>R</v>
      </c>
      <c r="AL9" s="2">
        <v>2</v>
      </c>
      <c r="AM9" s="2" t="str">
        <v>R</v>
      </c>
      <c r="AN9" s="2">
        <v>2</v>
      </c>
      <c r="AO9" s="2" t="str">
        <v>R</v>
      </c>
    </row>
    <row r="10">
      <c r="B10" s="2" t="str">
        <v>+0.50</v>
      </c>
      <c r="D10" s="2" t="str">
        <v>L</v>
      </c>
      <c r="E10" s="2">
        <v>4</v>
      </c>
      <c r="F10" s="2" t="str">
        <v>L</v>
      </c>
      <c r="G10" s="2">
        <v>3</v>
      </c>
      <c r="H10" s="2" t="str">
        <v>L</v>
      </c>
      <c r="I10" s="2">
        <v>3</v>
      </c>
      <c r="J10" s="2" t="str">
        <v>L</v>
      </c>
      <c r="K10" s="2">
        <v>2</v>
      </c>
      <c r="L10" s="2" t="str">
        <v>L</v>
      </c>
      <c r="M10" s="2">
        <v>2</v>
      </c>
      <c r="N10" s="2" t="str">
        <v>L</v>
      </c>
      <c r="O10" s="2">
        <v>3</v>
      </c>
      <c r="P10" s="2" t="str">
        <v>L</v>
      </c>
      <c r="Q10" s="2">
        <v>4</v>
      </c>
      <c r="R10" s="2" t="str">
        <v>L</v>
      </c>
      <c r="S10" s="2">
        <v>3</v>
      </c>
      <c r="T10" s="2" t="str">
        <v>L</v>
      </c>
      <c r="W10" s="2" t="str">
        <v>-0.75</v>
      </c>
      <c r="Y10" s="2" t="str">
        <v>L</v>
      </c>
      <c r="Z10" s="2">
        <v>2</v>
      </c>
      <c r="AA10" s="2" t="str">
        <v>L</v>
      </c>
      <c r="AB10" s="2">
        <v>3</v>
      </c>
      <c r="AC10" s="2" t="str">
        <v>L</v>
      </c>
      <c r="AE10" s="2" t="str">
        <v>L</v>
      </c>
      <c r="AF10" s="2">
        <v>3</v>
      </c>
      <c r="AG10" s="2" t="str">
        <v>L</v>
      </c>
      <c r="AH10" s="2">
        <v>2</v>
      </c>
      <c r="AI10" s="2" t="str">
        <v>L</v>
      </c>
      <c r="AJ10" s="2">
        <v>2</v>
      </c>
      <c r="AK10" s="2" t="str">
        <v>L</v>
      </c>
      <c r="AL10" s="2">
        <v>3</v>
      </c>
      <c r="AM10" s="2" t="str">
        <v>L</v>
      </c>
      <c r="AN10" s="2">
        <v>2</v>
      </c>
      <c r="AO10" s="2" t="str">
        <v>L</v>
      </c>
    </row>
    <row r="11">
      <c r="D11" s="2" t="str">
        <v>R</v>
      </c>
      <c r="E11" s="2">
        <v>3</v>
      </c>
      <c r="F11" s="2" t="str">
        <v>R</v>
      </c>
      <c r="G11" s="2">
        <v>3</v>
      </c>
      <c r="H11" s="2" t="str">
        <v>R</v>
      </c>
      <c r="I11" s="2">
        <v>3</v>
      </c>
      <c r="J11" s="2" t="str">
        <v>R</v>
      </c>
      <c r="K11" s="2">
        <v>5</v>
      </c>
      <c r="L11" s="2" t="str">
        <v>R</v>
      </c>
      <c r="M11" s="2">
        <v>5</v>
      </c>
      <c r="N11" s="2" t="str">
        <v>R</v>
      </c>
      <c r="O11" s="2">
        <v>6</v>
      </c>
      <c r="P11" s="2" t="str">
        <v>R</v>
      </c>
      <c r="Q11" s="2">
        <v>3</v>
      </c>
      <c r="R11" s="2" t="str">
        <v>R</v>
      </c>
      <c r="S11" s="2">
        <v>1</v>
      </c>
      <c r="T11" s="2" t="str">
        <v>R</v>
      </c>
      <c r="Y11" s="2" t="str">
        <v>R</v>
      </c>
      <c r="AA11" s="2" t="str">
        <v>R</v>
      </c>
      <c r="AB11" s="2">
        <v>2</v>
      </c>
      <c r="AC11" s="2" t="str">
        <v>R</v>
      </c>
      <c r="AE11" s="2" t="str">
        <v>R</v>
      </c>
      <c r="AF11" s="2">
        <v>2</v>
      </c>
      <c r="AG11" s="2" t="str">
        <v>R</v>
      </c>
      <c r="AH11" s="2">
        <v>2</v>
      </c>
      <c r="AI11" s="2" t="str">
        <v>R</v>
      </c>
      <c r="AJ11" s="2">
        <v>1</v>
      </c>
      <c r="AK11" s="2" t="str">
        <v>R</v>
      </c>
      <c r="AL11" s="2">
        <v>3</v>
      </c>
      <c r="AM11" s="2" t="str">
        <v>R</v>
      </c>
      <c r="AN11" s="2">
        <v>3</v>
      </c>
      <c r="AO11" s="2" t="str">
        <v>R</v>
      </c>
    </row>
    <row r="12">
      <c r="B12" s="2" t="str">
        <v>+0.75</v>
      </c>
      <c r="D12" s="2" t="str">
        <v>L</v>
      </c>
      <c r="E12" s="2">
        <v>3</v>
      </c>
      <c r="F12" s="2" t="str">
        <v>L</v>
      </c>
      <c r="G12" s="2">
        <v>2</v>
      </c>
      <c r="H12" s="2" t="str">
        <v>L</v>
      </c>
      <c r="I12" s="2">
        <v>2</v>
      </c>
      <c r="J12" s="2" t="str">
        <v>L</v>
      </c>
      <c r="K12" s="2">
        <v>4</v>
      </c>
      <c r="L12" s="2" t="str">
        <v>L</v>
      </c>
      <c r="M12" s="2">
        <v>2</v>
      </c>
      <c r="N12" s="2" t="str">
        <v>L</v>
      </c>
      <c r="O12" s="2">
        <v>3</v>
      </c>
      <c r="P12" s="2" t="str">
        <v>L</v>
      </c>
      <c r="Q12" s="2">
        <v>3</v>
      </c>
      <c r="R12" s="2" t="str">
        <v>L</v>
      </c>
      <c r="S12" s="2">
        <v>4</v>
      </c>
      <c r="T12" s="2" t="str">
        <v>L</v>
      </c>
      <c r="W12" s="2" t="str">
        <v>-1.00</v>
      </c>
      <c r="Y12" s="2" t="str">
        <v>L</v>
      </c>
      <c r="Z12" s="2">
        <v>3</v>
      </c>
      <c r="AA12" s="2" t="str">
        <v>L</v>
      </c>
      <c r="AB12" s="2">
        <v>3</v>
      </c>
      <c r="AC12" s="2" t="str">
        <v>L</v>
      </c>
      <c r="AD12" s="2">
        <v>2</v>
      </c>
      <c r="AE12" s="2" t="str">
        <v>L</v>
      </c>
      <c r="AF12" s="2">
        <v>3</v>
      </c>
      <c r="AG12" s="2" t="str">
        <v>L</v>
      </c>
      <c r="AH12" s="2">
        <v>3</v>
      </c>
      <c r="AI12" s="2" t="str">
        <v>L</v>
      </c>
      <c r="AJ12" s="2">
        <v>2</v>
      </c>
      <c r="AK12" s="2" t="str">
        <v>L</v>
      </c>
      <c r="AL12" s="2">
        <v>3</v>
      </c>
      <c r="AM12" s="2" t="str">
        <v>L</v>
      </c>
      <c r="AN12" s="2">
        <v>1</v>
      </c>
      <c r="AO12" s="2" t="str">
        <v>L</v>
      </c>
    </row>
    <row r="13">
      <c r="D13" s="2" t="str">
        <v>R</v>
      </c>
      <c r="E13" s="2">
        <v>4</v>
      </c>
      <c r="F13" s="2" t="str">
        <v>R</v>
      </c>
      <c r="G13" s="2">
        <v>4</v>
      </c>
      <c r="H13" s="2" t="str">
        <v>R</v>
      </c>
      <c r="I13" s="2">
        <v>4</v>
      </c>
      <c r="J13" s="2" t="str">
        <v>R</v>
      </c>
      <c r="K13" s="2">
        <v>1</v>
      </c>
      <c r="L13" s="2" t="str">
        <v>R</v>
      </c>
      <c r="M13" s="2">
        <v>3</v>
      </c>
      <c r="N13" s="2" t="str">
        <v>R</v>
      </c>
      <c r="O13" s="2">
        <v>3</v>
      </c>
      <c r="P13" s="2" t="str">
        <v>R</v>
      </c>
      <c r="Q13" s="2">
        <v>2</v>
      </c>
      <c r="R13" s="2" t="str">
        <v>R</v>
      </c>
      <c r="T13" s="2" t="str">
        <v>R</v>
      </c>
      <c r="Y13" s="2" t="str">
        <v>R</v>
      </c>
      <c r="Z13" s="2">
        <v>2</v>
      </c>
      <c r="AA13" s="2" t="str">
        <v>R</v>
      </c>
      <c r="AB13" s="2">
        <v>2</v>
      </c>
      <c r="AC13" s="2" t="str">
        <v>R</v>
      </c>
      <c r="AD13" s="2">
        <v>2</v>
      </c>
      <c r="AE13" s="2" t="str">
        <v>R</v>
      </c>
      <c r="AF13" s="2">
        <v>2</v>
      </c>
      <c r="AG13" s="2" t="str">
        <v>R</v>
      </c>
      <c r="AH13" s="2">
        <v>2</v>
      </c>
      <c r="AI13" s="2" t="str">
        <v>R</v>
      </c>
      <c r="AJ13" s="2">
        <v>2</v>
      </c>
      <c r="AK13" s="2" t="str">
        <v>R</v>
      </c>
      <c r="AL13" s="2">
        <v>2</v>
      </c>
      <c r="AM13" s="2" t="str">
        <v>R</v>
      </c>
      <c r="AN13" s="2">
        <v>3</v>
      </c>
      <c r="AO13" s="2" t="str">
        <v>R</v>
      </c>
    </row>
    <row r="14">
      <c r="B14" s="2" t="str">
        <v>+1.00</v>
      </c>
      <c r="D14" s="2" t="str">
        <v>L</v>
      </c>
      <c r="E14" s="2">
        <v>3</v>
      </c>
      <c r="F14" s="2" t="str">
        <v>L</v>
      </c>
      <c r="G14" s="2">
        <v>3</v>
      </c>
      <c r="H14" s="2" t="str">
        <v>L</v>
      </c>
      <c r="I14" s="2">
        <v>1</v>
      </c>
      <c r="J14" s="2" t="str">
        <v>L</v>
      </c>
      <c r="K14" s="2">
        <v>2</v>
      </c>
      <c r="L14" s="2" t="str">
        <v>L</v>
      </c>
      <c r="M14" s="2">
        <v>3</v>
      </c>
      <c r="N14" s="2" t="str">
        <v>L</v>
      </c>
      <c r="O14" s="2">
        <v>5</v>
      </c>
      <c r="P14" s="2" t="str">
        <v>L</v>
      </c>
      <c r="Q14" s="2">
        <v>2</v>
      </c>
      <c r="R14" s="2" t="str">
        <v>L</v>
      </c>
      <c r="S14" s="2">
        <v>3</v>
      </c>
      <c r="T14" s="2" t="str">
        <v>L</v>
      </c>
      <c r="W14" s="2" t="str">
        <v>-1.25</v>
      </c>
      <c r="Y14" s="2" t="str">
        <v>L</v>
      </c>
      <c r="AA14" s="2" t="str">
        <v>L</v>
      </c>
      <c r="AB14" s="2">
        <v>3</v>
      </c>
      <c r="AC14" s="2" t="str">
        <v>L</v>
      </c>
      <c r="AD14" s="2">
        <v>2</v>
      </c>
      <c r="AE14" s="2" t="str">
        <v>L</v>
      </c>
      <c r="AF14" s="2">
        <v>3</v>
      </c>
      <c r="AG14" s="2" t="str">
        <v>L</v>
      </c>
      <c r="AH14" s="2">
        <v>2</v>
      </c>
      <c r="AI14" s="2" t="str">
        <v>L</v>
      </c>
      <c r="AJ14" s="2">
        <v>3</v>
      </c>
      <c r="AK14" s="2" t="str">
        <v>L</v>
      </c>
      <c r="AL14" s="2">
        <v>2</v>
      </c>
      <c r="AM14" s="2" t="str">
        <v>L</v>
      </c>
      <c r="AN14" s="2">
        <v>3</v>
      </c>
      <c r="AO14" s="2" t="str">
        <v>L</v>
      </c>
    </row>
    <row r="15">
      <c r="D15" s="2" t="str">
        <v>R</v>
      </c>
      <c r="E15" s="2">
        <v>3</v>
      </c>
      <c r="F15" s="2" t="str">
        <v>R</v>
      </c>
      <c r="G15" s="2">
        <v>4</v>
      </c>
      <c r="H15" s="2" t="str">
        <v>R</v>
      </c>
      <c r="I15" s="2">
        <v>3</v>
      </c>
      <c r="J15" s="2" t="str">
        <v>R</v>
      </c>
      <c r="K15" s="2">
        <v>4</v>
      </c>
      <c r="L15" s="2" t="str">
        <v>R</v>
      </c>
      <c r="M15" s="2">
        <v>4</v>
      </c>
      <c r="N15" s="2" t="str">
        <v>R</v>
      </c>
      <c r="O15" s="2">
        <v>4</v>
      </c>
      <c r="P15" s="2" t="str">
        <v>R</v>
      </c>
      <c r="Q15" s="2">
        <v>2</v>
      </c>
      <c r="R15" s="2" t="str">
        <v>R</v>
      </c>
      <c r="S15" s="2">
        <v>3</v>
      </c>
      <c r="T15" s="2" t="str">
        <v>R</v>
      </c>
      <c r="Y15" s="2" t="str">
        <v>R</v>
      </c>
      <c r="Z15" s="2">
        <v>2</v>
      </c>
      <c r="AA15" s="2" t="str">
        <v>R</v>
      </c>
      <c r="AB15" s="2">
        <v>2</v>
      </c>
      <c r="AC15" s="2" t="str">
        <v>R</v>
      </c>
      <c r="AD15" s="2">
        <v>3</v>
      </c>
      <c r="AE15" s="2" t="str">
        <v>R</v>
      </c>
      <c r="AF15" s="2">
        <v>1</v>
      </c>
      <c r="AG15" s="2" t="str">
        <v>R</v>
      </c>
      <c r="AH15" s="2">
        <v>2</v>
      </c>
      <c r="AI15" s="2" t="str">
        <v>R</v>
      </c>
      <c r="AJ15" s="2">
        <v>2</v>
      </c>
      <c r="AK15" s="2" t="str">
        <v>R</v>
      </c>
      <c r="AL15" s="2">
        <v>2</v>
      </c>
      <c r="AM15" s="2" t="str">
        <v>R</v>
      </c>
      <c r="AN15" s="2">
        <v>3</v>
      </c>
      <c r="AO15" s="2" t="str">
        <v>R</v>
      </c>
    </row>
    <row r="16">
      <c r="B16" s="2" t="str">
        <v>+1.25</v>
      </c>
      <c r="D16" s="2" t="str">
        <v>L</v>
      </c>
      <c r="E16" s="2">
        <v>3</v>
      </c>
      <c r="F16" s="2" t="str">
        <v>L</v>
      </c>
      <c r="G16" s="2">
        <v>4</v>
      </c>
      <c r="H16" s="2" t="str">
        <v>L</v>
      </c>
      <c r="I16" s="2">
        <v>1</v>
      </c>
      <c r="J16" s="2" t="str">
        <v>L</v>
      </c>
      <c r="K16" s="2">
        <v>3</v>
      </c>
      <c r="L16" s="2" t="str">
        <v>L</v>
      </c>
      <c r="M16" s="2">
        <v>2</v>
      </c>
      <c r="N16" s="2" t="str">
        <v>L</v>
      </c>
      <c r="O16" s="2">
        <v>7</v>
      </c>
      <c r="P16" s="2" t="str">
        <v>L</v>
      </c>
      <c r="Q16" s="2">
        <v>2</v>
      </c>
      <c r="R16" s="2" t="str">
        <v>L</v>
      </c>
      <c r="S16" s="2">
        <v>2</v>
      </c>
      <c r="T16" s="2" t="str">
        <v>L</v>
      </c>
      <c r="W16" s="2" t="str">
        <v>-1.50</v>
      </c>
      <c r="Y16" s="2" t="str">
        <v>L</v>
      </c>
      <c r="Z16" s="2">
        <v>2</v>
      </c>
      <c r="AA16" s="2" t="str">
        <v>L</v>
      </c>
      <c r="AB16" s="2">
        <v>2</v>
      </c>
      <c r="AC16" s="2" t="str">
        <v>L</v>
      </c>
      <c r="AD16" s="2">
        <v>2</v>
      </c>
      <c r="AE16" s="2" t="str">
        <v>L</v>
      </c>
      <c r="AF16" s="2">
        <v>2</v>
      </c>
      <c r="AG16" s="2" t="str">
        <v>L</v>
      </c>
      <c r="AH16" s="2">
        <v>2</v>
      </c>
      <c r="AI16" s="2" t="str">
        <v>L</v>
      </c>
      <c r="AJ16" s="2">
        <v>3</v>
      </c>
      <c r="AK16" s="2" t="str">
        <v>L</v>
      </c>
      <c r="AL16" s="2">
        <v>2</v>
      </c>
      <c r="AM16" s="2" t="str">
        <v>L</v>
      </c>
      <c r="AN16" s="2">
        <v>2</v>
      </c>
      <c r="AO16" s="2" t="str">
        <v>L</v>
      </c>
    </row>
    <row r="17">
      <c r="D17" s="2" t="str">
        <v>R</v>
      </c>
      <c r="E17" s="2">
        <v>3</v>
      </c>
      <c r="F17" s="2" t="str">
        <v>R</v>
      </c>
      <c r="G17" s="2">
        <v>2</v>
      </c>
      <c r="H17" s="2" t="str">
        <v>R</v>
      </c>
      <c r="I17" s="2">
        <v>4</v>
      </c>
      <c r="J17" s="2" t="str">
        <v>R</v>
      </c>
      <c r="K17" s="2">
        <v>2</v>
      </c>
      <c r="L17" s="2" t="str">
        <v>R</v>
      </c>
      <c r="M17" s="2">
        <v>5</v>
      </c>
      <c r="N17" s="2" t="str">
        <v>R</v>
      </c>
      <c r="O17" s="2">
        <v>2</v>
      </c>
      <c r="P17" s="2" t="str">
        <v>R</v>
      </c>
      <c r="Q17" s="2">
        <v>3</v>
      </c>
      <c r="R17" s="2" t="str">
        <v>R</v>
      </c>
      <c r="S17" s="2">
        <v>3</v>
      </c>
      <c r="T17" s="2" t="str">
        <v>R</v>
      </c>
      <c r="Y17" s="2" t="str">
        <v>R</v>
      </c>
      <c r="Z17" s="2">
        <v>2</v>
      </c>
      <c r="AA17" s="2" t="str">
        <v>R</v>
      </c>
      <c r="AB17" s="2">
        <v>2</v>
      </c>
      <c r="AC17" s="2" t="str">
        <v>R</v>
      </c>
      <c r="AD17" s="2">
        <v>2</v>
      </c>
      <c r="AE17" s="2" t="str">
        <v>R</v>
      </c>
      <c r="AF17" s="2">
        <v>2</v>
      </c>
      <c r="AG17" s="2" t="str">
        <v>R</v>
      </c>
      <c r="AH17" s="2">
        <v>2</v>
      </c>
      <c r="AI17" s="2" t="str">
        <v>R</v>
      </c>
      <c r="AJ17" s="2">
        <v>3</v>
      </c>
      <c r="AK17" s="2" t="str">
        <v>R</v>
      </c>
      <c r="AL17" s="2">
        <v>2</v>
      </c>
      <c r="AM17" s="2" t="str">
        <v>R</v>
      </c>
      <c r="AN17" s="2">
        <v>2</v>
      </c>
      <c r="AO17" s="2" t="str">
        <v>R</v>
      </c>
    </row>
    <row r="18">
      <c r="B18" s="2" t="str">
        <v>+1.50</v>
      </c>
      <c r="D18" s="2" t="str">
        <v>L</v>
      </c>
      <c r="E18" s="2">
        <v>3</v>
      </c>
      <c r="F18" s="2" t="str">
        <v>L</v>
      </c>
      <c r="G18" s="2">
        <v>2</v>
      </c>
      <c r="H18" s="2" t="str">
        <v>L</v>
      </c>
      <c r="I18" s="2">
        <v>3</v>
      </c>
      <c r="J18" s="2" t="str">
        <v>L</v>
      </c>
      <c r="K18" s="2">
        <v>4</v>
      </c>
      <c r="L18" s="2" t="str">
        <v>L</v>
      </c>
      <c r="M18" s="2">
        <v>3</v>
      </c>
      <c r="N18" s="2" t="str">
        <v>L</v>
      </c>
      <c r="O18" s="2">
        <v>4</v>
      </c>
      <c r="P18" s="2" t="str">
        <v>L</v>
      </c>
      <c r="Q18" s="2">
        <v>3</v>
      </c>
      <c r="R18" s="2" t="str">
        <v>L</v>
      </c>
      <c r="T18" s="2" t="str">
        <v>L</v>
      </c>
      <c r="W18" s="2" t="str">
        <v>-1.75</v>
      </c>
      <c r="Y18" s="2" t="str">
        <v>L</v>
      </c>
      <c r="Z18" s="2">
        <v>3</v>
      </c>
      <c r="AA18" s="2" t="str">
        <v>L</v>
      </c>
      <c r="AB18" s="2">
        <v>2</v>
      </c>
      <c r="AC18" s="2" t="str">
        <v>L</v>
      </c>
      <c r="AD18" s="2">
        <v>2</v>
      </c>
      <c r="AE18" s="2" t="str">
        <v>L</v>
      </c>
      <c r="AF18" s="2">
        <v>2</v>
      </c>
      <c r="AG18" s="2" t="str">
        <v>L</v>
      </c>
      <c r="AH18" s="2">
        <v>2</v>
      </c>
      <c r="AI18" s="2" t="str">
        <v>L</v>
      </c>
      <c r="AJ18" s="2">
        <v>2</v>
      </c>
      <c r="AK18" s="2" t="str">
        <v>L</v>
      </c>
      <c r="AL18" s="2">
        <v>2</v>
      </c>
      <c r="AM18" s="2" t="str">
        <v>L</v>
      </c>
      <c r="AN18" s="2">
        <v>3</v>
      </c>
      <c r="AO18" s="2" t="str">
        <v>L</v>
      </c>
    </row>
    <row r="19">
      <c r="D19" s="2" t="str">
        <v>R</v>
      </c>
      <c r="E19" s="2">
        <v>4</v>
      </c>
      <c r="F19" s="2" t="str">
        <v>R</v>
      </c>
      <c r="G19" s="2">
        <v>4</v>
      </c>
      <c r="H19" s="2" t="str">
        <v>R</v>
      </c>
      <c r="I19" s="2">
        <v>5</v>
      </c>
      <c r="J19" s="2" t="str">
        <v>R</v>
      </c>
      <c r="K19" s="2">
        <v>2</v>
      </c>
      <c r="L19" s="2" t="str">
        <v>R</v>
      </c>
      <c r="N19" s="2" t="str">
        <v>R</v>
      </c>
      <c r="O19" s="2">
        <v>2</v>
      </c>
      <c r="P19" s="2" t="str">
        <v>R</v>
      </c>
      <c r="Q19" s="2">
        <v>2</v>
      </c>
      <c r="R19" s="2" t="str">
        <v>R</v>
      </c>
      <c r="S19" s="2">
        <v>4</v>
      </c>
      <c r="T19" s="2" t="str">
        <v>R</v>
      </c>
      <c r="Y19" s="2" t="str">
        <v>R</v>
      </c>
      <c r="Z19" s="2">
        <v>2</v>
      </c>
      <c r="AA19" s="2" t="str">
        <v>R</v>
      </c>
      <c r="AB19" s="2">
        <v>3</v>
      </c>
      <c r="AC19" s="2" t="str">
        <v>R</v>
      </c>
      <c r="AD19" s="2">
        <v>2</v>
      </c>
      <c r="AE19" s="2" t="str">
        <v>R</v>
      </c>
      <c r="AF19" s="2">
        <v>2</v>
      </c>
      <c r="AG19" s="2" t="str">
        <v>R</v>
      </c>
      <c r="AH19" s="2">
        <v>2</v>
      </c>
      <c r="AI19" s="2" t="str">
        <v>R</v>
      </c>
      <c r="AJ19" s="2">
        <v>2</v>
      </c>
      <c r="AK19" s="2" t="str">
        <v>R</v>
      </c>
      <c r="AL19" s="2">
        <v>2</v>
      </c>
      <c r="AM19" s="2" t="str">
        <v>R</v>
      </c>
      <c r="AN19" s="2">
        <v>2</v>
      </c>
      <c r="AO19" s="2" t="str">
        <v>R</v>
      </c>
    </row>
    <row r="20">
      <c r="B20" s="2" t="str">
        <v>+1.75</v>
      </c>
      <c r="D20" s="2" t="str">
        <v>L</v>
      </c>
      <c r="E20" s="2">
        <v>5</v>
      </c>
      <c r="F20" s="2" t="str">
        <v>L</v>
      </c>
      <c r="G20" s="2">
        <v>4</v>
      </c>
      <c r="H20" s="2" t="str">
        <v>L</v>
      </c>
      <c r="I20" s="2">
        <v>2</v>
      </c>
      <c r="J20" s="2" t="str">
        <v>L</v>
      </c>
      <c r="L20" s="2" t="str">
        <v>L</v>
      </c>
      <c r="N20" s="2" t="str">
        <v>L</v>
      </c>
      <c r="O20" s="2">
        <v>2</v>
      </c>
      <c r="P20" s="2" t="str">
        <v>L</v>
      </c>
      <c r="Q20" s="2">
        <v>2</v>
      </c>
      <c r="R20" s="2" t="str">
        <v>L</v>
      </c>
      <c r="S20" s="2">
        <v>2</v>
      </c>
      <c r="T20" s="2" t="str">
        <v>L</v>
      </c>
      <c r="W20" s="2" t="str">
        <v>-2.00</v>
      </c>
      <c r="Y20" s="2" t="str">
        <v>L</v>
      </c>
      <c r="Z20" s="2">
        <v>3</v>
      </c>
      <c r="AA20" s="2" t="str">
        <v>L</v>
      </c>
      <c r="AB20" s="2">
        <v>2</v>
      </c>
      <c r="AC20" s="2" t="str">
        <v>L</v>
      </c>
      <c r="AD20" s="2">
        <v>3</v>
      </c>
      <c r="AE20" s="2" t="str">
        <v>L</v>
      </c>
      <c r="AF20" s="2">
        <v>3</v>
      </c>
      <c r="AG20" s="2" t="str">
        <v>L</v>
      </c>
      <c r="AH20" s="2">
        <v>2</v>
      </c>
      <c r="AI20" s="2" t="str">
        <v>L</v>
      </c>
      <c r="AJ20" s="2">
        <v>2</v>
      </c>
      <c r="AK20" s="2" t="str">
        <v>L</v>
      </c>
      <c r="AL20" s="2">
        <v>2</v>
      </c>
      <c r="AM20" s="2" t="str">
        <v>L</v>
      </c>
      <c r="AN20" s="2">
        <v>5</v>
      </c>
      <c r="AO20" s="2" t="str">
        <v>L</v>
      </c>
    </row>
    <row r="21">
      <c r="D21" s="2" t="str">
        <v>R</v>
      </c>
      <c r="E21" s="2">
        <v>3</v>
      </c>
      <c r="F21" s="2" t="str">
        <v>R</v>
      </c>
      <c r="G21" s="2">
        <v>3</v>
      </c>
      <c r="H21" s="2" t="str">
        <v>R</v>
      </c>
      <c r="I21" s="2">
        <v>2</v>
      </c>
      <c r="J21" s="2" t="str">
        <v>R</v>
      </c>
      <c r="K21" s="2">
        <v>6</v>
      </c>
      <c r="L21" s="2" t="str">
        <v>R</v>
      </c>
      <c r="N21" s="2" t="str">
        <v>R</v>
      </c>
      <c r="O21" s="2">
        <v>3</v>
      </c>
      <c r="P21" s="2" t="str">
        <v>R</v>
      </c>
      <c r="Q21" s="2">
        <v>3</v>
      </c>
      <c r="R21" s="2" t="str">
        <v>R</v>
      </c>
      <c r="S21" s="2">
        <v>2</v>
      </c>
      <c r="T21" s="2" t="str">
        <v>R</v>
      </c>
      <c r="Y21" s="2" t="str">
        <v>R</v>
      </c>
      <c r="Z21" s="2">
        <v>3</v>
      </c>
      <c r="AA21" s="2" t="str">
        <v>R</v>
      </c>
      <c r="AB21" s="2">
        <v>2</v>
      </c>
      <c r="AC21" s="2" t="str">
        <v>R</v>
      </c>
      <c r="AD21" s="2">
        <v>3</v>
      </c>
      <c r="AE21" s="2" t="str">
        <v>R</v>
      </c>
      <c r="AF21" s="2">
        <v>4</v>
      </c>
      <c r="AG21" s="2" t="str">
        <v>R</v>
      </c>
      <c r="AH21" s="2">
        <v>2</v>
      </c>
      <c r="AI21" s="2" t="str">
        <v>R</v>
      </c>
      <c r="AJ21" s="2">
        <v>2</v>
      </c>
      <c r="AK21" s="2" t="str">
        <v>R</v>
      </c>
      <c r="AL21" s="2">
        <v>2</v>
      </c>
      <c r="AM21" s="2" t="str">
        <v>R</v>
      </c>
      <c r="AN21" s="2">
        <v>3</v>
      </c>
      <c r="AO21" s="2" t="str">
        <v>R</v>
      </c>
    </row>
    <row r="22">
      <c r="B22" s="2" t="str">
        <v>+2.00</v>
      </c>
      <c r="D22" s="2" t="str">
        <v>L</v>
      </c>
      <c r="E22" s="2">
        <v>3</v>
      </c>
      <c r="F22" s="2" t="str">
        <v>L</v>
      </c>
      <c r="G22" s="2">
        <v>4</v>
      </c>
      <c r="H22" s="2" t="str">
        <v>L</v>
      </c>
      <c r="I22" s="2">
        <v>3</v>
      </c>
      <c r="J22" s="2" t="str">
        <v>L</v>
      </c>
      <c r="K22" s="2">
        <v>2</v>
      </c>
      <c r="L22" s="2" t="str">
        <v>L</v>
      </c>
      <c r="M22" s="2">
        <v>2</v>
      </c>
      <c r="N22" s="2" t="str">
        <v>L</v>
      </c>
      <c r="O22" s="2">
        <v>3</v>
      </c>
      <c r="P22" s="2" t="str">
        <v>L</v>
      </c>
      <c r="Q22" s="2">
        <v>2</v>
      </c>
      <c r="R22" s="2" t="str">
        <v>L</v>
      </c>
      <c r="S22" s="2">
        <v>3</v>
      </c>
      <c r="T22" s="2" t="str">
        <v>L</v>
      </c>
      <c r="W22" s="2" t="str">
        <v>-2.25</v>
      </c>
      <c r="Y22" s="2" t="str">
        <v>L</v>
      </c>
      <c r="AA22" s="2" t="str">
        <v>L</v>
      </c>
      <c r="AC22" s="2" t="str">
        <v>L</v>
      </c>
      <c r="AE22" s="2" t="str">
        <v>L</v>
      </c>
      <c r="AG22" s="2" t="str">
        <v>L</v>
      </c>
      <c r="AI22" s="2" t="str">
        <v>L</v>
      </c>
      <c r="AK22" s="2" t="str">
        <v>L</v>
      </c>
      <c r="AM22" s="2" t="str">
        <v>L</v>
      </c>
      <c r="AO22" s="2" t="str">
        <v>L</v>
      </c>
    </row>
    <row r="23">
      <c r="D23" s="2" t="str">
        <v>R</v>
      </c>
      <c r="E23" s="2">
        <v>2</v>
      </c>
      <c r="F23" s="2" t="str">
        <v>R</v>
      </c>
      <c r="G23" s="2">
        <v>4</v>
      </c>
      <c r="H23" s="2" t="str">
        <v>R</v>
      </c>
      <c r="I23" s="2">
        <v>1</v>
      </c>
      <c r="J23" s="2" t="str">
        <v>R</v>
      </c>
      <c r="K23" s="2">
        <v>1</v>
      </c>
      <c r="L23" s="2" t="str">
        <v>R</v>
      </c>
      <c r="M23" s="2">
        <v>2</v>
      </c>
      <c r="N23" s="2" t="str">
        <v>R</v>
      </c>
      <c r="O23" s="2">
        <v>1</v>
      </c>
      <c r="P23" s="2" t="str">
        <v>R</v>
      </c>
      <c r="Q23" s="2">
        <v>2</v>
      </c>
      <c r="R23" s="2" t="str">
        <v>R</v>
      </c>
      <c r="S23" s="2">
        <v>2</v>
      </c>
      <c r="T23" s="2" t="str">
        <v>R</v>
      </c>
      <c r="Y23" s="2" t="str">
        <v>R</v>
      </c>
      <c r="AA23" s="2" t="str">
        <v>R</v>
      </c>
      <c r="AC23" s="2" t="str">
        <v>R</v>
      </c>
      <c r="AE23" s="2" t="str">
        <v>R</v>
      </c>
      <c r="AG23" s="2" t="str">
        <v>R</v>
      </c>
      <c r="AI23" s="2" t="str">
        <v>R</v>
      </c>
      <c r="AK23" s="2" t="str">
        <v>R</v>
      </c>
      <c r="AM23" s="2" t="str">
        <v>R</v>
      </c>
      <c r="AO23" s="2" t="str">
        <v>R</v>
      </c>
    </row>
    <row r="24">
      <c r="B24" s="2" t="str">
        <v>+2.25</v>
      </c>
      <c r="D24" s="2" t="str">
        <v>L</v>
      </c>
      <c r="E24" s="2">
        <v>5</v>
      </c>
      <c r="F24" s="2" t="str">
        <v>L</v>
      </c>
      <c r="G24" s="2">
        <v>2</v>
      </c>
      <c r="H24" s="2" t="str">
        <v>L</v>
      </c>
      <c r="I24" s="2">
        <v>6</v>
      </c>
      <c r="J24" s="2" t="str">
        <v>L</v>
      </c>
      <c r="K24" s="2">
        <v>2</v>
      </c>
      <c r="L24" s="2" t="str">
        <v>L</v>
      </c>
      <c r="M24" s="2">
        <v>3</v>
      </c>
      <c r="N24" s="2" t="str">
        <v>L</v>
      </c>
      <c r="O24" s="2">
        <v>4</v>
      </c>
      <c r="P24" s="2" t="str">
        <v>L</v>
      </c>
      <c r="Q24" s="2">
        <v>3</v>
      </c>
      <c r="R24" s="2" t="str">
        <v>L</v>
      </c>
      <c r="S24" s="2">
        <v>6</v>
      </c>
      <c r="T24" s="2" t="str">
        <v>L</v>
      </c>
      <c r="W24" s="2" t="str">
        <v>-2.50</v>
      </c>
      <c r="Y24" s="2" t="str">
        <v>L</v>
      </c>
      <c r="AA24" s="2" t="str">
        <v>L</v>
      </c>
      <c r="AC24" s="2" t="str">
        <v>L</v>
      </c>
      <c r="AE24" s="2" t="str">
        <v>L</v>
      </c>
      <c r="AG24" s="2" t="str">
        <v>L</v>
      </c>
      <c r="AI24" s="2" t="str">
        <v>L</v>
      </c>
      <c r="AK24" s="2" t="str">
        <v>L</v>
      </c>
      <c r="AM24" s="2" t="str">
        <v>L</v>
      </c>
      <c r="AO24" s="2" t="str">
        <v>L</v>
      </c>
    </row>
    <row r="25">
      <c r="D25" s="2" t="str">
        <v>R</v>
      </c>
      <c r="E25" s="2">
        <v>5</v>
      </c>
      <c r="F25" s="2" t="str">
        <v>R</v>
      </c>
      <c r="G25" s="2">
        <v>2</v>
      </c>
      <c r="H25" s="2" t="str">
        <v>R</v>
      </c>
      <c r="I25" s="2">
        <v>5</v>
      </c>
      <c r="J25" s="2" t="str">
        <v>R</v>
      </c>
      <c r="K25" s="2">
        <v>3</v>
      </c>
      <c r="L25" s="2" t="str">
        <v>R</v>
      </c>
      <c r="M25" s="2">
        <v>2</v>
      </c>
      <c r="N25" s="2" t="str">
        <v>R</v>
      </c>
      <c r="O25" s="2">
        <v>3</v>
      </c>
      <c r="P25" s="2" t="str">
        <v>R</v>
      </c>
      <c r="Q25" s="2">
        <v>3</v>
      </c>
      <c r="R25" s="2" t="str">
        <v>R</v>
      </c>
      <c r="S25" s="2">
        <v>6</v>
      </c>
      <c r="T25" s="2" t="str">
        <v>R</v>
      </c>
      <c r="Y25" s="2" t="str">
        <v>R</v>
      </c>
      <c r="AA25" s="2" t="str">
        <v>R</v>
      </c>
      <c r="AC25" s="2" t="str">
        <v>R</v>
      </c>
      <c r="AE25" s="2" t="str">
        <v>R</v>
      </c>
      <c r="AG25" s="2" t="str">
        <v>R</v>
      </c>
      <c r="AI25" s="2" t="str">
        <v>R</v>
      </c>
      <c r="AK25" s="2" t="str">
        <v>R</v>
      </c>
      <c r="AM25" s="2" t="str">
        <v>R</v>
      </c>
      <c r="AO25" s="2" t="str">
        <v>R</v>
      </c>
    </row>
    <row r="26">
      <c r="B26" s="2" t="str">
        <v>+2.50</v>
      </c>
      <c r="D26" s="2" t="str">
        <v>L</v>
      </c>
      <c r="E26" s="2">
        <v>5</v>
      </c>
      <c r="F26" s="2" t="str">
        <v>L</v>
      </c>
      <c r="G26" s="2">
        <v>4</v>
      </c>
      <c r="H26" s="2" t="str">
        <v>L</v>
      </c>
      <c r="I26" s="2">
        <v>4</v>
      </c>
      <c r="J26" s="2" t="str">
        <v>L</v>
      </c>
      <c r="K26" s="2">
        <v>4</v>
      </c>
      <c r="L26" s="2" t="str">
        <v>L</v>
      </c>
      <c r="M26" s="2">
        <v>3</v>
      </c>
      <c r="N26" s="2" t="str">
        <v>L</v>
      </c>
      <c r="O26" s="2">
        <v>1</v>
      </c>
      <c r="P26" s="2" t="str">
        <v>L</v>
      </c>
      <c r="Q26" s="2" t="str">
        <v>4</v>
      </c>
      <c r="R26" s="2" t="str">
        <v>L</v>
      </c>
      <c r="S26" s="2" t="str">
        <v>5</v>
      </c>
      <c r="T26" s="2" t="str">
        <v>L</v>
      </c>
      <c r="W26" s="2" t="str">
        <v>-2.75</v>
      </c>
      <c r="Y26" s="2" t="str">
        <v>L</v>
      </c>
      <c r="AA26" s="2" t="str">
        <v>L</v>
      </c>
      <c r="AC26" s="2" t="str">
        <v>L</v>
      </c>
      <c r="AE26" s="2" t="str">
        <v>L</v>
      </c>
      <c r="AG26" s="2" t="str">
        <v>L</v>
      </c>
      <c r="AI26" s="2" t="str">
        <v>L</v>
      </c>
      <c r="AK26" s="2" t="str">
        <v>L</v>
      </c>
      <c r="AM26" s="2" t="str">
        <v>L</v>
      </c>
      <c r="AO26" s="2" t="str">
        <v>L</v>
      </c>
    </row>
    <row r="27">
      <c r="D27" s="2" t="str">
        <v>R</v>
      </c>
      <c r="E27" s="2">
        <v>5</v>
      </c>
      <c r="F27" s="2" t="str">
        <v>R</v>
      </c>
      <c r="G27" s="2">
        <v>5</v>
      </c>
      <c r="H27" s="2" t="str">
        <v>R</v>
      </c>
      <c r="I27" s="2">
        <v>3</v>
      </c>
      <c r="J27" s="2" t="str">
        <v>R</v>
      </c>
      <c r="K27" s="2">
        <v>1</v>
      </c>
      <c r="L27" s="2" t="str">
        <v>R</v>
      </c>
      <c r="M27" s="2">
        <v>2</v>
      </c>
      <c r="N27" s="2" t="str">
        <v>R</v>
      </c>
      <c r="O27" s="2">
        <v>4</v>
      </c>
      <c r="P27" s="2" t="str">
        <v>R</v>
      </c>
      <c r="Q27" s="2" t="str">
        <v>2</v>
      </c>
      <c r="R27" s="2" t="str">
        <v>R</v>
      </c>
      <c r="S27" s="2" t="str">
        <v>5</v>
      </c>
      <c r="T27" s="2" t="str">
        <v>R</v>
      </c>
      <c r="Y27" s="2" t="str">
        <v>R</v>
      </c>
      <c r="AA27" s="2" t="str">
        <v>R</v>
      </c>
      <c r="AC27" s="2" t="str">
        <v>R</v>
      </c>
      <c r="AE27" s="2" t="str">
        <v>R</v>
      </c>
      <c r="AG27" s="2" t="str">
        <v>R</v>
      </c>
      <c r="AI27" s="2" t="str">
        <v>R</v>
      </c>
      <c r="AK27" s="2" t="str">
        <v>R</v>
      </c>
      <c r="AM27" s="2" t="str">
        <v>R</v>
      </c>
      <c r="AO27" s="2" t="str">
        <v>R</v>
      </c>
    </row>
    <row r="28">
      <c r="B28" s="2" t="str">
        <v>+2.75</v>
      </c>
      <c r="D28" s="2" t="str">
        <v>L</v>
      </c>
      <c r="E28" s="2">
        <v>5</v>
      </c>
      <c r="F28" s="2" t="str">
        <v>L</v>
      </c>
      <c r="G28" s="2">
        <v>5</v>
      </c>
      <c r="H28" s="2" t="str">
        <v>L</v>
      </c>
      <c r="I28" s="2">
        <v>3</v>
      </c>
      <c r="J28" s="2" t="str">
        <v>L</v>
      </c>
      <c r="K28" s="2">
        <v>4</v>
      </c>
      <c r="L28" s="2" t="str">
        <v>L</v>
      </c>
      <c r="M28" s="2">
        <v>2</v>
      </c>
      <c r="N28" s="2" t="str">
        <v>L</v>
      </c>
      <c r="O28" s="2">
        <v>3</v>
      </c>
      <c r="P28" s="2" t="str">
        <v>L</v>
      </c>
      <c r="Q28" s="2" t="str">
        <v>2</v>
      </c>
      <c r="R28" s="2" t="str">
        <v>L</v>
      </c>
      <c r="T28" s="2" t="str">
        <v>L</v>
      </c>
      <c r="W28" s="2" t="str">
        <v>-3.00</v>
      </c>
      <c r="Y28" s="2" t="str">
        <v>L</v>
      </c>
      <c r="AA28" s="2" t="str">
        <v>L</v>
      </c>
      <c r="AC28" s="2" t="str">
        <v>L</v>
      </c>
      <c r="AE28" s="2" t="str">
        <v>L</v>
      </c>
      <c r="AG28" s="2" t="str">
        <v>L</v>
      </c>
      <c r="AI28" s="2" t="str">
        <v>L</v>
      </c>
      <c r="AK28" s="2" t="str">
        <v>L</v>
      </c>
      <c r="AM28" s="2" t="str">
        <v>L</v>
      </c>
      <c r="AO28" s="2" t="str">
        <v>L</v>
      </c>
    </row>
    <row r="29">
      <c r="D29" s="2" t="str">
        <v>R</v>
      </c>
      <c r="E29" s="2">
        <v>5</v>
      </c>
      <c r="F29" s="2" t="str">
        <v>R</v>
      </c>
      <c r="G29" s="2">
        <v>5</v>
      </c>
      <c r="H29" s="2" t="str">
        <v>R</v>
      </c>
      <c r="I29" s="2">
        <v>3</v>
      </c>
      <c r="J29" s="2" t="str">
        <v>R</v>
      </c>
      <c r="K29" s="2">
        <v>3</v>
      </c>
      <c r="L29" s="2" t="str">
        <v>R</v>
      </c>
      <c r="M29" s="2">
        <v>2</v>
      </c>
      <c r="N29" s="2" t="str">
        <v>R</v>
      </c>
      <c r="O29" s="2">
        <v>2</v>
      </c>
      <c r="P29" s="2" t="str">
        <v>R</v>
      </c>
      <c r="Q29" s="2" t="str">
        <v>4</v>
      </c>
      <c r="R29" s="2" t="str">
        <v>R</v>
      </c>
      <c r="S29" s="2" t="str">
        <v>4</v>
      </c>
      <c r="T29" s="2" t="str">
        <v>R</v>
      </c>
      <c r="Y29" s="2" t="str">
        <v>R</v>
      </c>
      <c r="AA29" s="2" t="str">
        <v>R</v>
      </c>
      <c r="AC29" s="2" t="str">
        <v>R</v>
      </c>
      <c r="AE29" s="2" t="str">
        <v>R</v>
      </c>
      <c r="AG29" s="2" t="str">
        <v>R</v>
      </c>
      <c r="AI29" s="2" t="str">
        <v>R</v>
      </c>
      <c r="AK29" s="2" t="str">
        <v>R</v>
      </c>
      <c r="AM29" s="2" t="str">
        <v>R</v>
      </c>
      <c r="AO29" s="2" t="str">
        <v>R</v>
      </c>
    </row>
    <row r="30">
      <c r="B30" s="2" t="str">
        <v>+3.00</v>
      </c>
      <c r="D30" s="2" t="str">
        <v>L</v>
      </c>
      <c r="E30" s="2">
        <v>4</v>
      </c>
      <c r="F30" s="2" t="str">
        <v>L</v>
      </c>
      <c r="G30" s="2">
        <v>5</v>
      </c>
      <c r="H30" s="2" t="str">
        <v>L</v>
      </c>
      <c r="I30" s="2">
        <v>5</v>
      </c>
      <c r="J30" s="2" t="str">
        <v>L</v>
      </c>
      <c r="K30" s="2">
        <v>4</v>
      </c>
      <c r="L30" s="2" t="str">
        <v>L</v>
      </c>
      <c r="M30" s="2">
        <v>3</v>
      </c>
      <c r="N30" s="2" t="str">
        <v>L</v>
      </c>
      <c r="O30" s="2">
        <v>3</v>
      </c>
      <c r="P30" s="2" t="str">
        <v>L</v>
      </c>
      <c r="Q30" s="2" t="str">
        <v>2</v>
      </c>
      <c r="R30" s="2" t="str">
        <v>L</v>
      </c>
      <c r="S30" s="2" t="str">
        <v>3</v>
      </c>
      <c r="T30" s="2" t="str">
        <v>L</v>
      </c>
    </row>
    <row r="31">
      <c r="D31" s="2" t="str">
        <v>R</v>
      </c>
      <c r="E31" s="2">
        <v>4</v>
      </c>
      <c r="F31" s="2" t="str">
        <v>R</v>
      </c>
      <c r="G31" s="2">
        <v>5</v>
      </c>
      <c r="H31" s="2" t="str">
        <v>R</v>
      </c>
      <c r="I31" s="2">
        <v>5</v>
      </c>
      <c r="J31" s="2" t="str">
        <v>R</v>
      </c>
      <c r="K31" s="2">
        <v>3</v>
      </c>
      <c r="L31" s="2" t="str">
        <v>R</v>
      </c>
      <c r="M31" s="2">
        <v>4</v>
      </c>
      <c r="N31" s="2" t="str">
        <v>R</v>
      </c>
      <c r="O31" s="2">
        <v>2</v>
      </c>
      <c r="P31" s="2" t="str">
        <v>R</v>
      </c>
      <c r="Q31" s="2" t="str">
        <v>2</v>
      </c>
      <c r="R31" s="2" t="str">
        <v>R</v>
      </c>
      <c r="S31" s="2" t="str">
        <v>3</v>
      </c>
      <c r="T31" s="2" t="str">
        <v>R</v>
      </c>
    </row>
    <row r="37">
      <c r="C37" s="2" t="str">
        <v>SUGERIDO PROGRESIVO AR (PAR)</v>
      </c>
    </row>
    <row r="38">
      <c r="B38" s="2" t="str">
        <v>SUGERIDO PROGRESIVO AR (PAR)</v>
      </c>
      <c r="W38" s="2" t="str">
        <v>SUGERIDO PROGRESIVO AR NEGATIVO (PAR)</v>
      </c>
    </row>
    <row r="39">
      <c r="C39" s="2" t="str">
        <v>ADICION</v>
      </c>
      <c r="X39" s="2" t="str">
        <v>ADICION</v>
      </c>
    </row>
    <row r="41">
      <c r="A41" s="2" t="str">
        <v>(+)</v>
      </c>
      <c r="C41" s="2" t="str">
        <v>1.00</v>
      </c>
      <c r="E41" s="2" t="str">
        <v>1.25</v>
      </c>
      <c r="G41" s="2" t="str">
        <v>1.50</v>
      </c>
      <c r="I41" s="2" t="str">
        <v>1.75</v>
      </c>
      <c r="K41" s="2" t="str">
        <v>2.00</v>
      </c>
      <c r="M41" s="2" t="str">
        <v>2.25</v>
      </c>
      <c r="O41" s="2" t="str">
        <v>2.50</v>
      </c>
      <c r="Q41" s="2" t="str">
        <v>2.75</v>
      </c>
      <c r="S41" s="2" t="str">
        <v>3.00</v>
      </c>
      <c r="V41" s="2" t="str">
        <v>(-)</v>
      </c>
      <c r="X41" s="2" t="str">
        <v>1.00</v>
      </c>
      <c r="Z41" s="2" t="str">
        <v>1.25</v>
      </c>
      <c r="AB41" s="2" t="str">
        <v>1.50</v>
      </c>
      <c r="AD41" s="2" t="str">
        <v>1.75</v>
      </c>
      <c r="AF41" s="2" t="str">
        <v>2.00</v>
      </c>
      <c r="AH41" s="2" t="str">
        <v>2.25</v>
      </c>
      <c r="AJ41" s="2" t="str">
        <v>+2.50</v>
      </c>
      <c r="AL41" s="2" t="str">
        <v>+2.75</v>
      </c>
      <c r="AN41" s="2" t="str">
        <v>+3.00</v>
      </c>
    </row>
    <row r="42">
      <c r="A42" s="2" t="str">
        <v>ESFERA</v>
      </c>
      <c r="B42" s="2" t="str">
        <v>0.00</v>
      </c>
      <c r="D42" s="2" t="str">
        <v>L</v>
      </c>
      <c r="E42" s="2" t="str">
        <f>IF(QUOTIENT(E6+E7,2)&lt;4,4-QUOTIENT(E6+E7,2),"")</f>
        <v/>
      </c>
      <c r="F42" s="2" t="str">
        <v>L</v>
      </c>
      <c r="G42" s="2" t="str">
        <f>IF(QUOTIENT(G6+G7,2)&lt;4,4-QUOTIENT(G6+G7,2),"")</f>
        <v/>
      </c>
      <c r="H42" s="2" t="str">
        <v>L</v>
      </c>
      <c r="I42" s="2">
        <f>IF(QUOTIENT(I6+I7,2)&lt;4,4-QUOTIENT(I6+I7,2),"")</f>
        <v>2</v>
      </c>
      <c r="J42" s="2" t="str">
        <v>L</v>
      </c>
      <c r="K42" s="2" t="str">
        <f>IF(QUOTIENT(K6+K7,2)&lt;4,4-QUOTIENT(K6+K7,2),"")</f>
        <v/>
      </c>
      <c r="L42" s="2" t="str">
        <v>L</v>
      </c>
      <c r="M42" s="2" t="str">
        <f>IF(QUOTIENT(M6+M7,2)&lt;4,4-QUOTIENT(M6+M7,2),"")</f>
        <v/>
      </c>
      <c r="N42" s="2" t="str">
        <v>L</v>
      </c>
      <c r="O42" s="2" t="str">
        <f>IF(QUOTIENT(O6+O7,2)&lt;4,4-QUOTIENT(O6+O7,2),"")</f>
        <v/>
      </c>
      <c r="P42" s="2" t="str">
        <v>L</v>
      </c>
      <c r="Q42" s="2" t="str">
        <f>IF(QUOTIENT(Q6+Q7,2)&lt;4,4-QUOTIENT(Q6+Q7,2),"")</f>
        <v/>
      </c>
      <c r="R42" s="2" t="str">
        <v>L</v>
      </c>
      <c r="S42" s="2" t="str">
        <f>IF(QUOTIENT(S6+S7,2)&lt;4,4-QUOTIENT(S6+S7,2),"")</f>
        <v/>
      </c>
      <c r="T42" s="2" t="str">
        <v>L</v>
      </c>
      <c r="V42" s="2" t="str">
        <v>ESFERA (-)</v>
      </c>
      <c r="W42" s="2" t="str">
        <v>-0.25</v>
      </c>
      <c r="Y42" s="2" t="str">
        <v>L</v>
      </c>
      <c r="Z42" s="2">
        <f>IF(QUOTIENT(Z6+Z7,2)&lt;2,2-QUOTIENT(Z6+Z7,2),"")</f>
        <v>2</v>
      </c>
      <c r="AA42" s="2" t="str">
        <v>L</v>
      </c>
      <c r="AB42" s="2">
        <f>IF(QUOTIENT(AB6+AB7,2)&lt;2,2-QUOTIENT(AB6+AB7,2),"")</f>
        <v>2</v>
      </c>
      <c r="AC42" s="2" t="str">
        <v>L</v>
      </c>
      <c r="AD42" s="2" t="str">
        <f>IF(QUOTIENT(AD6+AD7,2)&lt;2,2-QUOTIENT(AD6+AD7,2),"")</f>
        <v/>
      </c>
      <c r="AE42" s="2" t="str">
        <v>L</v>
      </c>
      <c r="AF42" s="2" t="str">
        <f>IF(QUOTIENT(AF6+AF7,2)&lt;2,2-QUOTIENT(AF6+AF7,2),"")</f>
        <v/>
      </c>
      <c r="AG42" s="2" t="str">
        <v>L</v>
      </c>
      <c r="AH42" s="2" t="str">
        <f>IF(QUOTIENT(AH6+AH7,2)&lt;2,2-QUOTIENT(AH6+AH7,2),"")</f>
        <v/>
      </c>
      <c r="AI42" s="2" t="str">
        <v>L</v>
      </c>
      <c r="AJ42" s="2" t="str">
        <f>IF(QUOTIENT(AJ6+AJ7,2)&lt;2,2-QUOTIENT(AJ6+AJ7,2),"")</f>
        <v/>
      </c>
      <c r="AK42" s="2" t="str">
        <v>L</v>
      </c>
      <c r="AL42" s="2" t="str">
        <f>IF(QUOTIENT(AL6+AL7,2)&lt;2,2-QUOTIENT(AL6+AL7,2),"")</f>
        <v/>
      </c>
      <c r="AM42" s="2" t="str">
        <v>L</v>
      </c>
      <c r="AN42" s="2" t="str">
        <f>IF(QUOTIENT(AN6+AN7,2)&lt;2,2-QUOTIENT(AN6+AN7,2),"")</f>
        <v/>
      </c>
      <c r="AO42" s="2" t="str">
        <v>L</v>
      </c>
    </row>
    <row r="43">
      <c r="D43" s="2" t="str">
        <v>R</v>
      </c>
      <c r="F43" s="2" t="str">
        <v>R</v>
      </c>
      <c r="H43" s="2" t="str">
        <v>R</v>
      </c>
      <c r="J43" s="2" t="str">
        <v>R</v>
      </c>
      <c r="L43" s="2" t="str">
        <v>R</v>
      </c>
      <c r="N43" s="2" t="str">
        <v>R</v>
      </c>
      <c r="P43" s="2" t="str">
        <v>R</v>
      </c>
      <c r="R43" s="2" t="str">
        <v>R</v>
      </c>
      <c r="T43" s="2" t="str">
        <v>R</v>
      </c>
      <c r="Y43" s="2" t="str">
        <v>R</v>
      </c>
      <c r="AA43" s="2" t="str">
        <v>R</v>
      </c>
      <c r="AC43" s="2" t="str">
        <v>R</v>
      </c>
      <c r="AE43" s="2" t="str">
        <v>R</v>
      </c>
      <c r="AG43" s="2" t="str">
        <v>R</v>
      </c>
      <c r="AI43" s="2" t="str">
        <v>R</v>
      </c>
      <c r="AK43" s="2" t="str">
        <v>R</v>
      </c>
      <c r="AM43" s="2" t="str">
        <v>R</v>
      </c>
      <c r="AO43" s="2" t="str">
        <v>R</v>
      </c>
    </row>
    <row r="44">
      <c r="B44" s="2" t="str">
        <v>+0.25</v>
      </c>
      <c r="D44" s="2" t="str">
        <v>L</v>
      </c>
      <c r="E44" s="2">
        <f>IF(QUOTIENT(E8+E9,2)&lt;4,4-QUOTIENT(E8+E9,2),"")</f>
        <v>2</v>
      </c>
      <c r="F44" s="2" t="str">
        <v>L</v>
      </c>
      <c r="G44" s="2" t="str">
        <f>IF(QUOTIENT(G8+G9,2)&lt;4,4-QUOTIENT(G8+G9,2),"")</f>
        <v/>
      </c>
      <c r="H44" s="2" t="str">
        <v>L</v>
      </c>
      <c r="I44" s="2" t="str">
        <f>IF(QUOTIENT(I8+I9,2)&lt;4,4-QUOTIENT(I8+I9,2),"")</f>
        <v/>
      </c>
      <c r="J44" s="2" t="str">
        <v>L</v>
      </c>
      <c r="K44" s="2" t="str">
        <f>IF(QUOTIENT(K8+K9,2)&lt;4,4-QUOTIENT(K8+K9,2),"")</f>
        <v/>
      </c>
      <c r="L44" s="2" t="str">
        <v>L</v>
      </c>
      <c r="M44" s="2" t="str">
        <f>IF(QUOTIENT(M8+M9,2)&lt;4,4-QUOTIENT(M8+M9,2),"")</f>
        <v/>
      </c>
      <c r="N44" s="2" t="str">
        <v>L</v>
      </c>
      <c r="O44" s="2">
        <f>IF(QUOTIENT(O8+O9,2)&lt;4,4-QUOTIENT(O8+O9,2),"")</f>
        <v>1</v>
      </c>
      <c r="P44" s="2" t="str">
        <v>L</v>
      </c>
      <c r="Q44" s="2" t="str">
        <f>IF(QUOTIENT(Q8+Q9,2)&lt;2,2-QUOTIENT(Q8+Q9,2),"")</f>
        <v/>
      </c>
      <c r="R44" s="2" t="str">
        <v>L</v>
      </c>
      <c r="S44" s="2" t="str">
        <f>IF(QUOTIENT(S8+S9,2)&lt;2,2-QUOTIENT(S8+S9,2),"")</f>
        <v/>
      </c>
      <c r="T44" s="2" t="str">
        <v>L</v>
      </c>
      <c r="W44" s="2" t="str">
        <v>-0.50</v>
      </c>
      <c r="Y44" s="2" t="str">
        <v>L</v>
      </c>
      <c r="Z44" s="2" t="str">
        <f>IF(QUOTIENT(Z8+Z9,2)&lt;2,2-QUOTIENT(Z8+Z9,2),"")</f>
        <v/>
      </c>
      <c r="AA44" s="2" t="str">
        <v>L</v>
      </c>
      <c r="AB44" s="2" t="str">
        <f>IF(QUOTIENT(AB8+AB9,2)&lt;2,2-QUOTIENT(AB8+AB9,2),"")</f>
        <v/>
      </c>
      <c r="AC44" s="2" t="str">
        <v>L</v>
      </c>
      <c r="AD44" s="2" t="str">
        <f>IF(QUOTIENT(AD8+AD9,2)&lt;2,2-QUOTIENT(AD8+AD9,2),"")</f>
        <v/>
      </c>
      <c r="AE44" s="2" t="str">
        <v>L</v>
      </c>
      <c r="AF44" s="2" t="str">
        <f>IF(QUOTIENT(AF8+AF9,2)&lt;2,2-QUOTIENT(AF8+AF9,2),"")</f>
        <v/>
      </c>
      <c r="AG44" s="2" t="str">
        <v>L</v>
      </c>
      <c r="AH44" s="2" t="str">
        <f>IF(QUOTIENT(AH8+AH9,2)&lt;2,2-QUOTIENT(AH8+AH9,2),"")</f>
        <v/>
      </c>
      <c r="AI44" s="2" t="str">
        <v>L</v>
      </c>
      <c r="AJ44" s="2">
        <f>IF(QUOTIENT(AJ8+AJ9,2)&lt;2,2-QUOTIENT(AJ8+AJ9,2),"")</f>
        <v>1</v>
      </c>
      <c r="AK44" s="2" t="str">
        <v>L</v>
      </c>
      <c r="AL44" s="2" t="str">
        <f>IF(QUOTIENT(AL8+AL9,2)&lt;2,2-QUOTIENT(AL8+AL9,2),"")</f>
        <v/>
      </c>
      <c r="AM44" s="2" t="str">
        <v>L</v>
      </c>
      <c r="AN44" s="2" t="str">
        <f>IF(QUOTIENT(AN8+AN9,2)&lt;2,2-QUOTIENT(AN8+AN9,2),"")</f>
        <v/>
      </c>
      <c r="AO44" s="2" t="str">
        <v>L</v>
      </c>
    </row>
    <row r="45">
      <c r="D45" s="2" t="str">
        <v>R</v>
      </c>
      <c r="F45" s="2" t="str">
        <v>R</v>
      </c>
      <c r="H45" s="2" t="str">
        <v>R</v>
      </c>
      <c r="J45" s="2" t="str">
        <v>R</v>
      </c>
      <c r="L45" s="2" t="str">
        <v>R</v>
      </c>
      <c r="N45" s="2" t="str">
        <v>R</v>
      </c>
      <c r="P45" s="2" t="str">
        <v>R</v>
      </c>
      <c r="R45" s="2" t="str">
        <v>R</v>
      </c>
      <c r="T45" s="2" t="str">
        <v>R</v>
      </c>
      <c r="Y45" s="2" t="str">
        <v>R</v>
      </c>
      <c r="AA45" s="2" t="str">
        <v>R</v>
      </c>
      <c r="AC45" s="2" t="str">
        <v>R</v>
      </c>
      <c r="AE45" s="2" t="str">
        <v>R</v>
      </c>
      <c r="AG45" s="2" t="str">
        <v>R</v>
      </c>
      <c r="AI45" s="2" t="str">
        <v>R</v>
      </c>
      <c r="AK45" s="2" t="str">
        <v>R</v>
      </c>
      <c r="AM45" s="2" t="str">
        <v>R</v>
      </c>
      <c r="AO45" s="2" t="str">
        <v>R</v>
      </c>
    </row>
    <row r="46">
      <c r="B46" s="2" t="str">
        <v>+0.50</v>
      </c>
      <c r="D46" s="2" t="str">
        <v>L</v>
      </c>
      <c r="E46" s="2" t="str">
        <f>IF(QUOTIENT(E10+E11,2)&lt;3,3-QUOTIENT(E10+E11,2),"")</f>
        <v/>
      </c>
      <c r="F46" s="2" t="str">
        <v>L</v>
      </c>
      <c r="G46" s="2" t="str">
        <f>IF(QUOTIENT(G10+G11,2)&lt;3,3-QUOTIENT(G10+G11,2),"")</f>
        <v/>
      </c>
      <c r="H46" s="2" t="str">
        <v>L</v>
      </c>
      <c r="I46" s="2" t="str">
        <f>IF(QUOTIENT(I10+I11,2)&lt;3,3-QUOTIENT(I10+I11,2),"")</f>
        <v/>
      </c>
      <c r="J46" s="2" t="str">
        <v>L</v>
      </c>
      <c r="K46" s="2" t="str">
        <f>IF(QUOTIENT(K10+K11,2)&lt;3,3-QUOTIENT(K10+K11,2),"")</f>
        <v/>
      </c>
      <c r="L46" s="2" t="str">
        <v>L</v>
      </c>
      <c r="M46" s="2" t="str">
        <f>IF(QUOTIENT(M10+M11,2)&lt;3,3-QUOTIENT(M10+M11,2),"")</f>
        <v/>
      </c>
      <c r="N46" s="2" t="str">
        <v>L</v>
      </c>
      <c r="O46" s="2" t="str">
        <f>IF(QUOTIENT(O10+O11,2)&lt;4,4-QUOTIENT(O10+O11,2),"")</f>
        <v/>
      </c>
      <c r="P46" s="2" t="str">
        <v>L</v>
      </c>
      <c r="Q46" s="2" t="str">
        <f>IF(QUOTIENT(Q10+Q11,2)&lt;2,2-QUOTIENT(Q10+Q11,2),"")</f>
        <v/>
      </c>
      <c r="R46" s="2" t="str">
        <v>L</v>
      </c>
      <c r="S46" s="2" t="str">
        <f>IF(QUOTIENT(S10+S11,2)&lt;2,2-QUOTIENT(S10+S11,2),"")</f>
        <v/>
      </c>
      <c r="T46" s="2" t="str">
        <v>L</v>
      </c>
      <c r="W46" s="2" t="str">
        <v>-0.75</v>
      </c>
      <c r="Y46" s="2" t="str">
        <v>L</v>
      </c>
      <c r="Z46" s="2">
        <f>IF(QUOTIENT(Z10+Z11,2)&lt;2,2-QUOTIENT(Z10+Z11,2),"")</f>
        <v>1</v>
      </c>
      <c r="AA46" s="2" t="str">
        <v>L</v>
      </c>
      <c r="AB46" s="2" t="str">
        <f>IF(QUOTIENT(AB10+AB11,2)&lt;2,2-QUOTIENT(AB10+AB11,2),"")</f>
        <v/>
      </c>
      <c r="AC46" s="2" t="str">
        <v>L</v>
      </c>
      <c r="AD46" s="2">
        <f>IF(QUOTIENT(AD10+AD11,2)&lt;2,2-QUOTIENT(AD10+AD11,2),"")</f>
        <v>2</v>
      </c>
      <c r="AE46" s="2" t="str">
        <v>L</v>
      </c>
      <c r="AF46" s="2" t="str">
        <f>IF(QUOTIENT(AF10+AF11,2)&lt;2,2-QUOTIENT(AF10+AF11,2),"")</f>
        <v/>
      </c>
      <c r="AG46" s="2" t="str">
        <v>L</v>
      </c>
      <c r="AH46" s="2" t="str">
        <f>IF(QUOTIENT(AH10+AH11,2)&lt;2,2-QUOTIENT(AH10+AH11,2),"")</f>
        <v/>
      </c>
      <c r="AI46" s="2" t="str">
        <v>L</v>
      </c>
      <c r="AJ46" s="2">
        <f>IF(QUOTIENT(AJ10+AJ11,2)&lt;2,2-QUOTIENT(AJ10+AJ11,2),"")</f>
        <v>1</v>
      </c>
      <c r="AK46" s="2" t="str">
        <v>L</v>
      </c>
      <c r="AL46" s="2" t="str">
        <f>IF(QUOTIENT(AL10+AL11,2)&lt;2,2-QUOTIENT(AL10+AL11,2),"")</f>
        <v/>
      </c>
      <c r="AM46" s="2" t="str">
        <v>L</v>
      </c>
      <c r="AN46" s="2" t="str">
        <f>IF(QUOTIENT(AN10+AN11,2)&lt;2,2-QUOTIENT(AN10+AN11,2),"")</f>
        <v/>
      </c>
      <c r="AO46" s="2" t="str">
        <v>L</v>
      </c>
    </row>
    <row r="47">
      <c r="D47" s="2" t="str">
        <v>R</v>
      </c>
      <c r="F47" s="2" t="str">
        <v>R</v>
      </c>
      <c r="H47" s="2" t="str">
        <v>R</v>
      </c>
      <c r="J47" s="2" t="str">
        <v>R</v>
      </c>
      <c r="L47" s="2" t="str">
        <v>R</v>
      </c>
      <c r="N47" s="2" t="str">
        <v>R</v>
      </c>
      <c r="P47" s="2" t="str">
        <v>R</v>
      </c>
      <c r="R47" s="2" t="str">
        <v>R</v>
      </c>
      <c r="T47" s="2" t="str">
        <v>R</v>
      </c>
      <c r="Y47" s="2" t="str">
        <v>R</v>
      </c>
      <c r="AA47" s="2" t="str">
        <v>R</v>
      </c>
      <c r="AC47" s="2" t="str">
        <v>R</v>
      </c>
      <c r="AE47" s="2" t="str">
        <v>R</v>
      </c>
      <c r="AG47" s="2" t="str">
        <v>R</v>
      </c>
      <c r="AI47" s="2" t="str">
        <v>R</v>
      </c>
      <c r="AK47" s="2" t="str">
        <v>R</v>
      </c>
      <c r="AM47" s="2" t="str">
        <v>R</v>
      </c>
      <c r="AO47" s="2" t="str">
        <v>R</v>
      </c>
    </row>
    <row r="48">
      <c r="B48" s="2" t="str">
        <v>+0.75</v>
      </c>
      <c r="D48" s="2" t="str">
        <v>L</v>
      </c>
      <c r="E48" s="2" t="str">
        <f>IF(QUOTIENT(E12+E13,2)&lt;3,3-QUOTIENT(E12+E13,2),"")</f>
        <v/>
      </c>
      <c r="F48" s="2" t="str">
        <v>L</v>
      </c>
      <c r="G48" s="2" t="str">
        <f>IF(QUOTIENT(G12+G13,2)&lt;3,3-QUOTIENT(G12+G13,2),"")</f>
        <v/>
      </c>
      <c r="H48" s="2" t="str">
        <v>L</v>
      </c>
      <c r="I48" s="2" t="str">
        <f>IF(QUOTIENT(I12+I13,2)&lt;3,3-QUOTIENT(I12+I13,2),"")</f>
        <v/>
      </c>
      <c r="J48" s="2" t="str">
        <v>L</v>
      </c>
      <c r="K48" s="2">
        <f>IF(QUOTIENT(K12+K13,2)&lt;3,3-QUOTIENT(K12+K13,2),"")</f>
        <v>1</v>
      </c>
      <c r="L48" s="2" t="str">
        <v>L</v>
      </c>
      <c r="M48" s="2">
        <f>IF(QUOTIENT(M12+M13,2)&lt;3,3-QUOTIENT(M12+M13,2),"")</f>
        <v>1</v>
      </c>
      <c r="N48" s="2" t="str">
        <v>L</v>
      </c>
      <c r="O48" s="2">
        <f>IF(QUOTIENT(O12+O13,2)&lt;4,4-QUOTIENT(O12+O13,2),"")</f>
        <v>1</v>
      </c>
      <c r="P48" s="2" t="str">
        <v>L</v>
      </c>
      <c r="Q48" s="2" t="str">
        <f>IF(QUOTIENT(Q12+Q13,2)&lt;2,2-QUOTIENT(Q12+Q13,2),"")</f>
        <v/>
      </c>
      <c r="R48" s="2" t="str">
        <v>L</v>
      </c>
      <c r="S48" s="2" t="str">
        <f>IF(QUOTIENT(S12+S13,2)&lt;2,2-QUOTIENT(S12+S13,2),"")</f>
        <v/>
      </c>
      <c r="T48" s="2" t="str">
        <v>L</v>
      </c>
      <c r="W48" s="2" t="str">
        <v>-1.00</v>
      </c>
      <c r="Y48" s="2" t="str">
        <v>L</v>
      </c>
      <c r="Z48" s="2" t="str">
        <f>IF(QUOTIENT(Z12+Z13,2)&lt;2,2-QUOTIENT(Z12+Z13,2),"")</f>
        <v/>
      </c>
      <c r="AA48" s="2" t="str">
        <v>L</v>
      </c>
      <c r="AB48" s="2" t="str">
        <f>IF(QUOTIENT(AB12+AB13,2)&lt;2,2-QUOTIENT(AB12+AB13,2),"")</f>
        <v/>
      </c>
      <c r="AC48" s="2" t="str">
        <v>L</v>
      </c>
      <c r="AD48" s="2" t="str">
        <f>IF(QUOTIENT(AD12+AD13,2)&lt;2,2-QUOTIENT(AD12+AD13,2),"")</f>
        <v/>
      </c>
      <c r="AE48" s="2" t="str">
        <v>L</v>
      </c>
      <c r="AF48" s="2" t="str">
        <f>IF(QUOTIENT(AF12+AF13,2)&lt;2,2-QUOTIENT(AF12+AF13,2),"")</f>
        <v/>
      </c>
      <c r="AG48" s="2" t="str">
        <v>L</v>
      </c>
      <c r="AH48" s="2" t="str">
        <f>IF(QUOTIENT(AH12+AH13,2)&lt;2,2-QUOTIENT(AH12+AH13,2),"")</f>
        <v/>
      </c>
      <c r="AI48" s="2" t="str">
        <v>L</v>
      </c>
      <c r="AJ48" s="2" t="str">
        <f>IF(QUOTIENT(AJ12+AJ13,2)&lt;2,2-QUOTIENT(AJ12+AJ13,2),"")</f>
        <v/>
      </c>
      <c r="AK48" s="2" t="str">
        <v>L</v>
      </c>
      <c r="AL48" s="2" t="str">
        <f>IF(QUOTIENT(AL12+AL13,2)&lt;2,2-QUOTIENT(AL12+AL13,2),"")</f>
        <v/>
      </c>
      <c r="AM48" s="2" t="str">
        <v>L</v>
      </c>
      <c r="AN48" s="2" t="str">
        <f>IF(QUOTIENT(AN12+AN13,2)&lt;2,2-QUOTIENT(AN12+AN13,2),"")</f>
        <v/>
      </c>
      <c r="AO48" s="2" t="str">
        <v>L</v>
      </c>
    </row>
    <row r="49">
      <c r="D49" s="2" t="str">
        <v>R</v>
      </c>
      <c r="F49" s="2" t="str">
        <v>R</v>
      </c>
      <c r="H49" s="2" t="str">
        <v>R</v>
      </c>
      <c r="J49" s="2" t="str">
        <v>R</v>
      </c>
      <c r="L49" s="2" t="str">
        <v>R</v>
      </c>
      <c r="N49" s="2" t="str">
        <v>R</v>
      </c>
      <c r="P49" s="2" t="str">
        <v>R</v>
      </c>
      <c r="R49" s="2" t="str">
        <v>R</v>
      </c>
      <c r="T49" s="2" t="str">
        <v>R</v>
      </c>
      <c r="Y49" s="2" t="str">
        <v>R</v>
      </c>
      <c r="AA49" s="2" t="str">
        <v>R</v>
      </c>
      <c r="AC49" s="2" t="str">
        <v>R</v>
      </c>
      <c r="AE49" s="2" t="str">
        <v>R</v>
      </c>
      <c r="AG49" s="2" t="str">
        <v>R</v>
      </c>
      <c r="AI49" s="2" t="str">
        <v>R</v>
      </c>
      <c r="AK49" s="2" t="str">
        <v>R</v>
      </c>
      <c r="AM49" s="2" t="str">
        <v>R</v>
      </c>
      <c r="AO49" s="2" t="str">
        <v>R</v>
      </c>
    </row>
    <row r="50">
      <c r="B50" s="2" t="str">
        <v>+1.00</v>
      </c>
      <c r="D50" s="2" t="str">
        <v>L</v>
      </c>
      <c r="E50" s="2" t="str">
        <f>IF(QUOTIENT(E14+E15,2)&lt;3,3-QUOTIENT(E14+E15,2),"")</f>
        <v/>
      </c>
      <c r="F50" s="2" t="str">
        <v>L</v>
      </c>
      <c r="G50" s="2" t="str">
        <f>IF(QUOTIENT(G14+G15,2)&lt;3,3-QUOTIENT(G14+G15,2),"")</f>
        <v/>
      </c>
      <c r="H50" s="2" t="str">
        <v>L</v>
      </c>
      <c r="I50" s="2">
        <f>IF(QUOTIENT(I14+I15,2)&lt;3,3-QUOTIENT(I14+I15,2),"")</f>
        <v>1</v>
      </c>
      <c r="J50" s="2" t="str">
        <v>L</v>
      </c>
      <c r="K50" s="2" t="str">
        <f>IF(QUOTIENT(K14+K15,2)&lt;3,3-QUOTIENT(K14+K15,2),"")</f>
        <v/>
      </c>
      <c r="L50" s="2" t="str">
        <v>L</v>
      </c>
      <c r="M50" s="2" t="str">
        <f>IF(QUOTIENT(M14+M15,2)&lt;3,3-QUOTIENT(M14+M15,2),"")</f>
        <v/>
      </c>
      <c r="N50" s="2" t="str">
        <v>L</v>
      </c>
      <c r="O50" s="2" t="str">
        <f>IF(QUOTIENT(O14+O15,2)&lt;4,4-QUOTIENT(O14+O15,2),"")</f>
        <v/>
      </c>
      <c r="P50" s="2" t="str">
        <v>L</v>
      </c>
      <c r="Q50" s="2" t="str">
        <f>IF(QUOTIENT(Q14+Q15,2)&lt;2,2-QUOTIENT(Q14+Q15,2),"")</f>
        <v/>
      </c>
      <c r="R50" s="2" t="str">
        <v>L</v>
      </c>
      <c r="S50" s="2" t="str">
        <f>IF(QUOTIENT(S14+S15,2)&lt;2,2-QUOTIENT(S14+S15,2),"")</f>
        <v/>
      </c>
      <c r="T50" s="2" t="str">
        <v>L</v>
      </c>
      <c r="W50" s="2" t="str">
        <v>-1.25</v>
      </c>
      <c r="Y50" s="2" t="str">
        <v>L</v>
      </c>
      <c r="Z50" s="2">
        <f>IF(QUOTIENT(Z14+Z15,2)&lt;2,2-QUOTIENT(Z14+Z15,2),"")</f>
        <v>1</v>
      </c>
      <c r="AA50" s="2" t="str">
        <v>L</v>
      </c>
      <c r="AB50" s="2" t="str">
        <f>IF(QUOTIENT(AB14+AB15,2)&lt;2,2-QUOTIENT(AB14+AB15,2),"")</f>
        <v/>
      </c>
      <c r="AC50" s="2" t="str">
        <v>L</v>
      </c>
      <c r="AD50" s="2" t="str">
        <f>IF(QUOTIENT(AD14+AD15,2)&lt;2,2-QUOTIENT(AD14+AD15,2),"")</f>
        <v/>
      </c>
      <c r="AE50" s="2" t="str">
        <v>L</v>
      </c>
      <c r="AF50" s="2" t="str">
        <f>IF(QUOTIENT(AF14+AF15,2)&lt;2,2-QUOTIENT(AF14+AF15,2),"")</f>
        <v/>
      </c>
      <c r="AG50" s="2" t="str">
        <v>L</v>
      </c>
      <c r="AH50" s="2" t="str">
        <f>IF(QUOTIENT(AH14+AH15,2)&lt;2,2-QUOTIENT(AH14+AH15,2),"")</f>
        <v/>
      </c>
      <c r="AI50" s="2" t="str">
        <v>L</v>
      </c>
      <c r="AJ50" s="2" t="str">
        <f>IF(QUOTIENT(AJ14+AJ15,2)&lt;2,2-QUOTIENT(AJ14+AJ15,2),"")</f>
        <v/>
      </c>
      <c r="AK50" s="2" t="str">
        <v>L</v>
      </c>
      <c r="AL50" s="2" t="str">
        <f>IF(QUOTIENT(AL14+AL15,2)&lt;2,2-QUOTIENT(AL14+AL15,2),"")</f>
        <v/>
      </c>
      <c r="AM50" s="2" t="str">
        <v>L</v>
      </c>
      <c r="AN50" s="2" t="str">
        <f>IF(QUOTIENT(AN14+AN15,2)&lt;2,2-QUOTIENT(AN14+AN15,2),"")</f>
        <v/>
      </c>
      <c r="AO50" s="2" t="str">
        <v>L</v>
      </c>
    </row>
    <row r="51">
      <c r="D51" s="2" t="str">
        <v>R</v>
      </c>
      <c r="F51" s="2" t="str">
        <v>R</v>
      </c>
      <c r="H51" s="2" t="str">
        <v>R</v>
      </c>
      <c r="J51" s="2" t="str">
        <v>R</v>
      </c>
      <c r="L51" s="2" t="str">
        <v>R</v>
      </c>
      <c r="N51" s="2" t="str">
        <v>R</v>
      </c>
      <c r="P51" s="2" t="str">
        <v>R</v>
      </c>
      <c r="R51" s="2" t="str">
        <v>R</v>
      </c>
      <c r="T51" s="2" t="str">
        <v>R</v>
      </c>
      <c r="Y51" s="2" t="str">
        <v>R</v>
      </c>
      <c r="AA51" s="2" t="str">
        <v>R</v>
      </c>
      <c r="AC51" s="2" t="str">
        <v>R</v>
      </c>
      <c r="AE51" s="2" t="str">
        <v>R</v>
      </c>
      <c r="AG51" s="2" t="str">
        <v>R</v>
      </c>
      <c r="AI51" s="2" t="str">
        <v>R</v>
      </c>
      <c r="AK51" s="2" t="str">
        <v>R</v>
      </c>
      <c r="AM51" s="2" t="str">
        <v>R</v>
      </c>
      <c r="AO51" s="2" t="str">
        <v>R</v>
      </c>
    </row>
    <row r="52">
      <c r="B52" s="2" t="str">
        <v>+1.25</v>
      </c>
      <c r="D52" s="2" t="str">
        <v>L</v>
      </c>
      <c r="E52" s="2" t="str">
        <f>IF(QUOTIENT(E16+E17,2)&lt;3,3-QUOTIENT(E16+E17,2),"")</f>
        <v/>
      </c>
      <c r="F52" s="2" t="str">
        <v>L</v>
      </c>
      <c r="G52" s="2" t="str">
        <f>IF(QUOTIENT(G16+G17,2)&lt;3,3-QUOTIENT(G16+G17,2),"")</f>
        <v/>
      </c>
      <c r="H52" s="2" t="str">
        <v>L</v>
      </c>
      <c r="I52" s="2">
        <f>IF(QUOTIENT(I16+I17,2)&lt;3,3-QUOTIENT(I16+I17,2),"")</f>
        <v>1</v>
      </c>
      <c r="J52" s="2" t="str">
        <v>L</v>
      </c>
      <c r="K52" s="2">
        <f>IF(QUOTIENT(K16+K17,2)&lt;3,3-QUOTIENT(K16+K17,2),"")</f>
        <v>1</v>
      </c>
      <c r="L52" s="2" t="str">
        <v>L</v>
      </c>
      <c r="M52" s="2" t="str">
        <f>IF(QUOTIENT(M16+M17,2)&lt;3,3-QUOTIENT(M16+M17,2),"")</f>
        <v/>
      </c>
      <c r="N52" s="2" t="str">
        <v>L</v>
      </c>
      <c r="O52" s="2" t="str">
        <f>IF(QUOTIENT(O16+O17,2)&lt;4,4-QUOTIENT(O16+O17,2),"")</f>
        <v/>
      </c>
      <c r="P52" s="2" t="str">
        <v>L</v>
      </c>
      <c r="Q52" s="2" t="str">
        <f>IF(QUOTIENT(Q16+Q17,2)&lt;2,2-QUOTIENT(Q16+Q17,2),"")</f>
        <v/>
      </c>
      <c r="R52" s="2" t="str">
        <v>L</v>
      </c>
      <c r="S52" s="2" t="str">
        <f>IF(QUOTIENT(S16+S17,2)&lt;2,2-QUOTIENT(S16+S17,2),"")</f>
        <v/>
      </c>
      <c r="T52" s="2" t="str">
        <v>L</v>
      </c>
      <c r="W52" s="2" t="str">
        <v>-1.50</v>
      </c>
      <c r="Y52" s="2" t="str">
        <v>L</v>
      </c>
      <c r="Z52" s="2" t="str">
        <f>IF(QUOTIENT(Z16+Z17,2)&lt;2,2-QUOTIENT(Z16+Z17,2),"")</f>
        <v/>
      </c>
      <c r="AA52" s="2" t="str">
        <v>L</v>
      </c>
      <c r="AB52" s="2" t="str">
        <f>IF(QUOTIENT(AB16+AB17,2)&lt;2,2-QUOTIENT(AB16+AB17,2),"")</f>
        <v/>
      </c>
      <c r="AC52" s="2" t="str">
        <v>L</v>
      </c>
      <c r="AD52" s="2" t="str">
        <f>IF(QUOTIENT(AD16+AD17,2)&lt;2,2-QUOTIENT(AD16+AD17,2),"")</f>
        <v/>
      </c>
      <c r="AE52" s="2" t="str">
        <v>L</v>
      </c>
      <c r="AF52" s="2" t="str">
        <f>IF(QUOTIENT(AF16+AF17,2)&lt;2,2-QUOTIENT(AF16+AF17,2),"")</f>
        <v/>
      </c>
      <c r="AG52" s="2" t="str">
        <v>L</v>
      </c>
      <c r="AH52" s="2" t="str">
        <f>IF(QUOTIENT(AH16+AH17,2)&lt;2,2-QUOTIENT(AH16+AH17,2),"")</f>
        <v/>
      </c>
      <c r="AI52" s="2" t="str">
        <v>L</v>
      </c>
      <c r="AJ52" s="2" t="str">
        <f>IF(QUOTIENT(AJ16+AJ17,2)&lt;2,2-QUOTIENT(AJ16+AJ17,2),"")</f>
        <v/>
      </c>
      <c r="AK52" s="2" t="str">
        <v>L</v>
      </c>
      <c r="AL52" s="2" t="str">
        <f>IF(QUOTIENT(AL16+AL17,2)&lt;2,2-QUOTIENT(AL16+AL17,2),"")</f>
        <v/>
      </c>
      <c r="AM52" s="2" t="str">
        <v>L</v>
      </c>
      <c r="AN52" s="2" t="str">
        <f>IF(QUOTIENT(AN16+AN17,2)&lt;2,2-QUOTIENT(AN16+AN17,2),"")</f>
        <v/>
      </c>
      <c r="AO52" s="2" t="str">
        <v>L</v>
      </c>
    </row>
    <row r="53">
      <c r="D53" s="2" t="str">
        <v>R</v>
      </c>
      <c r="F53" s="2" t="str">
        <v>R</v>
      </c>
      <c r="H53" s="2" t="str">
        <v>R</v>
      </c>
      <c r="J53" s="2" t="str">
        <v>R</v>
      </c>
      <c r="L53" s="2" t="str">
        <v>R</v>
      </c>
      <c r="N53" s="2" t="str">
        <v>R</v>
      </c>
      <c r="P53" s="2" t="str">
        <v>R</v>
      </c>
      <c r="R53" s="2" t="str">
        <v>R</v>
      </c>
      <c r="T53" s="2" t="str">
        <v>R</v>
      </c>
      <c r="Y53" s="2" t="str">
        <v>R</v>
      </c>
      <c r="AA53" s="2" t="str">
        <v>R</v>
      </c>
      <c r="AC53" s="2" t="str">
        <v>R</v>
      </c>
      <c r="AE53" s="2" t="str">
        <v>R</v>
      </c>
      <c r="AG53" s="2" t="str">
        <v>R</v>
      </c>
      <c r="AI53" s="2" t="str">
        <v>R</v>
      </c>
      <c r="AK53" s="2" t="str">
        <v>R</v>
      </c>
      <c r="AM53" s="2" t="str">
        <v>R</v>
      </c>
      <c r="AO53" s="2" t="str">
        <v>R</v>
      </c>
    </row>
    <row r="54">
      <c r="B54" s="2" t="str">
        <v>+1.50</v>
      </c>
      <c r="D54" s="2" t="str">
        <v>L</v>
      </c>
      <c r="E54" s="2" t="str">
        <f>IF(QUOTIENT(E18+E19,2)&lt;3,3-QUOTIENT(E18+E19,2),"")</f>
        <v/>
      </c>
      <c r="F54" s="2" t="str">
        <v>L</v>
      </c>
      <c r="G54" s="2" t="str">
        <f>IF(QUOTIENT(G18+G19,2)&lt;3,3-QUOTIENT(G18+G19,2),"")</f>
        <v/>
      </c>
      <c r="H54" s="2" t="str">
        <v>L</v>
      </c>
      <c r="I54" s="2" t="str">
        <f>IF(QUOTIENT(I18+I19,2)&lt;3,3-QUOTIENT(I18+I19,2),"")</f>
        <v/>
      </c>
      <c r="J54" s="2" t="str">
        <v>L</v>
      </c>
      <c r="K54" s="2" t="str">
        <f>IF(QUOTIENT(K18+K19,2)&lt;3,3-QUOTIENT(K18+K19,2),"")</f>
        <v/>
      </c>
      <c r="L54" s="2" t="str">
        <v>L</v>
      </c>
      <c r="M54" s="2">
        <f>IF(QUOTIENT(M18+M19,2)&lt;2,2-QUOTIENT(M18+M19,2),"")</f>
        <v>1</v>
      </c>
      <c r="N54" s="2" t="str">
        <v>L</v>
      </c>
      <c r="O54" s="2" t="str">
        <f>IF(QUOTIENT(O18+O19,2)&lt;2,2-QUOTIENT(O18+O19,2),"")</f>
        <v/>
      </c>
      <c r="P54" s="2" t="str">
        <v>L</v>
      </c>
      <c r="Q54" s="2" t="str">
        <f>IF(QUOTIENT(Q18+Q19,2)&lt;2,2-QUOTIENT(Q18+Q19,2),"")</f>
        <v/>
      </c>
      <c r="R54" s="2" t="str">
        <v>L</v>
      </c>
      <c r="S54" s="2" t="str">
        <f>IF(QUOTIENT(S18+S19,2)&lt;2,2-QUOTIENT(S18+S19,2),"")</f>
        <v/>
      </c>
      <c r="T54" s="2" t="str">
        <v>L</v>
      </c>
      <c r="W54" s="2" t="str">
        <v>-1.75</v>
      </c>
      <c r="Y54" s="2" t="str">
        <v>L</v>
      </c>
      <c r="Z54" s="2" t="str">
        <f>IF(QUOTIENT(Z18+Z19,2)&lt;2,2-QUOTIENT(Z18+Z19,2),"")</f>
        <v/>
      </c>
      <c r="AA54" s="2" t="str">
        <v>L</v>
      </c>
      <c r="AB54" s="2" t="str">
        <f>IF(QUOTIENT(AB18+AB19,2)&lt;2,2-QUOTIENT(AB18+AB19,2),"")</f>
        <v/>
      </c>
      <c r="AC54" s="2" t="str">
        <v>L</v>
      </c>
      <c r="AD54" s="2" t="str">
        <f>IF(QUOTIENT(AD18+AD19,2)&lt;2,2-QUOTIENT(AD18+AD19,2),"")</f>
        <v/>
      </c>
      <c r="AE54" s="2" t="str">
        <v>L</v>
      </c>
      <c r="AF54" s="2" t="str">
        <f>IF(QUOTIENT(AF18+AF19,2)&lt;2,2-QUOTIENT(AF18+AF19,2),"")</f>
        <v/>
      </c>
      <c r="AG54" s="2" t="str">
        <v>L</v>
      </c>
      <c r="AH54" s="2" t="str">
        <f>IF(QUOTIENT(AH18+AH19,2)&lt;2,2-QUOTIENT(AH18+AH19,2),"")</f>
        <v/>
      </c>
      <c r="AI54" s="2" t="str">
        <v>L</v>
      </c>
      <c r="AJ54" s="2" t="str">
        <f>IF(QUOTIENT(AJ18+AJ19,2)&lt;2,2-QUOTIENT(AJ18+AJ19,2),"")</f>
        <v/>
      </c>
      <c r="AK54" s="2" t="str">
        <v>L</v>
      </c>
      <c r="AL54" s="2" t="str">
        <f>IF(QUOTIENT(AL18+AL19,2)&lt;2,2-QUOTIENT(AL18+AL19,2),"")</f>
        <v/>
      </c>
      <c r="AM54" s="2" t="str">
        <v>L</v>
      </c>
      <c r="AN54" s="2" t="str">
        <f>IF(QUOTIENT(AN18+AN19,2)&lt;2,2-QUOTIENT(AN18+AN19,2),"")</f>
        <v/>
      </c>
      <c r="AO54" s="2" t="str">
        <v>L</v>
      </c>
    </row>
    <row r="55">
      <c r="D55" s="2" t="str">
        <v>R</v>
      </c>
      <c r="F55" s="2" t="str">
        <v>R</v>
      </c>
      <c r="H55" s="2" t="str">
        <v>R</v>
      </c>
      <c r="J55" s="2" t="str">
        <v>R</v>
      </c>
      <c r="L55" s="2" t="str">
        <v>R</v>
      </c>
      <c r="N55" s="2" t="str">
        <v>R</v>
      </c>
      <c r="P55" s="2" t="str">
        <v>R</v>
      </c>
      <c r="R55" s="2" t="str">
        <v>R</v>
      </c>
      <c r="T55" s="2" t="str">
        <v>R</v>
      </c>
      <c r="Y55" s="2" t="str">
        <v>R</v>
      </c>
      <c r="AA55" s="2" t="str">
        <v>R</v>
      </c>
      <c r="AC55" s="2" t="str">
        <v>R</v>
      </c>
      <c r="AE55" s="2" t="str">
        <v>R</v>
      </c>
      <c r="AG55" s="2" t="str">
        <v>R</v>
      </c>
      <c r="AI55" s="2" t="str">
        <v>R</v>
      </c>
      <c r="AK55" s="2" t="str">
        <v>R</v>
      </c>
      <c r="AM55" s="2" t="str">
        <v>R</v>
      </c>
      <c r="AO55" s="2" t="str">
        <v>R</v>
      </c>
    </row>
    <row r="56">
      <c r="B56" s="2" t="str">
        <v>+1.75</v>
      </c>
      <c r="D56" s="2" t="str">
        <v>L</v>
      </c>
      <c r="E56" s="2" t="str">
        <f>IF(QUOTIENT(E20+E21,2)&lt;3,3-QUOTIENT(E20+E21,2),"")</f>
        <v/>
      </c>
      <c r="F56" s="2" t="str">
        <v>L</v>
      </c>
      <c r="G56" s="2" t="str">
        <f>IF(QUOTIENT(G20+G21,2)&lt;3,3-QUOTIENT(G20+G21,2),"")</f>
        <v/>
      </c>
      <c r="H56" s="2" t="str">
        <v>L</v>
      </c>
      <c r="I56" s="2">
        <f>IF(QUOTIENT(I20+I21,2)&lt;3,3-QUOTIENT(I20+I21,2),"")</f>
        <v>1</v>
      </c>
      <c r="J56" s="2" t="str">
        <v>L</v>
      </c>
      <c r="K56" s="2" t="str">
        <f>IF(QUOTIENT(K20+K21,2)&lt;3,3-QUOTIENT(K20+K21,2),"")</f>
        <v/>
      </c>
      <c r="L56" s="2" t="str">
        <v>L</v>
      </c>
      <c r="M56" s="2">
        <f>IF(QUOTIENT(M20+M21,2)&lt;2,2-QUOTIENT(M20+M21,2),"")</f>
        <v>2</v>
      </c>
      <c r="N56" s="2" t="str">
        <v>L</v>
      </c>
      <c r="O56" s="2" t="str">
        <f>IF(QUOTIENT(O20+O21,2)&lt;2,2-QUOTIENT(O20+O21,2),"")</f>
        <v/>
      </c>
      <c r="P56" s="2" t="str">
        <v>L</v>
      </c>
      <c r="Q56" s="2" t="str">
        <f>IF(QUOTIENT(Q20+Q21,2)&lt;2,2-QUOTIENT(Q20+Q21,2),"")</f>
        <v/>
      </c>
      <c r="R56" s="2" t="str">
        <v>L</v>
      </c>
      <c r="S56" s="2" t="str">
        <f>IF(QUOTIENT(S20+S21,2)&lt;2,2-QUOTIENT(S20+S21,2),"")</f>
        <v/>
      </c>
      <c r="T56" s="2" t="str">
        <v>L</v>
      </c>
      <c r="W56" s="2" t="str">
        <v>-2.00</v>
      </c>
      <c r="Y56" s="2" t="str">
        <v>L</v>
      </c>
      <c r="Z56" s="2" t="str">
        <f>IF(QUOTIENT(Z20+Z21,2)&lt;2,2-QUOTIENT(Z20+Z21,2),"")</f>
        <v/>
      </c>
      <c r="AA56" s="2" t="str">
        <v>L</v>
      </c>
      <c r="AB56" s="2" t="str">
        <f>IF(QUOTIENT(AB20+AB21,2)&lt;2,2-QUOTIENT(AB20+AB21,2),"")</f>
        <v/>
      </c>
      <c r="AC56" s="2" t="str">
        <v>L</v>
      </c>
      <c r="AD56" s="2" t="str">
        <f>IF(QUOTIENT(AD20+AD21,2)&lt;2,2-QUOTIENT(AD20+AD21,2),"")</f>
        <v/>
      </c>
      <c r="AE56" s="2" t="str">
        <v>L</v>
      </c>
      <c r="AF56" s="2" t="str">
        <f>IF(QUOTIENT(AF20+AF21,2)&lt;2,2-QUOTIENT(AF20+AF21,2),"")</f>
        <v/>
      </c>
      <c r="AG56" s="2" t="str">
        <v>L</v>
      </c>
      <c r="AH56" s="2" t="str">
        <f>IF(QUOTIENT(AH20+AH21,2)&lt;2,2-QUOTIENT(AH20+AH21,2),"")</f>
        <v/>
      </c>
      <c r="AI56" s="2" t="str">
        <v>L</v>
      </c>
      <c r="AJ56" s="2" t="str">
        <f>IF(QUOTIENT(AJ20+AJ21,2)&lt;2,2-QUOTIENT(AJ20+AJ21,2),"")</f>
        <v/>
      </c>
      <c r="AK56" s="2" t="str">
        <v>L</v>
      </c>
      <c r="AL56" s="2" t="str">
        <f>IF(QUOTIENT(AL20+AL21,2)&lt;2,2-QUOTIENT(AL20+AL21,2),"")</f>
        <v/>
      </c>
      <c r="AM56" s="2" t="str">
        <v>L</v>
      </c>
      <c r="AN56" s="2">
        <f>IF(QUOTIENT(AN21+AN22,2)&lt;2,2-QUOTIENT(AN21+AN22,2),"")</f>
        <v>1</v>
      </c>
      <c r="AO56" s="2" t="str">
        <v>L</v>
      </c>
    </row>
    <row r="57">
      <c r="D57" s="2" t="str">
        <v>R</v>
      </c>
      <c r="F57" s="2" t="str">
        <v>R</v>
      </c>
      <c r="H57" s="2" t="str">
        <v>R</v>
      </c>
      <c r="J57" s="2" t="str">
        <v>R</v>
      </c>
      <c r="L57" s="2" t="str">
        <v>R</v>
      </c>
      <c r="N57" s="2" t="str">
        <v>R</v>
      </c>
      <c r="P57" s="2" t="str">
        <v>R</v>
      </c>
      <c r="R57" s="2" t="str">
        <v>R</v>
      </c>
      <c r="T57" s="2" t="str">
        <v>R</v>
      </c>
      <c r="Y57" s="2" t="str">
        <v>R</v>
      </c>
      <c r="AA57" s="2" t="str">
        <v>R</v>
      </c>
      <c r="AC57" s="2" t="str">
        <v>R</v>
      </c>
      <c r="AE57" s="2" t="str">
        <v>R</v>
      </c>
      <c r="AG57" s="2" t="str">
        <v>R</v>
      </c>
      <c r="AI57" s="2" t="str">
        <v>R</v>
      </c>
      <c r="AK57" s="2" t="str">
        <v>R</v>
      </c>
      <c r="AM57" s="2" t="str">
        <v>R</v>
      </c>
      <c r="AO57" s="2" t="str">
        <v>R</v>
      </c>
    </row>
    <row r="58">
      <c r="B58" s="2" t="str">
        <v>+2.00</v>
      </c>
      <c r="D58" s="2" t="str">
        <v>L</v>
      </c>
      <c r="E58" s="2" t="str">
        <f>IF(QUOTIENT(E22+E23,2)&lt;2,2-QUOTIENT(E22+E23,2),"")</f>
        <v/>
      </c>
      <c r="F58" s="2" t="str">
        <v>L</v>
      </c>
      <c r="G58" s="2" t="str">
        <f>IF(QUOTIENT(G22+G23,2)&lt;2,2-QUOTIENT(G22+G23,2),"")</f>
        <v/>
      </c>
      <c r="H58" s="2" t="str">
        <v>L</v>
      </c>
      <c r="I58" s="2" t="str">
        <f>IF(QUOTIENT(I22+I23,2)&lt;2,2-QUOTIENT(I22+I23,2),"")</f>
        <v/>
      </c>
      <c r="J58" s="2" t="str">
        <v>L</v>
      </c>
      <c r="K58" s="2">
        <f>IF(QUOTIENT(K22+K23,2)&lt;2,2-QUOTIENT(K22+K23,2),"")</f>
        <v>1</v>
      </c>
      <c r="L58" s="2" t="str">
        <v>L</v>
      </c>
      <c r="M58" s="2" t="str">
        <f>IF(QUOTIENT(M22+M23,2)&lt;2,2-QUOTIENT(M22+M23,2),"")</f>
        <v/>
      </c>
      <c r="N58" s="2" t="str">
        <v>L</v>
      </c>
      <c r="O58" s="2" t="str">
        <f>IF(QUOTIENT(O22+O23,2)&lt;2,2-QUOTIENT(O22+O23,2),"")</f>
        <v/>
      </c>
      <c r="P58" s="2" t="str">
        <v>L</v>
      </c>
      <c r="Q58" s="2" t="str">
        <f>IF(QUOTIENT(Q22+Q23,2)&lt;2,2-QUOTIENT(Q22+Q23,2),"")</f>
        <v/>
      </c>
      <c r="R58" s="2" t="str">
        <v>L</v>
      </c>
      <c r="S58" s="2" t="str">
        <f>IF(QUOTIENT(S22+S23,2)&lt;2,2-QUOTIENT(S22+S23,2),"")</f>
        <v/>
      </c>
      <c r="T58" s="2" t="str">
        <v>L</v>
      </c>
    </row>
    <row r="59">
      <c r="D59" s="2" t="str">
        <v>R</v>
      </c>
      <c r="F59" s="2" t="str">
        <v>R</v>
      </c>
      <c r="H59" s="2" t="str">
        <v>R</v>
      </c>
      <c r="J59" s="2" t="str">
        <v>R</v>
      </c>
      <c r="L59" s="2" t="str">
        <v>R</v>
      </c>
      <c r="N59" s="2" t="str">
        <v>R</v>
      </c>
      <c r="P59" s="2" t="str">
        <v>R</v>
      </c>
      <c r="R59" s="2" t="str">
        <v>R</v>
      </c>
      <c r="T59" s="2" t="str">
        <v>R</v>
      </c>
    </row>
    <row r="60">
      <c r="B60" s="2" t="str">
        <v>+2.25</v>
      </c>
      <c r="D60" s="2" t="str">
        <v>L</v>
      </c>
      <c r="E60" s="2" t="str">
        <f>IF(QUOTIENT(E24+E25,2)&lt;2,2-QUOTIENT(E24+E25,2),"")</f>
        <v/>
      </c>
      <c r="F60" s="2" t="str">
        <v>L</v>
      </c>
      <c r="G60" s="2" t="str">
        <f>IF(QUOTIENT(G24+G25,2)&lt;2,2-QUOTIENT(G24+G25,2),"")</f>
        <v/>
      </c>
      <c r="H60" s="2" t="str">
        <v>L</v>
      </c>
      <c r="I60" s="2" t="str">
        <f>IF(QUOTIENT(I24+I25,2)&lt;2,2-QUOTIENT(I24+I25,2),"")</f>
        <v/>
      </c>
      <c r="J60" s="2" t="str">
        <v>L</v>
      </c>
      <c r="K60" s="2" t="str">
        <f>IF(QUOTIENT(K24+K25,2)&lt;2,2-QUOTIENT(K24+K25,2),"")</f>
        <v/>
      </c>
      <c r="L60" s="2" t="str">
        <v>L</v>
      </c>
      <c r="M60" s="2" t="str">
        <f>IF(QUOTIENT(M24+M25,2)&lt;2,2-QUOTIENT(M24+M25,2),"")</f>
        <v/>
      </c>
      <c r="N60" s="2" t="str">
        <v>L</v>
      </c>
      <c r="O60" s="2" t="str">
        <f>IF(QUOTIENT(O24+O25,2)&lt;2,2-QUOTIENT(O24+O25,2),"")</f>
        <v/>
      </c>
      <c r="P60" s="2" t="str">
        <v>L</v>
      </c>
      <c r="Q60" s="2" t="str">
        <f>IF(QUOTIENT(Q24+Q25,2)&lt;2,2-QUOTIENT(Q24+Q25,2),"")</f>
        <v/>
      </c>
      <c r="R60" s="2" t="str">
        <v>L</v>
      </c>
      <c r="S60" s="2" t="str">
        <f>IF(QUOTIENT(S24+S25,2)&lt;2,2-QUOTIENT(S24+S25,2),"")</f>
        <v/>
      </c>
      <c r="T60" s="2" t="str">
        <v>L</v>
      </c>
    </row>
    <row r="61">
      <c r="D61" s="2" t="str">
        <v>R</v>
      </c>
      <c r="F61" s="2" t="str">
        <v>R</v>
      </c>
      <c r="H61" s="2" t="str">
        <v>R</v>
      </c>
      <c r="J61" s="2" t="str">
        <v>R</v>
      </c>
      <c r="L61" s="2" t="str">
        <v>R</v>
      </c>
      <c r="N61" s="2" t="str">
        <v>R</v>
      </c>
      <c r="P61" s="2" t="str">
        <v>R</v>
      </c>
      <c r="R61" s="2" t="str">
        <v>R</v>
      </c>
      <c r="T61" s="2" t="str">
        <v>R</v>
      </c>
    </row>
    <row r="62">
      <c r="B62" s="2" t="str">
        <v>+2.50</v>
      </c>
      <c r="D62" s="2" t="str">
        <v>L</v>
      </c>
      <c r="E62" s="2" t="str">
        <f>IF(QUOTIENT(E26+E27,2)&lt;2,2-QUOTIENT(E26+E27,2),"")</f>
        <v/>
      </c>
      <c r="F62" s="2" t="str">
        <v>L</v>
      </c>
      <c r="G62" s="2" t="str">
        <f>IF(QUOTIENT(G26+G27,2)&lt;2,2-QUOTIENT(G26+G27,2),"")</f>
        <v/>
      </c>
      <c r="H62" s="2" t="str">
        <v>L</v>
      </c>
      <c r="I62" s="2" t="str">
        <f>IF(QUOTIENT(I26+I27,2)&lt;2,2-QUOTIENT(I26+I27,2),"")</f>
        <v/>
      </c>
      <c r="J62" s="2" t="str">
        <v>L</v>
      </c>
      <c r="K62" s="2" t="str">
        <f>IF(QUOTIENT(K26+K27,2)&lt;2,2-QUOTIENT(K26+K27,2),"")</f>
        <v/>
      </c>
      <c r="L62" s="2" t="str">
        <v>L</v>
      </c>
      <c r="M62" s="2" t="str">
        <f>IF(QUOTIENT(M26+M27,2)&lt;2,2-QUOTIENT(M26+M27,2),"")</f>
        <v/>
      </c>
      <c r="N62" s="2" t="str">
        <v>L</v>
      </c>
      <c r="O62" s="2" t="str">
        <f>IF(QUOTIENT(O26+O27,2)&lt;2,2-QUOTIENT(O26+O27,2),"")</f>
        <v/>
      </c>
      <c r="P62" s="2" t="str">
        <v>L</v>
      </c>
      <c r="Q62" s="2" t="str">
        <f>IF(QUOTIENT(Q26+Q27,2)&lt;2,2-QUOTIENT(Q26+Q27,2),"")</f>
        <v/>
      </c>
      <c r="R62" s="2" t="str">
        <v>L</v>
      </c>
      <c r="S62" s="2" t="str">
        <f>IF(QUOTIENT(S26+S27,2)&lt;2,2-QUOTIENT(S26+S27,2),"")</f>
        <v/>
      </c>
      <c r="T62" s="2" t="str">
        <v>L</v>
      </c>
    </row>
    <row r="63">
      <c r="D63" s="2" t="str">
        <v>R</v>
      </c>
      <c r="F63" s="2" t="str">
        <v>R</v>
      </c>
      <c r="H63" s="2" t="str">
        <v>R</v>
      </c>
      <c r="J63" s="2" t="str">
        <v>R</v>
      </c>
      <c r="L63" s="2" t="str">
        <v>R</v>
      </c>
      <c r="N63" s="2" t="str">
        <v>R</v>
      </c>
      <c r="P63" s="2" t="str">
        <v>R</v>
      </c>
      <c r="R63" s="2" t="str">
        <v>R</v>
      </c>
      <c r="T63" s="2" t="str">
        <v>R</v>
      </c>
    </row>
    <row r="64">
      <c r="B64" s="2" t="str">
        <v>+2.75</v>
      </c>
      <c r="D64" s="2" t="str">
        <v>L</v>
      </c>
      <c r="E64" s="2" t="str">
        <f>IF(QUOTIENT(E28+E29,2)&lt;2,2-QUOTIENT(E28+E29,2),"")</f>
        <v/>
      </c>
      <c r="F64" s="2" t="str">
        <v>L</v>
      </c>
      <c r="G64" s="2" t="str">
        <f>IF(QUOTIENT(G28+G29,2)&lt;2,2-QUOTIENT(G28+G29,2),"")</f>
        <v/>
      </c>
      <c r="H64" s="2" t="str">
        <v>L</v>
      </c>
      <c r="I64" s="2" t="str">
        <f>IF(QUOTIENT(I28+I29,2)&lt;2,2-QUOTIENT(I28+I29,2),"")</f>
        <v/>
      </c>
      <c r="J64" s="2" t="str">
        <v>L</v>
      </c>
      <c r="K64" s="2" t="str">
        <f>IF(QUOTIENT(K28+K29,2)&lt;2,2-QUOTIENT(K28+K29,2),"")</f>
        <v/>
      </c>
      <c r="L64" s="2" t="str">
        <v>L</v>
      </c>
      <c r="M64" s="2" t="str">
        <f>IF(QUOTIENT(M28+M29,2)&lt;2,2-QUOTIENT(M28+M29,2),"")</f>
        <v/>
      </c>
      <c r="N64" s="2" t="str">
        <v>L</v>
      </c>
      <c r="O64" s="2" t="str">
        <f>IF(QUOTIENT(O28+O29,2)&lt;2,2-QUOTIENT(O28+O29,2),"")</f>
        <v/>
      </c>
      <c r="P64" s="2" t="str">
        <v>L</v>
      </c>
      <c r="Q64" s="2" t="str">
        <f>IF(QUOTIENT(Q28+Q29,2)&lt;2,2-QUOTIENT(Q28+Q29,2),"")</f>
        <v/>
      </c>
      <c r="R64" s="2" t="str">
        <v>L</v>
      </c>
      <c r="S64" s="2" t="str">
        <f>IF(QUOTIENT(S28+S29,2)&lt;2,2-QUOTIENT(S28+S29,2),"")</f>
        <v/>
      </c>
      <c r="T64" s="2" t="str">
        <v>L</v>
      </c>
    </row>
    <row r="65">
      <c r="D65" s="2" t="str">
        <v>R</v>
      </c>
      <c r="F65" s="2" t="str">
        <v>R</v>
      </c>
      <c r="H65" s="2" t="str">
        <v>R</v>
      </c>
      <c r="J65" s="2" t="str">
        <v>R</v>
      </c>
      <c r="L65" s="2" t="str">
        <v>R</v>
      </c>
      <c r="N65" s="2" t="str">
        <v>R</v>
      </c>
      <c r="P65" s="2" t="str">
        <v>R</v>
      </c>
      <c r="R65" s="2" t="str">
        <v>R</v>
      </c>
      <c r="T65" s="2" t="str">
        <v>R</v>
      </c>
    </row>
    <row r="66">
      <c r="B66" s="2" t="str">
        <v>+3.00</v>
      </c>
      <c r="D66" s="2" t="str">
        <v>L</v>
      </c>
      <c r="E66" s="2" t="str">
        <f>IF(QUOTIENT(E30+E31,2)&lt;2,2-QUOTIENT(E30+E31,2),"")</f>
        <v/>
      </c>
      <c r="F66" s="2" t="str">
        <v>L</v>
      </c>
      <c r="G66" s="2" t="str">
        <f>IF(QUOTIENT(G30+G31,2)&lt;2,2-QUOTIENT(G30+G31,2),"")</f>
        <v/>
      </c>
      <c r="H66" s="2" t="str">
        <v>L</v>
      </c>
      <c r="I66" s="2" t="str">
        <f>IF(QUOTIENT(I30+I31,2)&lt;2,2-QUOTIENT(I30+I31,2),"")</f>
        <v/>
      </c>
      <c r="J66" s="2" t="str">
        <v>L</v>
      </c>
      <c r="K66" s="2" t="str">
        <f>IF(QUOTIENT(K30+K31,2)&lt;2,2-QUOTIENT(K30+K31,2),"")</f>
        <v/>
      </c>
      <c r="L66" s="2" t="str">
        <v>L</v>
      </c>
      <c r="M66" s="2" t="str">
        <f>IF(QUOTIENT(M30+M31,2)&lt;2,2-QUOTIENT(M30+M31,2),"")</f>
        <v/>
      </c>
      <c r="N66" s="2" t="str">
        <v>L</v>
      </c>
      <c r="O66" s="2" t="str">
        <f>IF(QUOTIENT(O30+O31,2)&lt;2,2-QUOTIENT(O30+O31,2),"")</f>
        <v/>
      </c>
      <c r="P66" s="2" t="str">
        <v>L</v>
      </c>
      <c r="Q66" s="2" t="str">
        <f>IF(QUOTIENT(Q30+Q31,2)&lt;2,2-QUOTIENT(Q30+Q31,2),"")</f>
        <v/>
      </c>
      <c r="R66" s="2" t="str">
        <v>L</v>
      </c>
      <c r="S66" s="2" t="str">
        <f>IF(QUOTIENT(S30+S31,2)&lt;2,2-QUOTIENT(S30+S31,2),"")</f>
        <v/>
      </c>
      <c r="T66" s="2" t="str">
        <v>L</v>
      </c>
    </row>
    <row r="67">
      <c r="D67" s="2" t="str">
        <v>R</v>
      </c>
      <c r="F67" s="2" t="str">
        <v>R</v>
      </c>
      <c r="H67" s="2" t="str">
        <v>R</v>
      </c>
      <c r="J67" s="2" t="str">
        <v>R</v>
      </c>
      <c r="L67" s="2" t="str">
        <v>R</v>
      </c>
      <c r="N67" s="2" t="str">
        <v>R</v>
      </c>
      <c r="P67" s="2" t="str">
        <v>R</v>
      </c>
      <c r="R67" s="2" t="str">
        <v>R</v>
      </c>
      <c r="T67" s="2" t="str">
        <v>R</v>
      </c>
    </row>
  </sheetData>
  <mergeCells count="279">
    <mergeCell ref="B38:T38"/>
    <mergeCell ref="Q66:Q67"/>
    <mergeCell ref="S66:S67"/>
    <mergeCell ref="C64:C65"/>
    <mergeCell ref="C62:C63"/>
    <mergeCell ref="C66:C67"/>
    <mergeCell ref="E66:E67"/>
    <mergeCell ref="G66:G67"/>
    <mergeCell ref="I66:I67"/>
    <mergeCell ref="K66:K67"/>
    <mergeCell ref="M66:M67"/>
    <mergeCell ref="O66:O67"/>
    <mergeCell ref="E62:E63"/>
    <mergeCell ref="G62:G63"/>
    <mergeCell ref="I62:I63"/>
    <mergeCell ref="K62:K63"/>
    <mergeCell ref="M62:M63"/>
    <mergeCell ref="O62:O63"/>
    <mergeCell ref="Q62:Q63"/>
    <mergeCell ref="S62:S63"/>
    <mergeCell ref="S64:S65"/>
    <mergeCell ref="M64:M65"/>
    <mergeCell ref="K64:K65"/>
    <mergeCell ref="M52:M53"/>
    <mergeCell ref="O52:O53"/>
    <mergeCell ref="Q52:Q53"/>
    <mergeCell ref="S52:S53"/>
    <mergeCell ref="C54:C55"/>
    <mergeCell ref="E54:E55"/>
    <mergeCell ref="G54:G55"/>
    <mergeCell ref="I54:I55"/>
    <mergeCell ref="K54:K55"/>
    <mergeCell ref="M54:M55"/>
    <mergeCell ref="O54:O55"/>
    <mergeCell ref="Q54:Q55"/>
    <mergeCell ref="S54:S55"/>
    <mergeCell ref="C52:C53"/>
    <mergeCell ref="E52:E53"/>
    <mergeCell ref="G52:G53"/>
    <mergeCell ref="I52:I53"/>
    <mergeCell ref="K52:K53"/>
    <mergeCell ref="S46:S47"/>
    <mergeCell ref="C50:C51"/>
    <mergeCell ref="E50:E51"/>
    <mergeCell ref="G50:G51"/>
    <mergeCell ref="I50:I51"/>
    <mergeCell ref="K50:K51"/>
    <mergeCell ref="M50:M51"/>
    <mergeCell ref="O50:O51"/>
    <mergeCell ref="Q50:Q51"/>
    <mergeCell ref="S50:S51"/>
    <mergeCell ref="I48:I49"/>
    <mergeCell ref="K48:K49"/>
    <mergeCell ref="M48:M49"/>
    <mergeCell ref="O48:O49"/>
    <mergeCell ref="I46:I47"/>
    <mergeCell ref="K46:K47"/>
    <mergeCell ref="M46:M47"/>
    <mergeCell ref="O46:O47"/>
    <mergeCell ref="C46:C47"/>
    <mergeCell ref="E46:E47"/>
    <mergeCell ref="G46:G47"/>
    <mergeCell ref="C48:C49"/>
    <mergeCell ref="E48:E49"/>
    <mergeCell ref="G48:G49"/>
    <mergeCell ref="O42:O43"/>
    <mergeCell ref="Q42:Q43"/>
    <mergeCell ref="S42:S43"/>
    <mergeCell ref="C44:C45"/>
    <mergeCell ref="E44:E45"/>
    <mergeCell ref="G44:G45"/>
    <mergeCell ref="I44:I45"/>
    <mergeCell ref="K44:K45"/>
    <mergeCell ref="M44:M45"/>
    <mergeCell ref="O44:O45"/>
    <mergeCell ref="Q44:Q45"/>
    <mergeCell ref="S44:S45"/>
    <mergeCell ref="C42:C43"/>
    <mergeCell ref="E42:E43"/>
    <mergeCell ref="G42:G43"/>
    <mergeCell ref="I42:I43"/>
    <mergeCell ref="K42:K43"/>
    <mergeCell ref="Q48:Q49"/>
    <mergeCell ref="S48:S49"/>
    <mergeCell ref="Q5:R5"/>
    <mergeCell ref="S5:T5"/>
    <mergeCell ref="X5:Y5"/>
    <mergeCell ref="Z5:AA5"/>
    <mergeCell ref="C1:AF1"/>
    <mergeCell ref="C3:T3"/>
    <mergeCell ref="X3:AO3"/>
    <mergeCell ref="C4:T4"/>
    <mergeCell ref="X4:AO4"/>
    <mergeCell ref="AN5:AO5"/>
    <mergeCell ref="AB5:AC5"/>
    <mergeCell ref="AD5:AE5"/>
    <mergeCell ref="AF5:AG5"/>
    <mergeCell ref="AH5:AI5"/>
    <mergeCell ref="AJ5:AK5"/>
    <mergeCell ref="AL5:AM5"/>
    <mergeCell ref="M5:N5"/>
    <mergeCell ref="C5:D5"/>
    <mergeCell ref="E5:F5"/>
    <mergeCell ref="G5:H5"/>
    <mergeCell ref="I5:J5"/>
    <mergeCell ref="M42:M43"/>
    <mergeCell ref="K5:L5"/>
    <mergeCell ref="O5:P5"/>
    <mergeCell ref="A6:A30"/>
    <mergeCell ref="B6:B7"/>
    <mergeCell ref="V6:V30"/>
    <mergeCell ref="W6:W7"/>
    <mergeCell ref="B8:B9"/>
    <mergeCell ref="W8:W9"/>
    <mergeCell ref="B10:B11"/>
    <mergeCell ref="W10:W11"/>
    <mergeCell ref="B12:B13"/>
    <mergeCell ref="W12:W13"/>
    <mergeCell ref="B14:B15"/>
    <mergeCell ref="B28:B29"/>
    <mergeCell ref="W28:W29"/>
    <mergeCell ref="B30:B31"/>
    <mergeCell ref="B22:B23"/>
    <mergeCell ref="W22:W23"/>
    <mergeCell ref="B26:B27"/>
    <mergeCell ref="W26:W27"/>
    <mergeCell ref="B18:B19"/>
    <mergeCell ref="W18:W19"/>
    <mergeCell ref="W14:W15"/>
    <mergeCell ref="B16:B17"/>
    <mergeCell ref="W16:W17"/>
    <mergeCell ref="B20:B21"/>
    <mergeCell ref="W20:W21"/>
    <mergeCell ref="B24:B25"/>
    <mergeCell ref="W24:W25"/>
    <mergeCell ref="S41:T41"/>
    <mergeCell ref="X41:Y41"/>
    <mergeCell ref="C41:D41"/>
    <mergeCell ref="E41:F41"/>
    <mergeCell ref="G41:H41"/>
    <mergeCell ref="I41:J41"/>
    <mergeCell ref="K41:L41"/>
    <mergeCell ref="M41:N41"/>
    <mergeCell ref="O41:P41"/>
    <mergeCell ref="Q41:R41"/>
    <mergeCell ref="C37:AF37"/>
    <mergeCell ref="C39:T39"/>
    <mergeCell ref="X39:AO39"/>
    <mergeCell ref="C40:T40"/>
    <mergeCell ref="X40:AO40"/>
    <mergeCell ref="AJ41:AK41"/>
    <mergeCell ref="AL41:AM41"/>
    <mergeCell ref="AN41:AO41"/>
    <mergeCell ref="Z41:AA41"/>
    <mergeCell ref="AB41:AC41"/>
    <mergeCell ref="AD41:AE41"/>
    <mergeCell ref="AF41:AG41"/>
    <mergeCell ref="AH41:AI41"/>
    <mergeCell ref="A42:A66"/>
    <mergeCell ref="B42:B43"/>
    <mergeCell ref="V42:V66"/>
    <mergeCell ref="W42:W43"/>
    <mergeCell ref="B44:B45"/>
    <mergeCell ref="W44:W45"/>
    <mergeCell ref="B46:B47"/>
    <mergeCell ref="W46:W47"/>
    <mergeCell ref="B48:B49"/>
    <mergeCell ref="W48:W49"/>
    <mergeCell ref="B50:B51"/>
    <mergeCell ref="W50:W51"/>
    <mergeCell ref="B52:B53"/>
    <mergeCell ref="W52:W53"/>
    <mergeCell ref="B54:B55"/>
    <mergeCell ref="W54:W55"/>
    <mergeCell ref="B56:B57"/>
    <mergeCell ref="W56:W57"/>
    <mergeCell ref="B64:B65"/>
    <mergeCell ref="Q46:Q47"/>
    <mergeCell ref="E64:E65"/>
    <mergeCell ref="O60:O61"/>
    <mergeCell ref="Q60:Q61"/>
    <mergeCell ref="S60:S61"/>
    <mergeCell ref="C60:C61"/>
    <mergeCell ref="Q64:Q65"/>
    <mergeCell ref="O64:O65"/>
    <mergeCell ref="K56:K57"/>
    <mergeCell ref="M56:M57"/>
    <mergeCell ref="O56:O57"/>
    <mergeCell ref="Q56:Q57"/>
    <mergeCell ref="S56:S57"/>
    <mergeCell ref="S58:S59"/>
    <mergeCell ref="M60:M61"/>
    <mergeCell ref="I60:I61"/>
    <mergeCell ref="K60:K61"/>
    <mergeCell ref="C56:C57"/>
    <mergeCell ref="E56:E57"/>
    <mergeCell ref="E60:E61"/>
    <mergeCell ref="G60:G61"/>
    <mergeCell ref="Z42:Z43"/>
    <mergeCell ref="AB42:AB43"/>
    <mergeCell ref="AD42:AD43"/>
    <mergeCell ref="AF42:AF43"/>
    <mergeCell ref="AH42:AH43"/>
    <mergeCell ref="AJ42:AJ43"/>
    <mergeCell ref="AL42:AL43"/>
    <mergeCell ref="AN42:AN43"/>
    <mergeCell ref="B66:B67"/>
    <mergeCell ref="B58:B59"/>
    <mergeCell ref="B60:B61"/>
    <mergeCell ref="B62:B63"/>
    <mergeCell ref="C58:C59"/>
    <mergeCell ref="E58:E59"/>
    <mergeCell ref="G58:G59"/>
    <mergeCell ref="I58:I59"/>
    <mergeCell ref="K58:K59"/>
    <mergeCell ref="M58:M59"/>
    <mergeCell ref="O58:O59"/>
    <mergeCell ref="Q58:Q59"/>
    <mergeCell ref="I64:I65"/>
    <mergeCell ref="G56:G57"/>
    <mergeCell ref="I56:I57"/>
    <mergeCell ref="G64:G65"/>
    <mergeCell ref="W38:AO38"/>
    <mergeCell ref="Z44:Z45"/>
    <mergeCell ref="Z46:Z47"/>
    <mergeCell ref="Z48:Z49"/>
    <mergeCell ref="Z50:Z51"/>
    <mergeCell ref="Z52:Z53"/>
    <mergeCell ref="Z54:Z55"/>
    <mergeCell ref="Z56:Z57"/>
    <mergeCell ref="AB44:AB45"/>
    <mergeCell ref="AB46:AB47"/>
    <mergeCell ref="AB48:AB49"/>
    <mergeCell ref="AB50:AB51"/>
    <mergeCell ref="AB52:AB53"/>
    <mergeCell ref="AB54:AB55"/>
    <mergeCell ref="AB56:AB57"/>
    <mergeCell ref="AD44:AD45"/>
    <mergeCell ref="AD46:AD47"/>
    <mergeCell ref="AD48:AD49"/>
    <mergeCell ref="AD50:AD51"/>
    <mergeCell ref="AD52:AD53"/>
    <mergeCell ref="AD54:AD55"/>
    <mergeCell ref="AD56:AD57"/>
    <mergeCell ref="AF44:AF45"/>
    <mergeCell ref="AF46:AF47"/>
    <mergeCell ref="AF48:AF49"/>
    <mergeCell ref="AF50:AF51"/>
    <mergeCell ref="AF52:AF53"/>
    <mergeCell ref="AF54:AF55"/>
    <mergeCell ref="AF56:AF57"/>
    <mergeCell ref="AH44:AH45"/>
    <mergeCell ref="AH46:AH47"/>
    <mergeCell ref="AH48:AH49"/>
    <mergeCell ref="AH50:AH51"/>
    <mergeCell ref="AH52:AH53"/>
    <mergeCell ref="AH54:AH55"/>
    <mergeCell ref="AH56:AH57"/>
    <mergeCell ref="AN44:AN45"/>
    <mergeCell ref="AN46:AN47"/>
    <mergeCell ref="AN48:AN49"/>
    <mergeCell ref="AN50:AN51"/>
    <mergeCell ref="AN52:AN53"/>
    <mergeCell ref="AN54:AN55"/>
    <mergeCell ref="AN56:AN57"/>
    <mergeCell ref="AJ44:AJ45"/>
    <mergeCell ref="AJ46:AJ47"/>
    <mergeCell ref="AJ48:AJ49"/>
    <mergeCell ref="AJ50:AJ51"/>
    <mergeCell ref="AJ52:AJ53"/>
    <mergeCell ref="AJ54:AJ55"/>
    <mergeCell ref="AJ56:AJ57"/>
    <mergeCell ref="AL44:AL45"/>
    <mergeCell ref="AL46:AL47"/>
    <mergeCell ref="AL48:AL49"/>
    <mergeCell ref="AL50:AL51"/>
    <mergeCell ref="AL52:AL53"/>
    <mergeCell ref="AL54:AL55"/>
    <mergeCell ref="AL56:AL57"/>
  </mergeCells>
  <pageMargins left="0.7" right="0.7" top="0.75" bottom="0.75" header="0.3" footer="0.3"/>
  <ignoredErrors>
    <ignoredError numberStoredAsText="1" sqref="A1:AO6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Q67"/>
  <sheetViews>
    <sheetView workbookViewId="0" rightToLeft="0"/>
  </sheetViews>
  <sheetData>
    <row r="1">
      <c r="C1" s="2" t="str">
        <v>PROGRESIVO REVOLUTION AR</v>
      </c>
    </row>
    <row r="3">
      <c r="C3" s="2" t="str">
        <v>ADICION</v>
      </c>
      <c r="X3" s="2" t="str">
        <v>ADICION</v>
      </c>
    </row>
    <row r="5">
      <c r="A5" s="2" t="str">
        <v>(+)</v>
      </c>
      <c r="C5" s="2" t="str">
        <v>1.00</v>
      </c>
      <c r="E5" s="2" t="str">
        <v>1.25</v>
      </c>
      <c r="G5" s="2" t="str">
        <v>1.50</v>
      </c>
      <c r="I5" s="2" t="str">
        <v>1.75</v>
      </c>
      <c r="K5" s="2" t="str">
        <v>2.00</v>
      </c>
      <c r="M5" s="2" t="str">
        <v>2.25</v>
      </c>
      <c r="O5" s="2" t="str">
        <v>2.50</v>
      </c>
      <c r="Q5" s="2" t="str">
        <v>2.75</v>
      </c>
      <c r="S5" s="2" t="str">
        <v>3.00</v>
      </c>
      <c r="V5" s="2" t="str">
        <v>(-)</v>
      </c>
      <c r="X5" s="2" t="str">
        <v>1.00</v>
      </c>
      <c r="Z5" s="2" t="str">
        <v>1.25</v>
      </c>
      <c r="AB5" s="2" t="str">
        <v>1.50</v>
      </c>
      <c r="AD5" s="2" t="str">
        <v>1.75</v>
      </c>
      <c r="AF5" s="2" t="str">
        <v>2.00</v>
      </c>
      <c r="AH5" s="2" t="str">
        <v>2.25</v>
      </c>
      <c r="AJ5" s="2" t="str">
        <v>+2.50</v>
      </c>
      <c r="AL5" s="2" t="str">
        <v>+2.75</v>
      </c>
      <c r="AN5" s="2" t="str">
        <v>+3.00</v>
      </c>
    </row>
    <row r="6">
      <c r="A6" s="2" t="str">
        <v>ESFERA</v>
      </c>
      <c r="B6" s="2" t="str">
        <v>0.00</v>
      </c>
      <c r="D6" s="2" t="str">
        <v>L</v>
      </c>
      <c r="F6" s="2" t="str">
        <v>L</v>
      </c>
      <c r="G6" s="2">
        <v>1</v>
      </c>
      <c r="H6" s="2" t="str">
        <v>L</v>
      </c>
      <c r="I6" s="2">
        <v>3</v>
      </c>
      <c r="J6" s="2" t="str">
        <v>L</v>
      </c>
      <c r="K6" s="2">
        <v>4</v>
      </c>
      <c r="L6" s="2" t="str">
        <v>L</v>
      </c>
      <c r="M6" s="2">
        <v>3</v>
      </c>
      <c r="N6" s="2" t="str">
        <v>L</v>
      </c>
      <c r="O6" s="2">
        <v>3</v>
      </c>
      <c r="P6" s="2" t="str">
        <v>L</v>
      </c>
      <c r="Q6" s="2">
        <v>4</v>
      </c>
      <c r="R6" s="2" t="str">
        <v>L</v>
      </c>
      <c r="S6" s="2">
        <v>3</v>
      </c>
      <c r="T6" s="2" t="str">
        <v>L</v>
      </c>
      <c r="V6" s="2" t="str">
        <v>ESFERA</v>
      </c>
      <c r="W6" s="2" t="str">
        <v>-0.25</v>
      </c>
      <c r="Y6" s="2" t="str">
        <v>L</v>
      </c>
      <c r="AA6" s="2" t="str">
        <v>L</v>
      </c>
      <c r="AC6" s="2" t="str">
        <v>L</v>
      </c>
      <c r="AE6" s="2" t="str">
        <v>L</v>
      </c>
      <c r="AG6" s="2" t="str">
        <v>L</v>
      </c>
      <c r="AI6" s="2" t="str">
        <v>L</v>
      </c>
      <c r="AK6" s="2" t="str">
        <v>L</v>
      </c>
      <c r="AM6" s="2" t="str">
        <v>L</v>
      </c>
      <c r="AO6" s="2" t="str">
        <v>L</v>
      </c>
    </row>
    <row r="7">
      <c r="D7" s="2" t="str">
        <v>R</v>
      </c>
      <c r="E7" s="2">
        <v>1</v>
      </c>
      <c r="F7" s="2" t="str">
        <v>R</v>
      </c>
      <c r="G7" s="2">
        <v>1</v>
      </c>
      <c r="H7" s="2" t="str">
        <v>R</v>
      </c>
      <c r="I7" s="2">
        <v>2</v>
      </c>
      <c r="J7" s="2" t="str">
        <v>R</v>
      </c>
      <c r="K7" s="2">
        <v>3</v>
      </c>
      <c r="L7" s="2" t="str">
        <v>R</v>
      </c>
      <c r="M7" s="2">
        <v>3</v>
      </c>
      <c r="N7" s="2" t="str">
        <v>R</v>
      </c>
      <c r="O7" s="2">
        <v>2</v>
      </c>
      <c r="P7" s="2" t="str">
        <v>R</v>
      </c>
      <c r="Q7" s="2">
        <v>4</v>
      </c>
      <c r="R7" s="2">
        <v>0</v>
      </c>
      <c r="S7" s="2">
        <v>3</v>
      </c>
      <c r="T7" s="2" t="str">
        <v>R</v>
      </c>
      <c r="Y7" s="2" t="str">
        <v>R</v>
      </c>
      <c r="AA7" s="2" t="str">
        <v>R</v>
      </c>
      <c r="AC7" s="2" t="str">
        <v>R</v>
      </c>
      <c r="AE7" s="2" t="str">
        <v>R</v>
      </c>
      <c r="AG7" s="2" t="str">
        <v>R</v>
      </c>
      <c r="AI7" s="2" t="str">
        <v>R</v>
      </c>
      <c r="AK7" s="2" t="str">
        <v>R</v>
      </c>
      <c r="AM7" s="2" t="str">
        <v>R</v>
      </c>
      <c r="AO7" s="2" t="str">
        <v>R</v>
      </c>
    </row>
    <row r="8">
      <c r="B8" s="2" t="str">
        <v>+0.25</v>
      </c>
      <c r="D8" s="2" t="str">
        <v>L</v>
      </c>
      <c r="E8" s="2">
        <v>2</v>
      </c>
      <c r="F8" s="2" t="str">
        <v>L</v>
      </c>
      <c r="G8" s="2">
        <v>1</v>
      </c>
      <c r="H8" s="2" t="str">
        <v>L</v>
      </c>
      <c r="J8" s="2" t="str">
        <v>L</v>
      </c>
      <c r="L8" s="2" t="str">
        <v>L</v>
      </c>
      <c r="M8" s="2">
        <v>1</v>
      </c>
      <c r="N8" s="2" t="str">
        <v>L</v>
      </c>
      <c r="O8" s="2">
        <v>2</v>
      </c>
      <c r="P8" s="2" t="str">
        <v>L</v>
      </c>
      <c r="Q8" s="2">
        <v>2</v>
      </c>
      <c r="R8" s="2" t="str">
        <v>L</v>
      </c>
      <c r="S8" s="2">
        <v>3</v>
      </c>
      <c r="T8" s="2" t="str">
        <v>L</v>
      </c>
      <c r="W8" s="2" t="str">
        <v>-0.50</v>
      </c>
      <c r="Y8" s="2" t="str">
        <v>L</v>
      </c>
      <c r="AA8" s="2" t="str">
        <v>L</v>
      </c>
      <c r="AC8" s="2" t="str">
        <v>L</v>
      </c>
      <c r="AE8" s="2" t="str">
        <v>L</v>
      </c>
      <c r="AG8" s="2" t="str">
        <v>L</v>
      </c>
      <c r="AI8" s="2" t="str">
        <v>L</v>
      </c>
      <c r="AK8" s="2" t="str">
        <v>L</v>
      </c>
      <c r="AM8" s="2" t="str">
        <v>L</v>
      </c>
      <c r="AO8" s="2" t="str">
        <v>L</v>
      </c>
    </row>
    <row r="9">
      <c r="D9" s="2" t="str">
        <v>R</v>
      </c>
      <c r="E9" s="2">
        <v>2</v>
      </c>
      <c r="F9" s="2" t="str">
        <v>R</v>
      </c>
      <c r="G9" s="2">
        <v>2</v>
      </c>
      <c r="H9" s="2" t="str">
        <v>R</v>
      </c>
      <c r="I9" s="2">
        <v>2</v>
      </c>
      <c r="J9" s="2" t="str">
        <v>R</v>
      </c>
      <c r="L9" s="2" t="str">
        <v>R</v>
      </c>
      <c r="M9" s="2">
        <v>1</v>
      </c>
      <c r="N9" s="2" t="str">
        <v>R</v>
      </c>
      <c r="O9" s="2">
        <v>3</v>
      </c>
      <c r="P9" s="2" t="str">
        <v>R</v>
      </c>
      <c r="Q9" s="2">
        <v>2</v>
      </c>
      <c r="R9" s="2" t="str">
        <v>R</v>
      </c>
      <c r="S9" s="2">
        <v>2</v>
      </c>
      <c r="T9" s="2" t="str">
        <v>R</v>
      </c>
      <c r="Y9" s="2" t="str">
        <v>R</v>
      </c>
      <c r="AA9" s="2" t="str">
        <v>R</v>
      </c>
      <c r="AC9" s="2" t="str">
        <v>R</v>
      </c>
      <c r="AE9" s="2" t="str">
        <v>R</v>
      </c>
      <c r="AG9" s="2" t="str">
        <v>R</v>
      </c>
      <c r="AI9" s="2" t="str">
        <v>R</v>
      </c>
      <c r="AK9" s="2" t="str">
        <v>R</v>
      </c>
      <c r="AM9" s="2" t="str">
        <v>R</v>
      </c>
      <c r="AO9" s="2" t="str">
        <v>R</v>
      </c>
    </row>
    <row r="10">
      <c r="B10" s="2" t="str">
        <v>+0.50</v>
      </c>
      <c r="D10" s="2" t="str">
        <v>L</v>
      </c>
      <c r="E10" s="2">
        <v>2</v>
      </c>
      <c r="F10" s="2" t="str">
        <v>L</v>
      </c>
      <c r="G10" s="2">
        <v>3</v>
      </c>
      <c r="H10" s="2" t="str">
        <v>L</v>
      </c>
      <c r="J10" s="2" t="str">
        <v>L</v>
      </c>
      <c r="L10" s="2" t="str">
        <v>L</v>
      </c>
      <c r="M10" s="2">
        <v>1</v>
      </c>
      <c r="N10" s="2" t="str">
        <v>L</v>
      </c>
      <c r="O10" s="2">
        <v>3</v>
      </c>
      <c r="P10" s="2" t="str">
        <v>L</v>
      </c>
      <c r="Q10" s="2">
        <v>2</v>
      </c>
      <c r="R10" s="2" t="str">
        <v>L</v>
      </c>
      <c r="S10" s="2">
        <v>3</v>
      </c>
      <c r="T10" s="2" t="str">
        <v>L</v>
      </c>
      <c r="W10" s="2" t="str">
        <v>-0.75</v>
      </c>
      <c r="Y10" s="2" t="str">
        <v>L</v>
      </c>
      <c r="AA10" s="2" t="str">
        <v>L</v>
      </c>
      <c r="AC10" s="2" t="str">
        <v>L</v>
      </c>
      <c r="AE10" s="2" t="str">
        <v>L</v>
      </c>
      <c r="AG10" s="2" t="str">
        <v>L</v>
      </c>
      <c r="AI10" s="2" t="str">
        <v>L</v>
      </c>
      <c r="AK10" s="2" t="str">
        <v>L</v>
      </c>
      <c r="AM10" s="2" t="str">
        <v>L</v>
      </c>
      <c r="AO10" s="2" t="str">
        <v>L</v>
      </c>
    </row>
    <row r="11">
      <c r="D11" s="2" t="str">
        <v>R</v>
      </c>
      <c r="E11" s="2">
        <v>2</v>
      </c>
      <c r="F11" s="2" t="str">
        <v>R</v>
      </c>
      <c r="H11" s="2" t="str">
        <v>R</v>
      </c>
      <c r="I11" s="2">
        <v>2</v>
      </c>
      <c r="J11" s="2" t="str">
        <v>R</v>
      </c>
      <c r="L11" s="2" t="str">
        <v>R</v>
      </c>
      <c r="N11" s="2" t="str">
        <v>R</v>
      </c>
      <c r="O11" s="2">
        <v>2</v>
      </c>
      <c r="P11" s="2" t="str">
        <v>R</v>
      </c>
      <c r="Q11" s="2">
        <v>2</v>
      </c>
      <c r="R11" s="2" t="str">
        <v>R</v>
      </c>
      <c r="S11" s="2">
        <v>2</v>
      </c>
      <c r="T11" s="2" t="str">
        <v>R</v>
      </c>
      <c r="Y11" s="2" t="str">
        <v>R</v>
      </c>
      <c r="AA11" s="2" t="str">
        <v>R</v>
      </c>
      <c r="AC11" s="2" t="str">
        <v>R</v>
      </c>
      <c r="AE11" s="2" t="str">
        <v>R</v>
      </c>
      <c r="AG11" s="2" t="str">
        <v>R</v>
      </c>
      <c r="AI11" s="2" t="str">
        <v>R</v>
      </c>
      <c r="AK11" s="2" t="str">
        <v>R</v>
      </c>
      <c r="AM11" s="2" t="str">
        <v>R</v>
      </c>
      <c r="AO11" s="2" t="str">
        <v>R</v>
      </c>
    </row>
    <row r="12">
      <c r="B12" s="2" t="str">
        <v>+0.75</v>
      </c>
      <c r="D12" s="2" t="str">
        <v>L</v>
      </c>
      <c r="E12" s="2">
        <v>2</v>
      </c>
      <c r="F12" s="2" t="str">
        <v>L</v>
      </c>
      <c r="G12" s="2">
        <v>2</v>
      </c>
      <c r="H12" s="2" t="str">
        <v>L</v>
      </c>
      <c r="I12" s="2">
        <v>2</v>
      </c>
      <c r="J12" s="2" t="str">
        <v>L</v>
      </c>
      <c r="K12" s="2">
        <v>1</v>
      </c>
      <c r="L12" s="2" t="str">
        <v>L</v>
      </c>
      <c r="M12" s="2">
        <v>2</v>
      </c>
      <c r="N12" s="2" t="str">
        <v>L</v>
      </c>
      <c r="O12" s="2">
        <v>2</v>
      </c>
      <c r="P12" s="2" t="str">
        <v>L</v>
      </c>
      <c r="Q12" s="2">
        <v>3</v>
      </c>
      <c r="R12" s="2" t="str">
        <v>L</v>
      </c>
      <c r="S12" s="2">
        <v>3</v>
      </c>
      <c r="T12" s="2" t="str">
        <v>L</v>
      </c>
      <c r="W12" s="2" t="str">
        <v>-1.00</v>
      </c>
      <c r="Y12" s="2" t="str">
        <v>L</v>
      </c>
      <c r="AA12" s="2" t="str">
        <v>L</v>
      </c>
      <c r="AC12" s="2" t="str">
        <v>L</v>
      </c>
      <c r="AE12" s="2" t="str">
        <v>L</v>
      </c>
      <c r="AG12" s="2" t="str">
        <v>L</v>
      </c>
      <c r="AI12" s="2" t="str">
        <v>L</v>
      </c>
      <c r="AK12" s="2" t="str">
        <v>L</v>
      </c>
      <c r="AM12" s="2" t="str">
        <v>L</v>
      </c>
      <c r="AO12" s="2" t="str">
        <v>L</v>
      </c>
    </row>
    <row r="13">
      <c r="D13" s="2" t="str">
        <v>R</v>
      </c>
      <c r="E13" s="2">
        <v>2</v>
      </c>
      <c r="F13" s="2" t="str">
        <v>R</v>
      </c>
      <c r="G13" s="2">
        <v>3</v>
      </c>
      <c r="H13" s="2" t="str">
        <v>R</v>
      </c>
      <c r="J13" s="2" t="str">
        <v>R</v>
      </c>
      <c r="L13" s="2" t="str">
        <v>R</v>
      </c>
      <c r="N13" s="2" t="str">
        <v>R</v>
      </c>
      <c r="O13" s="2">
        <v>2</v>
      </c>
      <c r="P13" s="2" t="str">
        <v>R</v>
      </c>
      <c r="Q13" s="2">
        <v>2</v>
      </c>
      <c r="R13" s="2" t="str">
        <v>R</v>
      </c>
      <c r="S13" s="2">
        <v>3</v>
      </c>
      <c r="T13" s="2" t="str">
        <v>R</v>
      </c>
      <c r="Y13" s="2" t="str">
        <v>R</v>
      </c>
      <c r="AA13" s="2" t="str">
        <v>R</v>
      </c>
      <c r="AC13" s="2" t="str">
        <v>R</v>
      </c>
      <c r="AE13" s="2" t="str">
        <v>R</v>
      </c>
      <c r="AG13" s="2" t="str">
        <v>R</v>
      </c>
      <c r="AI13" s="2" t="str">
        <v>R</v>
      </c>
      <c r="AK13" s="2" t="str">
        <v>R</v>
      </c>
      <c r="AM13" s="2" t="str">
        <v>R</v>
      </c>
      <c r="AO13" s="2" t="str">
        <v>R</v>
      </c>
    </row>
    <row r="14">
      <c r="B14" s="2" t="str">
        <v>+1.00</v>
      </c>
      <c r="D14" s="2" t="str">
        <v>L</v>
      </c>
      <c r="E14" s="2">
        <v>2</v>
      </c>
      <c r="F14" s="2" t="str">
        <v>L</v>
      </c>
      <c r="H14" s="2" t="str">
        <v>L</v>
      </c>
      <c r="I14" s="2">
        <v>1</v>
      </c>
      <c r="J14" s="2" t="str">
        <v>L</v>
      </c>
      <c r="L14" s="2" t="str">
        <v>L</v>
      </c>
      <c r="M14" s="2">
        <v>3</v>
      </c>
      <c r="N14" s="2" t="str">
        <v>L</v>
      </c>
      <c r="O14" s="2">
        <v>2</v>
      </c>
      <c r="P14" s="2" t="str">
        <v>L</v>
      </c>
      <c r="Q14" s="2">
        <v>2</v>
      </c>
      <c r="R14" s="2" t="str">
        <v>L</v>
      </c>
      <c r="S14" s="2">
        <v>2</v>
      </c>
      <c r="T14" s="2" t="str">
        <v>L</v>
      </c>
      <c r="W14" s="2" t="str">
        <v>-1.25</v>
      </c>
      <c r="Y14" s="2" t="str">
        <v>L</v>
      </c>
      <c r="AA14" s="2" t="str">
        <v>L</v>
      </c>
      <c r="AC14" s="2" t="str">
        <v>L</v>
      </c>
      <c r="AE14" s="2" t="str">
        <v>L</v>
      </c>
      <c r="AG14" s="2" t="str">
        <v>L</v>
      </c>
      <c r="AI14" s="2" t="str">
        <v>L</v>
      </c>
      <c r="AK14" s="2" t="str">
        <v>L</v>
      </c>
      <c r="AM14" s="2" t="str">
        <v>L</v>
      </c>
      <c r="AO14" s="2" t="str">
        <v>L</v>
      </c>
    </row>
    <row r="15">
      <c r="D15" s="2" t="str">
        <v>R</v>
      </c>
      <c r="E15" s="2">
        <v>2</v>
      </c>
      <c r="F15" s="2" t="str">
        <v>R</v>
      </c>
      <c r="H15" s="2" t="str">
        <v>R</v>
      </c>
      <c r="I15" s="2">
        <v>1</v>
      </c>
      <c r="J15" s="2" t="str">
        <v>R</v>
      </c>
      <c r="L15" s="2" t="str">
        <v>R</v>
      </c>
      <c r="M15" s="2">
        <v>3</v>
      </c>
      <c r="N15" s="2" t="str">
        <v>R</v>
      </c>
      <c r="O15" s="2">
        <v>3</v>
      </c>
      <c r="P15" s="2" t="str">
        <v>R</v>
      </c>
      <c r="Q15" s="2">
        <v>3</v>
      </c>
      <c r="R15" s="2" t="str">
        <v>R</v>
      </c>
      <c r="S15" s="2">
        <v>2</v>
      </c>
      <c r="T15" s="2" t="str">
        <v>R</v>
      </c>
      <c r="Y15" s="2" t="str">
        <v>R</v>
      </c>
      <c r="AA15" s="2" t="str">
        <v>R</v>
      </c>
      <c r="AC15" s="2" t="str">
        <v>R</v>
      </c>
      <c r="AE15" s="2" t="str">
        <v>R</v>
      </c>
      <c r="AG15" s="2" t="str">
        <v>R</v>
      </c>
      <c r="AI15" s="2" t="str">
        <v>R</v>
      </c>
      <c r="AK15" s="2" t="str">
        <v>R</v>
      </c>
      <c r="AM15" s="2" t="str">
        <v>R</v>
      </c>
      <c r="AO15" s="2" t="str">
        <v>R</v>
      </c>
    </row>
    <row r="16">
      <c r="B16" s="2" t="str">
        <v>+1.25</v>
      </c>
      <c r="D16" s="2" t="str">
        <v>L</v>
      </c>
      <c r="E16" s="2">
        <v>3</v>
      </c>
      <c r="F16" s="2" t="str">
        <v>L</v>
      </c>
      <c r="G16" s="2">
        <v>2</v>
      </c>
      <c r="H16" s="2" t="str">
        <v>L</v>
      </c>
      <c r="I16" s="2">
        <v>1</v>
      </c>
      <c r="J16" s="2" t="str">
        <v>L</v>
      </c>
      <c r="K16" s="2">
        <v>1</v>
      </c>
      <c r="L16" s="2" t="str">
        <v>L</v>
      </c>
      <c r="M16" s="2">
        <v>2</v>
      </c>
      <c r="N16" s="2" t="str">
        <v>L</v>
      </c>
      <c r="O16" s="2">
        <v>4</v>
      </c>
      <c r="P16" s="2" t="str">
        <v>L</v>
      </c>
      <c r="Q16" s="2">
        <v>2</v>
      </c>
      <c r="R16" s="2" t="str">
        <v>L</v>
      </c>
      <c r="S16" s="2">
        <v>2</v>
      </c>
      <c r="T16" s="2" t="str">
        <v>L</v>
      </c>
      <c r="W16" s="2" t="str">
        <v>-1.50</v>
      </c>
      <c r="Y16" s="2" t="str">
        <v>L</v>
      </c>
      <c r="AA16" s="2" t="str">
        <v>L</v>
      </c>
      <c r="AC16" s="2" t="str">
        <v>L</v>
      </c>
      <c r="AE16" s="2" t="str">
        <v>L</v>
      </c>
      <c r="AG16" s="2" t="str">
        <v>L</v>
      </c>
      <c r="AI16" s="2" t="str">
        <v>L</v>
      </c>
      <c r="AK16" s="2" t="str">
        <v>L</v>
      </c>
      <c r="AM16" s="2" t="str">
        <v>L</v>
      </c>
      <c r="AO16" s="2" t="str">
        <v>L</v>
      </c>
    </row>
    <row r="17">
      <c r="D17" s="2" t="str">
        <v>R</v>
      </c>
      <c r="E17" s="2">
        <v>2</v>
      </c>
      <c r="F17" s="2" t="str">
        <v>R</v>
      </c>
      <c r="G17" s="2">
        <v>2</v>
      </c>
      <c r="H17" s="2" t="str">
        <v>R</v>
      </c>
      <c r="I17" s="2">
        <v>3</v>
      </c>
      <c r="J17" s="2" t="str">
        <v>R</v>
      </c>
      <c r="K17" s="2">
        <v>3</v>
      </c>
      <c r="L17" s="2" t="str">
        <v>R</v>
      </c>
      <c r="M17" s="2">
        <v>3</v>
      </c>
      <c r="N17" s="2" t="str">
        <v>R</v>
      </c>
      <c r="O17" s="2">
        <v>1</v>
      </c>
      <c r="P17" s="2" t="str">
        <v>R</v>
      </c>
      <c r="Q17" s="2">
        <v>2</v>
      </c>
      <c r="R17" s="2" t="str">
        <v>R</v>
      </c>
      <c r="S17" s="2">
        <v>2</v>
      </c>
      <c r="T17" s="2" t="str">
        <v>R</v>
      </c>
      <c r="Y17" s="2" t="str">
        <v>R</v>
      </c>
      <c r="AA17" s="2" t="str">
        <v>R</v>
      </c>
      <c r="AC17" s="2" t="str">
        <v>R</v>
      </c>
      <c r="AE17" s="2" t="str">
        <v>R</v>
      </c>
      <c r="AG17" s="2" t="str">
        <v>R</v>
      </c>
      <c r="AI17" s="2" t="str">
        <v>R</v>
      </c>
      <c r="AK17" s="2" t="str">
        <v>R</v>
      </c>
      <c r="AM17" s="2" t="str">
        <v>R</v>
      </c>
      <c r="AO17" s="2" t="str">
        <v>R</v>
      </c>
    </row>
    <row r="18">
      <c r="B18" s="2" t="str">
        <v>+1.50</v>
      </c>
      <c r="D18" s="2" t="str">
        <v>L</v>
      </c>
      <c r="E18" s="2">
        <v>2</v>
      </c>
      <c r="F18" s="2" t="str">
        <v>L</v>
      </c>
      <c r="G18" s="2">
        <v>2</v>
      </c>
      <c r="H18" s="2" t="str">
        <v>L</v>
      </c>
      <c r="I18" s="2">
        <v>2</v>
      </c>
      <c r="J18" s="2" t="str">
        <v>L</v>
      </c>
      <c r="K18" s="2">
        <v>1</v>
      </c>
      <c r="L18" s="2" t="str">
        <v>L</v>
      </c>
      <c r="M18" s="2">
        <v>2</v>
      </c>
      <c r="N18" s="2" t="str">
        <v>L</v>
      </c>
      <c r="O18" s="2">
        <v>2</v>
      </c>
      <c r="P18" s="2" t="str">
        <v>L</v>
      </c>
      <c r="Q18" s="2">
        <v>2</v>
      </c>
      <c r="R18" s="2" t="str">
        <v>L</v>
      </c>
      <c r="S18" s="2">
        <v>3</v>
      </c>
      <c r="T18" s="2" t="str">
        <v>L</v>
      </c>
      <c r="W18" s="2" t="str">
        <v>-1.75</v>
      </c>
      <c r="Y18" s="2" t="str">
        <v>L</v>
      </c>
      <c r="AA18" s="2" t="str">
        <v>L</v>
      </c>
      <c r="AC18" s="2" t="str">
        <v>L</v>
      </c>
      <c r="AE18" s="2" t="str">
        <v>L</v>
      </c>
      <c r="AG18" s="2" t="str">
        <v>L</v>
      </c>
      <c r="AI18" s="2" t="str">
        <v>L</v>
      </c>
      <c r="AK18" s="2" t="str">
        <v>L</v>
      </c>
      <c r="AM18" s="2" t="str">
        <v>L</v>
      </c>
      <c r="AO18" s="2" t="str">
        <v>L</v>
      </c>
    </row>
    <row r="19">
      <c r="D19" s="2" t="str">
        <v>R</v>
      </c>
      <c r="E19" s="2">
        <v>2</v>
      </c>
      <c r="F19" s="2" t="str">
        <v>R</v>
      </c>
      <c r="G19" s="2">
        <v>2</v>
      </c>
      <c r="H19" s="2" t="str">
        <v>R</v>
      </c>
      <c r="I19" s="2">
        <v>1</v>
      </c>
      <c r="J19" s="2" t="str">
        <v>R</v>
      </c>
      <c r="K19" s="2">
        <v>2</v>
      </c>
      <c r="L19" s="2" t="str">
        <v>R</v>
      </c>
      <c r="M19" s="2">
        <v>2</v>
      </c>
      <c r="N19" s="2" t="str">
        <v>R</v>
      </c>
      <c r="O19" s="2">
        <v>2</v>
      </c>
      <c r="P19" s="2" t="str">
        <v>R</v>
      </c>
      <c r="Q19" s="2">
        <v>2</v>
      </c>
      <c r="R19" s="2" t="str">
        <v>R</v>
      </c>
      <c r="S19" s="2">
        <v>2</v>
      </c>
      <c r="T19" s="2" t="str">
        <v>R</v>
      </c>
      <c r="Y19" s="2" t="str">
        <v>R</v>
      </c>
      <c r="AA19" s="2" t="str">
        <v>R</v>
      </c>
      <c r="AC19" s="2" t="str">
        <v>R</v>
      </c>
      <c r="AE19" s="2" t="str">
        <v>R</v>
      </c>
      <c r="AG19" s="2" t="str">
        <v>R</v>
      </c>
      <c r="AI19" s="2" t="str">
        <v>R</v>
      </c>
      <c r="AK19" s="2" t="str">
        <v>R</v>
      </c>
      <c r="AM19" s="2" t="str">
        <v>R</v>
      </c>
      <c r="AO19" s="2" t="str">
        <v>R</v>
      </c>
    </row>
    <row r="20">
      <c r="B20" s="2" t="str">
        <v>+1.75</v>
      </c>
      <c r="D20" s="2" t="str">
        <v>L</v>
      </c>
      <c r="E20" s="2">
        <v>2</v>
      </c>
      <c r="F20" s="2" t="str">
        <v>L</v>
      </c>
      <c r="G20" s="2">
        <v>2</v>
      </c>
      <c r="H20" s="2" t="str">
        <v>L</v>
      </c>
      <c r="I20" s="2">
        <v>2</v>
      </c>
      <c r="J20" s="2" t="str">
        <v>L</v>
      </c>
      <c r="K20" s="2">
        <v>3</v>
      </c>
      <c r="L20" s="2" t="str">
        <v>L</v>
      </c>
      <c r="M20" s="2">
        <v>2</v>
      </c>
      <c r="N20" s="2" t="str">
        <v>L</v>
      </c>
      <c r="O20" s="2">
        <v>2</v>
      </c>
      <c r="P20" s="2" t="str">
        <v>L</v>
      </c>
      <c r="Q20" s="2">
        <v>2</v>
      </c>
      <c r="R20" s="2" t="str">
        <v>L</v>
      </c>
      <c r="S20" s="2">
        <v>2</v>
      </c>
      <c r="T20" s="2" t="str">
        <v>L</v>
      </c>
      <c r="W20" s="2" t="str">
        <v>-2.00</v>
      </c>
      <c r="Y20" s="2" t="str">
        <v>L</v>
      </c>
      <c r="AA20" s="2" t="str">
        <v>L</v>
      </c>
      <c r="AC20" s="2" t="str">
        <v>L</v>
      </c>
      <c r="AE20" s="2" t="str">
        <v>L</v>
      </c>
      <c r="AG20" s="2" t="str">
        <v>L</v>
      </c>
      <c r="AI20" s="2" t="str">
        <v>L</v>
      </c>
      <c r="AK20" s="2" t="str">
        <v>L</v>
      </c>
      <c r="AM20" s="2" t="str">
        <v>L</v>
      </c>
      <c r="AO20" s="2" t="str">
        <v>L</v>
      </c>
    </row>
    <row r="21">
      <c r="D21" s="2" t="str">
        <v>R</v>
      </c>
      <c r="E21" s="2">
        <v>2</v>
      </c>
      <c r="F21" s="2" t="str">
        <v>R</v>
      </c>
      <c r="G21" s="2">
        <v>2</v>
      </c>
      <c r="H21" s="2" t="str">
        <v>R</v>
      </c>
      <c r="J21" s="2" t="str">
        <v>R</v>
      </c>
      <c r="L21" s="2" t="str">
        <v>R</v>
      </c>
      <c r="M21" s="2">
        <v>2</v>
      </c>
      <c r="N21" s="2" t="str">
        <v>R</v>
      </c>
      <c r="O21" s="2">
        <v>5</v>
      </c>
      <c r="P21" s="2" t="str">
        <v>R</v>
      </c>
      <c r="Q21" s="2">
        <v>3</v>
      </c>
      <c r="R21" s="2" t="str">
        <v>R</v>
      </c>
      <c r="S21" s="2">
        <v>2</v>
      </c>
      <c r="T21" s="2" t="str">
        <v>R</v>
      </c>
      <c r="Y21" s="2" t="str">
        <v>R</v>
      </c>
      <c r="AA21" s="2" t="str">
        <v>R</v>
      </c>
      <c r="AC21" s="2" t="str">
        <v>R</v>
      </c>
      <c r="AE21" s="2" t="str">
        <v>R</v>
      </c>
      <c r="AG21" s="2" t="str">
        <v>R</v>
      </c>
      <c r="AI21" s="2" t="str">
        <v>R</v>
      </c>
      <c r="AK21" s="2" t="str">
        <v>R</v>
      </c>
      <c r="AM21" s="2" t="str">
        <v>R</v>
      </c>
      <c r="AO21" s="2" t="str">
        <v>R</v>
      </c>
    </row>
    <row r="22">
      <c r="B22" s="2" t="str">
        <v>+2.00</v>
      </c>
      <c r="D22" s="2" t="str">
        <v>L</v>
      </c>
      <c r="E22" s="2">
        <v>2</v>
      </c>
      <c r="F22" s="2" t="str">
        <v>L</v>
      </c>
      <c r="G22" s="2">
        <v>3</v>
      </c>
      <c r="H22" s="2" t="str">
        <v>L</v>
      </c>
      <c r="I22" s="2">
        <v>1</v>
      </c>
      <c r="J22" s="2" t="str">
        <v>L</v>
      </c>
      <c r="K22" s="2">
        <v>3</v>
      </c>
      <c r="L22" s="2" t="str">
        <v>L</v>
      </c>
      <c r="M22" s="2">
        <v>1</v>
      </c>
      <c r="N22" s="2" t="str">
        <v>L</v>
      </c>
      <c r="O22" s="2">
        <v>2</v>
      </c>
      <c r="P22" s="2" t="str">
        <v>L</v>
      </c>
      <c r="Q22" s="2">
        <v>3</v>
      </c>
      <c r="R22" s="2" t="str">
        <v>L</v>
      </c>
      <c r="S22" s="2">
        <v>2</v>
      </c>
      <c r="T22" s="2" t="str">
        <v>L</v>
      </c>
    </row>
    <row r="23">
      <c r="D23" s="2" t="str">
        <v>R</v>
      </c>
      <c r="E23" s="2">
        <v>2</v>
      </c>
      <c r="F23" s="2" t="str">
        <v>R</v>
      </c>
      <c r="G23" s="2">
        <v>2</v>
      </c>
      <c r="H23" s="2" t="str">
        <v>R</v>
      </c>
      <c r="I23" s="2">
        <v>3</v>
      </c>
      <c r="J23" s="2" t="str">
        <v>R</v>
      </c>
      <c r="K23" s="2">
        <v>3</v>
      </c>
      <c r="L23" s="2" t="str">
        <v>R</v>
      </c>
      <c r="M23" s="2">
        <v>3</v>
      </c>
      <c r="N23" s="2" t="str">
        <v>R</v>
      </c>
      <c r="O23" s="2">
        <v>2</v>
      </c>
      <c r="P23" s="2" t="str">
        <v>R</v>
      </c>
      <c r="Q23" s="2">
        <v>1</v>
      </c>
      <c r="R23" s="2" t="str">
        <v>R</v>
      </c>
      <c r="S23" s="2">
        <v>2</v>
      </c>
      <c r="T23" s="2" t="str">
        <v>R</v>
      </c>
    </row>
    <row r="24">
      <c r="B24" s="2" t="str">
        <v>+2.25</v>
      </c>
      <c r="D24" s="2" t="str">
        <v>L</v>
      </c>
      <c r="E24" s="2">
        <v>2</v>
      </c>
      <c r="F24" s="2" t="str">
        <v>L</v>
      </c>
      <c r="G24" s="2">
        <v>2</v>
      </c>
      <c r="H24" s="2" t="str">
        <v>L</v>
      </c>
      <c r="I24" s="2">
        <v>2</v>
      </c>
      <c r="J24" s="2" t="str">
        <v>L</v>
      </c>
      <c r="K24" s="2">
        <v>3</v>
      </c>
      <c r="L24" s="2" t="str">
        <v>L</v>
      </c>
      <c r="M24" s="2">
        <v>2</v>
      </c>
      <c r="N24" s="2" t="str">
        <v>L</v>
      </c>
      <c r="O24" s="2">
        <v>1</v>
      </c>
      <c r="P24" s="2" t="str">
        <v>L</v>
      </c>
      <c r="Q24" s="2">
        <v>2</v>
      </c>
      <c r="R24" s="2" t="str">
        <v>L</v>
      </c>
      <c r="S24" s="2">
        <v>2</v>
      </c>
      <c r="T24" s="2" t="str">
        <v>L</v>
      </c>
    </row>
    <row r="25">
      <c r="D25" s="2" t="str">
        <v>R</v>
      </c>
      <c r="E25" s="2">
        <v>2</v>
      </c>
      <c r="F25" s="2" t="str">
        <v>R</v>
      </c>
      <c r="G25" s="2">
        <v>2</v>
      </c>
      <c r="H25" s="2" t="str">
        <v>R</v>
      </c>
      <c r="I25" s="2">
        <v>2</v>
      </c>
      <c r="J25" s="2" t="str">
        <v>R</v>
      </c>
      <c r="K25" s="2">
        <v>3</v>
      </c>
      <c r="L25" s="2" t="str">
        <v>R</v>
      </c>
      <c r="M25" s="2">
        <v>3</v>
      </c>
      <c r="N25" s="2" t="str">
        <v>R</v>
      </c>
      <c r="O25" s="2">
        <v>3</v>
      </c>
      <c r="P25" s="2" t="str">
        <v>R</v>
      </c>
      <c r="Q25" s="2">
        <v>2</v>
      </c>
      <c r="R25" s="2" t="str">
        <v>R</v>
      </c>
      <c r="S25" s="2">
        <v>2</v>
      </c>
      <c r="T25" s="2" t="str">
        <v>R</v>
      </c>
    </row>
    <row r="26">
      <c r="B26" s="2" t="str">
        <v>+2.50</v>
      </c>
      <c r="D26" s="2" t="str">
        <v>L</v>
      </c>
      <c r="E26" s="2">
        <v>2</v>
      </c>
      <c r="F26" s="2" t="str">
        <v>L</v>
      </c>
      <c r="G26" s="2">
        <v>2</v>
      </c>
      <c r="H26" s="2" t="str">
        <v>L</v>
      </c>
      <c r="I26" s="2">
        <v>3</v>
      </c>
      <c r="J26" s="2" t="str">
        <v>L</v>
      </c>
      <c r="K26" s="2">
        <v>2</v>
      </c>
      <c r="L26" s="2" t="str">
        <v>L</v>
      </c>
      <c r="M26" s="2">
        <v>2</v>
      </c>
      <c r="N26" s="2" t="str">
        <v>L</v>
      </c>
      <c r="O26" s="2">
        <v>3</v>
      </c>
      <c r="P26" s="2" t="str">
        <v>L</v>
      </c>
      <c r="Q26" s="2">
        <v>1</v>
      </c>
      <c r="R26" s="2" t="str">
        <v>L</v>
      </c>
      <c r="S26" s="2">
        <v>1</v>
      </c>
      <c r="T26" s="2" t="str">
        <v>L</v>
      </c>
    </row>
    <row r="27">
      <c r="D27" s="2" t="str">
        <v>R</v>
      </c>
      <c r="E27" s="2">
        <v>2</v>
      </c>
      <c r="F27" s="2" t="str">
        <v>R</v>
      </c>
      <c r="G27" s="2">
        <v>3</v>
      </c>
      <c r="H27" s="2" t="str">
        <v>R</v>
      </c>
      <c r="I27" s="2">
        <v>2</v>
      </c>
      <c r="J27" s="2" t="str">
        <v>R</v>
      </c>
      <c r="K27" s="2">
        <v>2</v>
      </c>
      <c r="L27" s="2" t="str">
        <v>R</v>
      </c>
      <c r="M27" s="2">
        <v>2</v>
      </c>
      <c r="N27" s="2" t="str">
        <v>R</v>
      </c>
      <c r="O27" s="2">
        <v>4</v>
      </c>
      <c r="P27" s="2" t="str">
        <v>R</v>
      </c>
      <c r="Q27" s="2">
        <v>3</v>
      </c>
      <c r="R27" s="2" t="str">
        <v>R</v>
      </c>
      <c r="S27" s="2">
        <v>1</v>
      </c>
      <c r="T27" s="2" t="str">
        <v>R</v>
      </c>
    </row>
    <row r="28">
      <c r="B28" s="2" t="str">
        <v>+2.75</v>
      </c>
      <c r="D28" s="2" t="str">
        <v>L</v>
      </c>
      <c r="E28" s="2">
        <v>2</v>
      </c>
      <c r="F28" s="2" t="str">
        <v>L</v>
      </c>
      <c r="G28" s="2">
        <v>2</v>
      </c>
      <c r="H28" s="2" t="str">
        <v>L</v>
      </c>
      <c r="I28" s="2">
        <v>2</v>
      </c>
      <c r="J28" s="2" t="str">
        <v>L</v>
      </c>
      <c r="K28" s="2">
        <v>2</v>
      </c>
      <c r="L28" s="2" t="str">
        <v>L</v>
      </c>
      <c r="M28" s="2">
        <v>2</v>
      </c>
      <c r="N28" s="2" t="str">
        <v>L</v>
      </c>
      <c r="O28" s="2">
        <v>4</v>
      </c>
      <c r="P28" s="2" t="str">
        <v>L</v>
      </c>
      <c r="Q28" s="2">
        <v>2</v>
      </c>
      <c r="R28" s="2" t="str">
        <v>L</v>
      </c>
      <c r="S28" s="2">
        <v>2</v>
      </c>
      <c r="T28" s="2" t="str">
        <v>L</v>
      </c>
    </row>
    <row r="29">
      <c r="D29" s="2" t="str">
        <v>R</v>
      </c>
      <c r="E29" s="2">
        <v>2</v>
      </c>
      <c r="F29" s="2" t="str">
        <v>R</v>
      </c>
      <c r="G29" s="2">
        <v>2</v>
      </c>
      <c r="H29" s="2" t="str">
        <v>R</v>
      </c>
      <c r="I29" s="2">
        <v>2</v>
      </c>
      <c r="J29" s="2" t="str">
        <v>R</v>
      </c>
      <c r="K29" s="2">
        <v>4</v>
      </c>
      <c r="L29" s="2" t="str">
        <v>R</v>
      </c>
      <c r="M29" s="2">
        <v>2</v>
      </c>
      <c r="N29" s="2" t="str">
        <v>R</v>
      </c>
      <c r="O29" s="2">
        <v>1</v>
      </c>
      <c r="P29" s="2" t="str">
        <v>R</v>
      </c>
      <c r="Q29" s="2">
        <v>2</v>
      </c>
      <c r="R29" s="2" t="str">
        <v>R</v>
      </c>
      <c r="S29" s="2">
        <v>3</v>
      </c>
      <c r="T29" s="2" t="str">
        <v>R</v>
      </c>
    </row>
    <row r="30">
      <c r="B30" s="2" t="str">
        <v>+3.00</v>
      </c>
      <c r="D30" s="2" t="str">
        <v>L</v>
      </c>
      <c r="E30" s="2">
        <v>2</v>
      </c>
      <c r="F30" s="2" t="str">
        <v>L</v>
      </c>
      <c r="G30" s="2">
        <v>3</v>
      </c>
      <c r="H30" s="2" t="str">
        <v>L</v>
      </c>
      <c r="I30" s="2">
        <v>2</v>
      </c>
      <c r="J30" s="2" t="str">
        <v>L</v>
      </c>
      <c r="K30" s="2">
        <v>2</v>
      </c>
      <c r="L30" s="2" t="str">
        <v>L</v>
      </c>
      <c r="M30" s="2">
        <v>2</v>
      </c>
      <c r="N30" s="2" t="str">
        <v>L</v>
      </c>
      <c r="O30" s="2">
        <v>3</v>
      </c>
      <c r="P30" s="2" t="str">
        <v>L</v>
      </c>
      <c r="Q30" s="2">
        <v>2</v>
      </c>
      <c r="R30" s="2" t="str">
        <v>L</v>
      </c>
      <c r="S30" s="2">
        <v>2</v>
      </c>
      <c r="T30" s="2" t="str">
        <v>L</v>
      </c>
    </row>
    <row r="31">
      <c r="D31" s="2" t="str">
        <v>R</v>
      </c>
      <c r="E31" s="2">
        <v>2</v>
      </c>
      <c r="F31" s="2" t="str">
        <v>R</v>
      </c>
      <c r="G31" s="2">
        <v>2</v>
      </c>
      <c r="H31" s="2" t="str">
        <v>R</v>
      </c>
      <c r="I31" s="2">
        <v>2</v>
      </c>
      <c r="J31" s="2" t="str">
        <v>R</v>
      </c>
      <c r="K31" s="2">
        <v>3</v>
      </c>
      <c r="L31" s="2" t="str">
        <v>R</v>
      </c>
      <c r="M31" s="2">
        <v>2</v>
      </c>
      <c r="N31" s="2" t="str">
        <v>R</v>
      </c>
      <c r="O31" s="2">
        <v>2</v>
      </c>
      <c r="P31" s="2" t="str">
        <v>R</v>
      </c>
      <c r="Q31" s="2">
        <v>2</v>
      </c>
      <c r="R31" s="2" t="str">
        <v>R</v>
      </c>
      <c r="S31" s="2">
        <v>2</v>
      </c>
      <c r="T31" s="2" t="str">
        <v>R</v>
      </c>
    </row>
    <row r="37">
      <c r="C37" s="2" t="str">
        <v>SUGERIDO PROGRESIVO REVOLUTION AR (PAR)</v>
      </c>
    </row>
    <row r="38">
      <c r="B38" s="2" t="str">
        <v>SUGERIDO PROGRESIVO FOTOCROMATICO AR (PAR)</v>
      </c>
    </row>
    <row r="39">
      <c r="C39" s="2" t="str">
        <v>ADICION</v>
      </c>
      <c r="X39" s="2" t="str">
        <v>ADICION</v>
      </c>
    </row>
    <row r="41">
      <c r="A41" s="2" t="str">
        <v>(+)</v>
      </c>
      <c r="C41" s="2" t="str">
        <v>1.00</v>
      </c>
      <c r="E41" s="2" t="str">
        <v>1.25</v>
      </c>
      <c r="G41" s="2" t="str">
        <v>1.50</v>
      </c>
      <c r="I41" s="2" t="str">
        <v>1.75</v>
      </c>
      <c r="K41" s="2" t="str">
        <v>2.00</v>
      </c>
      <c r="M41" s="2" t="str">
        <v>2.25</v>
      </c>
      <c r="O41" s="2" t="str">
        <v>2.50</v>
      </c>
      <c r="Q41" s="2" t="str">
        <v>2.75</v>
      </c>
      <c r="S41" s="2" t="str">
        <v>3.00</v>
      </c>
      <c r="V41" s="2" t="str">
        <v>(-)</v>
      </c>
      <c r="X41" s="2" t="str">
        <v>1.00</v>
      </c>
      <c r="Z41" s="2" t="str">
        <v>1.25</v>
      </c>
      <c r="AB41" s="2" t="str">
        <v>1.50</v>
      </c>
      <c r="AD41" s="2" t="str">
        <v>1.75</v>
      </c>
      <c r="AF41" s="2" t="str">
        <v>2.00</v>
      </c>
      <c r="AH41" s="2" t="str">
        <v>2.25</v>
      </c>
      <c r="AJ41" s="2" t="str">
        <v>+2.50</v>
      </c>
      <c r="AL41" s="2" t="str">
        <v>+2.75</v>
      </c>
      <c r="AN41" s="2" t="str">
        <v>+3.00</v>
      </c>
    </row>
    <row r="42">
      <c r="A42" s="2" t="str">
        <v>ESFERA</v>
      </c>
      <c r="B42" s="2" t="str">
        <v>0.00</v>
      </c>
      <c r="D42" s="2" t="str">
        <v>L</v>
      </c>
      <c r="E42" s="2">
        <f>IF(QUOTIENT(E6+E7,2)&lt;2,2-QUOTIENT(E6+E7,2),"")</f>
        <v>2</v>
      </c>
      <c r="F42" s="2" t="str">
        <v>L</v>
      </c>
      <c r="G42" s="2">
        <f>IF(QUOTIENT(G6+G7,2)&lt;2,2-QUOTIENT(G6+G7,2),"")</f>
        <v>1</v>
      </c>
      <c r="H42" s="2" t="str">
        <v>L</v>
      </c>
      <c r="I42" s="2" t="str">
        <f>IF(QUOTIENT(I6+I7,2)&lt;2,2-QUOTIENT(I6+I7,2),"")</f>
        <v/>
      </c>
      <c r="J42" s="2" t="str">
        <v>L</v>
      </c>
      <c r="K42" s="2" t="str">
        <f>IF(QUOTIENT(K6+K7,2)&lt;3,3-QUOTIENT(K6+K7,2),"")</f>
        <v/>
      </c>
      <c r="L42" s="2" t="str">
        <v>L</v>
      </c>
      <c r="M42" s="2" t="str">
        <f>IF(QUOTIENT(M6+M7,2)&lt;3,3-QUOTIENT(M6+M7,2),"")</f>
        <v/>
      </c>
      <c r="N42" s="2" t="str">
        <v>L</v>
      </c>
      <c r="O42" s="2">
        <f>IF(QUOTIENT(O6+O7,2)&lt;3,3-QUOTIENT(O6+O7,2),"")</f>
        <v>1</v>
      </c>
      <c r="P42" s="2" t="str">
        <v>L</v>
      </c>
      <c r="Q42" s="2" t="str">
        <f>IF(QUOTIENT(Q6+Q7,2)&lt;3,3-QUOTIENT(Q6+Q7,2),"")</f>
        <v/>
      </c>
      <c r="R42" s="2" t="str">
        <v>L</v>
      </c>
      <c r="S42" s="2" t="str">
        <f>IF(QUOTIENT(S6+S7,2)&lt;2,2-QUOTIENT(S6+S7,2),"")</f>
        <v/>
      </c>
      <c r="T42" s="2" t="str">
        <v>L</v>
      </c>
      <c r="V42" s="2" t="str">
        <v>ESFERA</v>
      </c>
      <c r="W42" s="2" t="str">
        <v>-0.25</v>
      </c>
      <c r="Y42" s="2" t="str">
        <v>L</v>
      </c>
      <c r="AA42" s="2" t="str">
        <v>L</v>
      </c>
      <c r="AC42" s="2" t="str">
        <v>L</v>
      </c>
      <c r="AE42" s="2" t="str">
        <v>L</v>
      </c>
      <c r="AG42" s="2" t="str">
        <v>L</v>
      </c>
      <c r="AI42" s="2" t="str">
        <v>L</v>
      </c>
      <c r="AK42" s="2" t="str">
        <v>L</v>
      </c>
      <c r="AM42" s="2" t="str">
        <v>L</v>
      </c>
      <c r="AO42" s="2" t="str">
        <v>L</v>
      </c>
    </row>
    <row r="43">
      <c r="D43" s="2" t="str">
        <v>R</v>
      </c>
      <c r="F43" s="2" t="str">
        <v>R</v>
      </c>
      <c r="H43" s="2" t="str">
        <v>R</v>
      </c>
      <c r="J43" s="2" t="str">
        <v>R</v>
      </c>
      <c r="L43" s="2" t="str">
        <v>R</v>
      </c>
      <c r="N43" s="2" t="str">
        <v>R</v>
      </c>
      <c r="P43" s="2" t="str">
        <v>R</v>
      </c>
      <c r="R43" s="2" t="str">
        <v>R</v>
      </c>
      <c r="T43" s="2" t="str">
        <v>R</v>
      </c>
      <c r="Y43" s="2" t="str">
        <v>R</v>
      </c>
      <c r="AA43" s="2" t="str">
        <v>R</v>
      </c>
      <c r="AC43" s="2" t="str">
        <v>R</v>
      </c>
      <c r="AE43" s="2" t="str">
        <v>R</v>
      </c>
      <c r="AG43" s="2" t="str">
        <v>R</v>
      </c>
      <c r="AI43" s="2" t="str">
        <v>R</v>
      </c>
      <c r="AK43" s="2" t="str">
        <v>R</v>
      </c>
      <c r="AM43" s="2" t="str">
        <v>R</v>
      </c>
      <c r="AO43" s="2" t="str">
        <v>R</v>
      </c>
    </row>
    <row r="44">
      <c r="B44" s="2" t="str">
        <v>+0.25</v>
      </c>
      <c r="D44" s="2" t="str">
        <v>L</v>
      </c>
      <c r="E44" s="2" t="str">
        <f>IF(QUOTIENT(E8+E9,2)&lt;2,2-QUOTIENT(E8+E9,2),"")</f>
        <v/>
      </c>
      <c r="F44" s="2" t="str">
        <v>L</v>
      </c>
      <c r="G44" s="2">
        <f>IF(QUOTIENT(G8+G9,2)&lt;2,2-QUOTIENT(G8+G9,2),"")</f>
        <v>1</v>
      </c>
      <c r="H44" s="2" t="str">
        <v>L</v>
      </c>
      <c r="I44" s="2">
        <f>IF(QUOTIENT(I8+I9,2)&lt;2,2-QUOTIENT(I8+I9,2),"")</f>
        <v>1</v>
      </c>
      <c r="J44" s="2" t="str">
        <v>L</v>
      </c>
      <c r="K44" s="2">
        <f>IF(QUOTIENT(K8+K9,2)&lt;2,2-QUOTIENT(K8+K9,2),"")</f>
        <v>2</v>
      </c>
      <c r="L44" s="2" t="str">
        <v>L</v>
      </c>
      <c r="M44" s="2">
        <f>IF(QUOTIENT(M8+M9,2)&lt;2,2-QUOTIENT(M8+M9,2),"")</f>
        <v>1</v>
      </c>
      <c r="N44" s="2" t="str">
        <v>L</v>
      </c>
      <c r="O44" s="2" t="str">
        <f>IF(QUOTIENT(O8+O9,2)&lt;2,2-QUOTIENT(O8+O9,2),"")</f>
        <v/>
      </c>
      <c r="P44" s="2" t="str">
        <v>L</v>
      </c>
      <c r="Q44" s="2" t="str">
        <f>IF(QUOTIENT(Q8+Q9,2)&lt;2,2-QUOTIENT(Q8+Q9,2),"")</f>
        <v/>
      </c>
      <c r="R44" s="2" t="str">
        <v>L</v>
      </c>
      <c r="S44" s="2" t="str">
        <f>IF(QUOTIENT(S8+S9,2)&lt;2,2-QUOTIENT(S8+S9,2),"")</f>
        <v/>
      </c>
      <c r="T44" s="2" t="str">
        <v>L</v>
      </c>
      <c r="W44" s="2" t="str">
        <v>-0.50</v>
      </c>
      <c r="Y44" s="2" t="str">
        <v>L</v>
      </c>
      <c r="AA44" s="2" t="str">
        <v>L</v>
      </c>
      <c r="AC44" s="2" t="str">
        <v>L</v>
      </c>
      <c r="AE44" s="2" t="str">
        <v>L</v>
      </c>
      <c r="AG44" s="2" t="str">
        <v>L</v>
      </c>
      <c r="AI44" s="2" t="str">
        <v>L</v>
      </c>
      <c r="AK44" s="2" t="str">
        <v>L</v>
      </c>
      <c r="AM44" s="2" t="str">
        <v>L</v>
      </c>
      <c r="AO44" s="2" t="str">
        <v>L</v>
      </c>
    </row>
    <row r="45">
      <c r="D45" s="2" t="str">
        <v>R</v>
      </c>
      <c r="F45" s="2" t="str">
        <v>R</v>
      </c>
      <c r="H45" s="2" t="str">
        <v>R</v>
      </c>
      <c r="J45" s="2" t="str">
        <v>R</v>
      </c>
      <c r="L45" s="2" t="str">
        <v>R</v>
      </c>
      <c r="N45" s="2" t="str">
        <v>R</v>
      </c>
      <c r="P45" s="2" t="str">
        <v>R</v>
      </c>
      <c r="R45" s="2" t="str">
        <v>R</v>
      </c>
      <c r="T45" s="2" t="str">
        <v>R</v>
      </c>
      <c r="Y45" s="2" t="str">
        <v>R</v>
      </c>
      <c r="AA45" s="2" t="str">
        <v>R</v>
      </c>
      <c r="AC45" s="2" t="str">
        <v>R</v>
      </c>
      <c r="AE45" s="2" t="str">
        <v>R</v>
      </c>
      <c r="AG45" s="2" t="str">
        <v>R</v>
      </c>
      <c r="AI45" s="2" t="str">
        <v>R</v>
      </c>
      <c r="AK45" s="2" t="str">
        <v>R</v>
      </c>
      <c r="AM45" s="2" t="str">
        <v>R</v>
      </c>
      <c r="AO45" s="2" t="str">
        <v>R</v>
      </c>
    </row>
    <row r="46">
      <c r="B46" s="2" t="str">
        <v>+0.50</v>
      </c>
      <c r="D46" s="2" t="str">
        <v>L</v>
      </c>
      <c r="E46" s="2" t="str">
        <f>IF(QUOTIENT(E10+E11,2)&lt;2,2-QUOTIENT(E10+E11,2),"")</f>
        <v/>
      </c>
      <c r="F46" s="2" t="str">
        <v>L</v>
      </c>
      <c r="G46" s="2">
        <f>IF(QUOTIENT(G10+G11,2)&lt;2,2-QUOTIENT(G10+G11,2),"")</f>
        <v>1</v>
      </c>
      <c r="H46" s="2" t="str">
        <v>L</v>
      </c>
      <c r="I46" s="2">
        <f>IF(QUOTIENT(I10+I11,2)&lt;2,2-QUOTIENT(I10+I11,2),"")</f>
        <v>1</v>
      </c>
      <c r="J46" s="2" t="str">
        <v>L</v>
      </c>
      <c r="K46" s="2">
        <f>IF(QUOTIENT(K10+K11,2)&lt;2,2-QUOTIENT(K10+K11,2),"")</f>
        <v>2</v>
      </c>
      <c r="L46" s="2" t="str">
        <v>L</v>
      </c>
      <c r="M46" s="2">
        <f>IF(QUOTIENT(M10+M11,2)&lt;2,2-QUOTIENT(M10+M11,2),"")</f>
        <v>2</v>
      </c>
      <c r="N46" s="2" t="str">
        <v>L</v>
      </c>
      <c r="O46" s="2" t="str">
        <f>IF(QUOTIENT(O10+O11,2)&lt;2,2-QUOTIENT(O10+O11,2),"")</f>
        <v/>
      </c>
      <c r="P46" s="2" t="str">
        <v>L</v>
      </c>
      <c r="Q46" s="2" t="str">
        <f>IF(QUOTIENT(Q10+Q11,2)&lt;2,2-QUOTIENT(Q10+Q11,2),"")</f>
        <v/>
      </c>
      <c r="R46" s="2" t="str">
        <v>L</v>
      </c>
      <c r="S46" s="2" t="str">
        <f>IF(QUOTIENT(S10+S11,2)&lt;2,2-QUOTIENT(S10+S11,2),"")</f>
        <v/>
      </c>
      <c r="T46" s="2" t="str">
        <v>L</v>
      </c>
      <c r="W46" s="2" t="str">
        <v>-0.75</v>
      </c>
      <c r="Y46" s="2" t="str">
        <v>L</v>
      </c>
      <c r="AA46" s="2" t="str">
        <v>L</v>
      </c>
      <c r="AC46" s="2" t="str">
        <v>L</v>
      </c>
      <c r="AE46" s="2" t="str">
        <v>L</v>
      </c>
      <c r="AG46" s="2" t="str">
        <v>L</v>
      </c>
      <c r="AI46" s="2" t="str">
        <v>L</v>
      </c>
      <c r="AK46" s="2" t="str">
        <v>L</v>
      </c>
      <c r="AM46" s="2" t="str">
        <v>L</v>
      </c>
      <c r="AO46" s="2" t="str">
        <v>L</v>
      </c>
    </row>
    <row r="47">
      <c r="D47" s="2" t="str">
        <v>R</v>
      </c>
      <c r="F47" s="2" t="str">
        <v>R</v>
      </c>
      <c r="H47" s="2" t="str">
        <v>R</v>
      </c>
      <c r="J47" s="2" t="str">
        <v>R</v>
      </c>
      <c r="L47" s="2" t="str">
        <v>R</v>
      </c>
      <c r="N47" s="2" t="str">
        <v>R</v>
      </c>
      <c r="P47" s="2" t="str">
        <v>R</v>
      </c>
      <c r="R47" s="2" t="str">
        <v>R</v>
      </c>
      <c r="T47" s="2" t="str">
        <v>R</v>
      </c>
      <c r="Y47" s="2" t="str">
        <v>R</v>
      </c>
      <c r="AA47" s="2" t="str">
        <v>R</v>
      </c>
      <c r="AC47" s="2" t="str">
        <v>R</v>
      </c>
      <c r="AE47" s="2" t="str">
        <v>R</v>
      </c>
      <c r="AG47" s="2" t="str">
        <v>R</v>
      </c>
      <c r="AI47" s="2" t="str">
        <v>R</v>
      </c>
      <c r="AK47" s="2" t="str">
        <v>R</v>
      </c>
      <c r="AM47" s="2" t="str">
        <v>R</v>
      </c>
      <c r="AO47" s="2" t="str">
        <v>R</v>
      </c>
    </row>
    <row r="48">
      <c r="B48" s="2" t="str">
        <v>+0.75</v>
      </c>
      <c r="D48" s="2" t="str">
        <v>L</v>
      </c>
      <c r="E48" s="2" t="str">
        <f>IF(QUOTIENT(E12+E13,2)&lt;2,2-QUOTIENT(E12+E13,2),"")</f>
        <v/>
      </c>
      <c r="F48" s="2" t="str">
        <v>L</v>
      </c>
      <c r="G48" s="2" t="str">
        <f>IF(QUOTIENT(G12+G13,2)&lt;2,2-QUOTIENT(G12+G13,2),"")</f>
        <v/>
      </c>
      <c r="H48" s="2" t="str">
        <v>L</v>
      </c>
      <c r="I48" s="2">
        <f>IF(QUOTIENT(I12+I13,2)&lt;2,2-QUOTIENT(I12+I13,2),"")</f>
        <v>1</v>
      </c>
      <c r="J48" s="2" t="str">
        <v>L</v>
      </c>
      <c r="K48" s="2">
        <f>IF(QUOTIENT(K12+K13,2)&lt;2,2-QUOTIENT(K12+K13,2),"")</f>
        <v>2</v>
      </c>
      <c r="L48" s="2" t="str">
        <v>L</v>
      </c>
      <c r="M48" s="2">
        <f>IF(QUOTIENT(M12+M13,2)&lt;2,2-QUOTIENT(M12+M13,2),"")</f>
        <v>1</v>
      </c>
      <c r="N48" s="2" t="str">
        <v>L</v>
      </c>
      <c r="O48" s="2" t="str">
        <f>IF(QUOTIENT(O12+O13,2)&lt;2,2-QUOTIENT(O12+O13,2),"")</f>
        <v/>
      </c>
      <c r="P48" s="2" t="str">
        <v>L</v>
      </c>
      <c r="Q48" s="2" t="str">
        <f>IF(QUOTIENT(Q12+Q13,2)&lt;2,2-QUOTIENT(Q12+Q13,2),"")</f>
        <v/>
      </c>
      <c r="R48" s="2" t="str">
        <v>L</v>
      </c>
      <c r="S48" s="2" t="str">
        <f>IF(QUOTIENT(S12+S13,2)&lt;2,2-QUOTIENT(S12+S13,2),"")</f>
        <v/>
      </c>
      <c r="T48" s="2" t="str">
        <v>L</v>
      </c>
      <c r="W48" s="2" t="str">
        <v>-1.00</v>
      </c>
      <c r="Y48" s="2" t="str">
        <v>L</v>
      </c>
      <c r="AA48" s="2" t="str">
        <v>L</v>
      </c>
      <c r="AC48" s="2" t="str">
        <v>L</v>
      </c>
      <c r="AE48" s="2" t="str">
        <v>L</v>
      </c>
      <c r="AG48" s="2" t="str">
        <v>L</v>
      </c>
      <c r="AI48" s="2" t="str">
        <v>L</v>
      </c>
      <c r="AK48" s="2" t="str">
        <v>L</v>
      </c>
      <c r="AM48" s="2" t="str">
        <v>L</v>
      </c>
      <c r="AO48" s="2" t="str">
        <v>L</v>
      </c>
    </row>
    <row r="49">
      <c r="D49" s="2" t="str">
        <v>R</v>
      </c>
      <c r="F49" s="2" t="str">
        <v>R</v>
      </c>
      <c r="H49" s="2" t="str">
        <v>R</v>
      </c>
      <c r="J49" s="2" t="str">
        <v>R</v>
      </c>
      <c r="L49" s="2" t="str">
        <v>R</v>
      </c>
      <c r="N49" s="2" t="str">
        <v>R</v>
      </c>
      <c r="P49" s="2" t="str">
        <v>R</v>
      </c>
      <c r="R49" s="2" t="str">
        <v>R</v>
      </c>
      <c r="T49" s="2" t="str">
        <v>R</v>
      </c>
      <c r="Y49" s="2" t="str">
        <v>R</v>
      </c>
      <c r="AA49" s="2" t="str">
        <v>R</v>
      </c>
      <c r="AC49" s="2" t="str">
        <v>R</v>
      </c>
      <c r="AE49" s="2" t="str">
        <v>R</v>
      </c>
      <c r="AG49" s="2" t="str">
        <v>R</v>
      </c>
      <c r="AI49" s="2" t="str">
        <v>R</v>
      </c>
      <c r="AK49" s="2" t="str">
        <v>R</v>
      </c>
      <c r="AM49" s="2" t="str">
        <v>R</v>
      </c>
      <c r="AO49" s="2" t="str">
        <v>R</v>
      </c>
    </row>
    <row r="50">
      <c r="B50" s="2" t="str">
        <v>+1.00</v>
      </c>
      <c r="D50" s="2" t="str">
        <v>L</v>
      </c>
      <c r="E50" s="2" t="str">
        <f>IF(QUOTIENT(E14+E15,2)&lt;2,2-QUOTIENT(E14+E15,2),"")</f>
        <v/>
      </c>
      <c r="F50" s="2" t="str">
        <v>L</v>
      </c>
      <c r="G50" s="2">
        <f>IF(QUOTIENT(G14+G15,2)&lt;2,2-QUOTIENT(G14+G15,2),"")</f>
        <v>2</v>
      </c>
      <c r="H50" s="2" t="str">
        <v>L</v>
      </c>
      <c r="I50" s="2">
        <f>IF(QUOTIENT(I14+I15,2)&lt;2,2-QUOTIENT(I14+I15,2),"")</f>
        <v>1</v>
      </c>
      <c r="J50" s="2" t="str">
        <v>L</v>
      </c>
      <c r="K50" s="2">
        <f>IF(QUOTIENT(K14+K15,2)&lt;2,2-QUOTIENT(K14+K15,2),"")</f>
        <v>2</v>
      </c>
      <c r="L50" s="2" t="str">
        <v>L</v>
      </c>
      <c r="M50" s="2" t="str">
        <f>IF(QUOTIENT(M14+M15,2)&lt;2,2-QUOTIENT(M14+M15,2),"")</f>
        <v/>
      </c>
      <c r="N50" s="2" t="str">
        <v>L</v>
      </c>
      <c r="O50" s="2" t="str">
        <f>IF(QUOTIENT(O14+O15,2)&lt;2,2-QUOTIENT(O14+O15,2),"")</f>
        <v/>
      </c>
      <c r="P50" s="2" t="str">
        <v>L</v>
      </c>
      <c r="Q50" s="2" t="str">
        <f>IF(QUOTIENT(Q14+Q15,2)&lt;2,2-QUOTIENT(Q14+Q15,2),"")</f>
        <v/>
      </c>
      <c r="R50" s="2" t="str">
        <v>L</v>
      </c>
      <c r="S50" s="2" t="str">
        <f>IF(QUOTIENT(S14+S15,2)&lt;2,2-QUOTIENT(S14+S15,2),"")</f>
        <v/>
      </c>
      <c r="T50" s="2" t="str">
        <v>L</v>
      </c>
      <c r="W50" s="2" t="str">
        <v>-1.25</v>
      </c>
      <c r="Y50" s="2" t="str">
        <v>L</v>
      </c>
      <c r="AA50" s="2" t="str">
        <v>L</v>
      </c>
      <c r="AC50" s="2" t="str">
        <v>L</v>
      </c>
      <c r="AE50" s="2" t="str">
        <v>L</v>
      </c>
      <c r="AG50" s="2" t="str">
        <v>L</v>
      </c>
      <c r="AI50" s="2" t="str">
        <v>L</v>
      </c>
      <c r="AK50" s="2" t="str">
        <v>L</v>
      </c>
      <c r="AM50" s="2" t="str">
        <v>L</v>
      </c>
      <c r="AO50" s="2" t="str">
        <v>L</v>
      </c>
    </row>
    <row r="51">
      <c r="D51" s="2" t="str">
        <v>R</v>
      </c>
      <c r="F51" s="2" t="str">
        <v>R</v>
      </c>
      <c r="H51" s="2" t="str">
        <v>R</v>
      </c>
      <c r="J51" s="2" t="str">
        <v>R</v>
      </c>
      <c r="L51" s="2" t="str">
        <v>R</v>
      </c>
      <c r="N51" s="2" t="str">
        <v>R</v>
      </c>
      <c r="P51" s="2" t="str">
        <v>R</v>
      </c>
      <c r="R51" s="2" t="str">
        <v>R</v>
      </c>
      <c r="T51" s="2" t="str">
        <v>R</v>
      </c>
      <c r="Y51" s="2" t="str">
        <v>R</v>
      </c>
      <c r="AA51" s="2" t="str">
        <v>R</v>
      </c>
      <c r="AC51" s="2" t="str">
        <v>R</v>
      </c>
      <c r="AE51" s="2" t="str">
        <v>R</v>
      </c>
      <c r="AG51" s="2" t="str">
        <v>R</v>
      </c>
      <c r="AI51" s="2" t="str">
        <v>R</v>
      </c>
      <c r="AK51" s="2" t="str">
        <v>R</v>
      </c>
      <c r="AM51" s="2" t="str">
        <v>R</v>
      </c>
      <c r="AO51" s="2" t="str">
        <v>R</v>
      </c>
    </row>
    <row r="52">
      <c r="B52" s="2" t="str">
        <v>+1.25</v>
      </c>
      <c r="D52" s="2" t="str">
        <v>L</v>
      </c>
      <c r="E52" s="2" t="str">
        <f>IF(QUOTIENT(E16+E17,2)&lt;2,2-QUOTIENT(E16+E17,2),"")</f>
        <v/>
      </c>
      <c r="F52" s="2" t="str">
        <v>L</v>
      </c>
      <c r="G52" s="2" t="str">
        <f>IF(QUOTIENT(G16+G17,2)&lt;2,2-QUOTIENT(G16+G17,2),"")</f>
        <v/>
      </c>
      <c r="H52" s="2" t="str">
        <v>L</v>
      </c>
      <c r="I52" s="2" t="str">
        <f>IF(QUOTIENT(I16+I17,2)&lt;2,2-QUOTIENT(I16+I17,2),"")</f>
        <v/>
      </c>
      <c r="J52" s="2" t="str">
        <v>L</v>
      </c>
      <c r="K52" s="2" t="str">
        <f>IF(QUOTIENT(K16+K17,2)&lt;2,2-QUOTIENT(K16+K17,2),"")</f>
        <v/>
      </c>
      <c r="L52" s="2" t="str">
        <v>L</v>
      </c>
      <c r="M52" s="2" t="str">
        <f>IF(QUOTIENT(M16+M17,2)&lt;2,2-QUOTIENT(M16+M17,2),"")</f>
        <v/>
      </c>
      <c r="N52" s="2" t="str">
        <v>L</v>
      </c>
      <c r="O52" s="2" t="str">
        <f>IF(QUOTIENT(O16+O17,2)&lt;2,2-QUOTIENT(O16+O17,2),"")</f>
        <v/>
      </c>
      <c r="P52" s="2" t="str">
        <v>L</v>
      </c>
      <c r="Q52" s="2" t="str">
        <f>IF(QUOTIENT(Q16+Q17,2)&lt;2,2-QUOTIENT(Q16+Q17,2),"")</f>
        <v/>
      </c>
      <c r="R52" s="2" t="str">
        <v>L</v>
      </c>
      <c r="S52" s="2" t="str">
        <f>IF(QUOTIENT(S16+S17,2)&lt;2,2-QUOTIENT(S16+S17,2),"")</f>
        <v/>
      </c>
      <c r="T52" s="2" t="str">
        <v>L</v>
      </c>
      <c r="W52" s="2" t="str">
        <v>-1.50</v>
      </c>
      <c r="Y52" s="2" t="str">
        <v>L</v>
      </c>
      <c r="AA52" s="2" t="str">
        <v>L</v>
      </c>
      <c r="AC52" s="2" t="str">
        <v>L</v>
      </c>
      <c r="AE52" s="2" t="str">
        <v>L</v>
      </c>
      <c r="AG52" s="2" t="str">
        <v>L</v>
      </c>
      <c r="AI52" s="2" t="str">
        <v>L</v>
      </c>
      <c r="AK52" s="2" t="str">
        <v>L</v>
      </c>
      <c r="AM52" s="2" t="str">
        <v>L</v>
      </c>
      <c r="AO52" s="2" t="str">
        <v>L</v>
      </c>
    </row>
    <row r="53">
      <c r="D53" s="2" t="str">
        <v>R</v>
      </c>
      <c r="F53" s="2" t="str">
        <v>R</v>
      </c>
      <c r="H53" s="2" t="str">
        <v>R</v>
      </c>
      <c r="J53" s="2" t="str">
        <v>R</v>
      </c>
      <c r="L53" s="2" t="str">
        <v>R</v>
      </c>
      <c r="N53" s="2" t="str">
        <v>R</v>
      </c>
      <c r="P53" s="2" t="str">
        <v>R</v>
      </c>
      <c r="R53" s="2" t="str">
        <v>R</v>
      </c>
      <c r="T53" s="2" t="str">
        <v>R</v>
      </c>
      <c r="Y53" s="2" t="str">
        <v>R</v>
      </c>
      <c r="AA53" s="2" t="str">
        <v>R</v>
      </c>
      <c r="AC53" s="2" t="str">
        <v>R</v>
      </c>
      <c r="AE53" s="2" t="str">
        <v>R</v>
      </c>
      <c r="AG53" s="2" t="str">
        <v>R</v>
      </c>
      <c r="AI53" s="2" t="str">
        <v>R</v>
      </c>
      <c r="AK53" s="2" t="str">
        <v>R</v>
      </c>
      <c r="AM53" s="2" t="str">
        <v>R</v>
      </c>
      <c r="AO53" s="2" t="str">
        <v>R</v>
      </c>
    </row>
    <row r="54">
      <c r="B54" s="2" t="str">
        <v>+1.50</v>
      </c>
      <c r="D54" s="2" t="str">
        <v>L</v>
      </c>
      <c r="E54" s="2" t="str">
        <f>IF(QUOTIENT(E18+E19,2)&lt;2,2-QUOTIENT(E18+E19,2),"")</f>
        <v/>
      </c>
      <c r="F54" s="2" t="str">
        <v>L</v>
      </c>
      <c r="G54" s="2" t="str">
        <f>IF(QUOTIENT(G18+G19,2)&lt;2,2-QUOTIENT(G18+G19,2),"")</f>
        <v/>
      </c>
      <c r="H54" s="2" t="str">
        <v>L</v>
      </c>
      <c r="I54" s="2">
        <f>IF(QUOTIENT(I18+I19,2)&lt;2,2-QUOTIENT(I18+I19,2),"")</f>
        <v>1</v>
      </c>
      <c r="J54" s="2" t="str">
        <v>L</v>
      </c>
      <c r="K54" s="2">
        <f>IF(QUOTIENT(K18+K19,2)&lt;2,2-QUOTIENT(K18+K19,2),"")</f>
        <v>1</v>
      </c>
      <c r="L54" s="2" t="str">
        <v>L</v>
      </c>
      <c r="M54" s="2" t="str">
        <f>IF(QUOTIENT(M18+M19,2)&lt;2,2-QUOTIENT(M18+M19,2),"")</f>
        <v/>
      </c>
      <c r="N54" s="2" t="str">
        <v>L</v>
      </c>
      <c r="O54" s="2" t="str">
        <f>IF(QUOTIENT(O18+O19,2)&lt;2,2-QUOTIENT(O18+O19,2),"")</f>
        <v/>
      </c>
      <c r="P54" s="2" t="str">
        <v>L</v>
      </c>
      <c r="Q54" s="2" t="str">
        <f>IF(QUOTIENT(Q18+Q19,2)&lt;2,2-QUOTIENT(Q18+Q19,2),"")</f>
        <v/>
      </c>
      <c r="R54" s="2" t="str">
        <v>L</v>
      </c>
      <c r="S54" s="2" t="str">
        <f>IF(QUOTIENT(S18+S19,2)&lt;2,2-QUOTIENT(S18+S19,2),"")</f>
        <v/>
      </c>
      <c r="T54" s="2" t="str">
        <v>L</v>
      </c>
      <c r="W54" s="2" t="str">
        <v>-1.75</v>
      </c>
      <c r="Y54" s="2" t="str">
        <v>L</v>
      </c>
      <c r="AA54" s="2" t="str">
        <v>L</v>
      </c>
      <c r="AC54" s="2" t="str">
        <v>L</v>
      </c>
      <c r="AE54" s="2" t="str">
        <v>L</v>
      </c>
      <c r="AG54" s="2" t="str">
        <v>L</v>
      </c>
      <c r="AI54" s="2" t="str">
        <v>L</v>
      </c>
      <c r="AK54" s="2" t="str">
        <v>L</v>
      </c>
      <c r="AM54" s="2" t="str">
        <v>L</v>
      </c>
      <c r="AO54" s="2" t="str">
        <v>L</v>
      </c>
    </row>
    <row r="55">
      <c r="D55" s="2" t="str">
        <v>R</v>
      </c>
      <c r="F55" s="2" t="str">
        <v>R</v>
      </c>
      <c r="H55" s="2" t="str">
        <v>R</v>
      </c>
      <c r="J55" s="2" t="str">
        <v>R</v>
      </c>
      <c r="L55" s="2" t="str">
        <v>R</v>
      </c>
      <c r="N55" s="2" t="str">
        <v>R</v>
      </c>
      <c r="P55" s="2" t="str">
        <v>R</v>
      </c>
      <c r="R55" s="2" t="str">
        <v>R</v>
      </c>
      <c r="T55" s="2" t="str">
        <v>R</v>
      </c>
      <c r="Y55" s="2" t="str">
        <v>R</v>
      </c>
      <c r="AA55" s="2" t="str">
        <v>R</v>
      </c>
      <c r="AC55" s="2" t="str">
        <v>R</v>
      </c>
      <c r="AE55" s="2" t="str">
        <v>R</v>
      </c>
      <c r="AG55" s="2" t="str">
        <v>R</v>
      </c>
      <c r="AI55" s="2" t="str">
        <v>R</v>
      </c>
      <c r="AK55" s="2" t="str">
        <v>R</v>
      </c>
      <c r="AM55" s="2" t="str">
        <v>R</v>
      </c>
      <c r="AO55" s="2" t="str">
        <v>R</v>
      </c>
    </row>
    <row r="56">
      <c r="B56" s="2" t="str">
        <v>+1.75</v>
      </c>
      <c r="D56" s="2" t="str">
        <v>L</v>
      </c>
      <c r="E56" s="2" t="str">
        <f>IF(QUOTIENT(E20+E21,2)&lt;2,2-QUOTIENT(E20+E21,2),"")</f>
        <v/>
      </c>
      <c r="F56" s="2" t="str">
        <v>L</v>
      </c>
      <c r="G56" s="2" t="str">
        <f>IF(QUOTIENT(G20+G21,2)&lt;2,2-QUOTIENT(G20+G21,2),"")</f>
        <v/>
      </c>
      <c r="H56" s="2" t="str">
        <v>L</v>
      </c>
      <c r="I56" s="2">
        <f>IF(QUOTIENT(I20+I21,2)&lt;2,2-QUOTIENT(I20+I21,2),"")</f>
        <v>1</v>
      </c>
      <c r="J56" s="2" t="str">
        <v>L</v>
      </c>
      <c r="K56" s="2">
        <f>IF(QUOTIENT(K20+K21,2)&lt;2,2-QUOTIENT(K20+K21,2),"")</f>
        <v>1</v>
      </c>
      <c r="L56" s="2" t="str">
        <v>L</v>
      </c>
      <c r="M56" s="2" t="str">
        <f>IF(QUOTIENT(M20+M21,2)&lt;2,2-QUOTIENT(M20+M21,2),"")</f>
        <v/>
      </c>
      <c r="N56" s="2" t="str">
        <v>L</v>
      </c>
      <c r="O56" s="2" t="str">
        <f>IF(QUOTIENT(O20+O21,2)&lt;2,2-QUOTIENT(O20+O21,2),"")</f>
        <v/>
      </c>
      <c r="P56" s="2" t="str">
        <v>L</v>
      </c>
      <c r="Q56" s="2" t="str">
        <f>IF(QUOTIENT(Q20+Q21,2)&lt;2,2-QUOTIENT(Q20+Q21,2),"")</f>
        <v/>
      </c>
      <c r="R56" s="2" t="str">
        <v>L</v>
      </c>
      <c r="S56" s="2" t="str">
        <f>IF(QUOTIENT(S20+S21,2)&lt;2,2-QUOTIENT(S20+S21,2),"")</f>
        <v/>
      </c>
      <c r="T56" s="2" t="str">
        <v>L</v>
      </c>
      <c r="W56" s="2" t="str">
        <v>-2.00</v>
      </c>
      <c r="Y56" s="2" t="str">
        <v>L</v>
      </c>
      <c r="AA56" s="2" t="str">
        <v>L</v>
      </c>
      <c r="AC56" s="2" t="str">
        <v>L</v>
      </c>
      <c r="AE56" s="2" t="str">
        <v>L</v>
      </c>
      <c r="AG56" s="2" t="str">
        <v>L</v>
      </c>
      <c r="AI56" s="2" t="str">
        <v>L</v>
      </c>
      <c r="AK56" s="2" t="str">
        <v>L</v>
      </c>
      <c r="AM56" s="2" t="str">
        <v>L</v>
      </c>
      <c r="AO56" s="2" t="str">
        <v>L</v>
      </c>
    </row>
    <row r="57">
      <c r="D57" s="2" t="str">
        <v>R</v>
      </c>
      <c r="F57" s="2" t="str">
        <v>R</v>
      </c>
      <c r="H57" s="2" t="str">
        <v>R</v>
      </c>
      <c r="J57" s="2" t="str">
        <v>R</v>
      </c>
      <c r="L57" s="2" t="str">
        <v>R</v>
      </c>
      <c r="N57" s="2" t="str">
        <v>R</v>
      </c>
      <c r="P57" s="2" t="str">
        <v>R</v>
      </c>
      <c r="R57" s="2" t="str">
        <v>R</v>
      </c>
      <c r="T57" s="2" t="str">
        <v>R</v>
      </c>
      <c r="Y57" s="2" t="str">
        <v>R</v>
      </c>
      <c r="AA57" s="2" t="str">
        <v>R</v>
      </c>
      <c r="AC57" s="2" t="str">
        <v>R</v>
      </c>
      <c r="AE57" s="2" t="str">
        <v>R</v>
      </c>
      <c r="AG57" s="2" t="str">
        <v>R</v>
      </c>
      <c r="AI57" s="2" t="str">
        <v>R</v>
      </c>
      <c r="AK57" s="2" t="str">
        <v>R</v>
      </c>
      <c r="AM57" s="2" t="str">
        <v>R</v>
      </c>
      <c r="AO57" s="2" t="str">
        <v>R</v>
      </c>
    </row>
    <row r="58">
      <c r="B58" s="2" t="str">
        <v>+2.00</v>
      </c>
      <c r="D58" s="2" t="str">
        <v>L</v>
      </c>
      <c r="E58" s="2" t="str">
        <f>IF(QUOTIENT(E22+E23,2)&lt;2,2-QUOTIENT(E22+E23,2),"")</f>
        <v/>
      </c>
      <c r="F58" s="2" t="str">
        <v>L</v>
      </c>
      <c r="G58" s="2" t="str">
        <f>IF(QUOTIENT(G22+G23,2)&lt;2,2-QUOTIENT(G22+G23,2),"")</f>
        <v/>
      </c>
      <c r="H58" s="2" t="str">
        <v>L</v>
      </c>
      <c r="I58" s="2" t="str">
        <f>IF(QUOTIENT(I22+I23,2)&lt;2,2-QUOTIENT(I22+I23,2),"")</f>
        <v/>
      </c>
      <c r="J58" s="2" t="str">
        <v>L</v>
      </c>
      <c r="K58" s="2" t="str">
        <f>IF(QUOTIENT(K22+K23,2)&lt;2,2-QUOTIENT(K22+K23,2),"")</f>
        <v/>
      </c>
      <c r="L58" s="2" t="str">
        <v>L</v>
      </c>
      <c r="M58" s="2" t="str">
        <f>IF(QUOTIENT(M22+M23,2)&lt;2,2-QUOTIENT(M22+M23,2),"")</f>
        <v/>
      </c>
      <c r="N58" s="2" t="str">
        <v>L</v>
      </c>
      <c r="O58" s="2" t="str">
        <f>IF(QUOTIENT(O22+O23,2)&lt;2,2-QUOTIENT(O22+O23,2),"")</f>
        <v/>
      </c>
      <c r="P58" s="2" t="str">
        <v>L</v>
      </c>
      <c r="Q58" s="2" t="str">
        <f>IF(QUOTIENT(Q22+Q23,2)&lt;2,2-QUOTIENT(Q22+Q23,2),"")</f>
        <v/>
      </c>
      <c r="R58" s="2" t="str">
        <v>L</v>
      </c>
      <c r="S58" s="2" t="str">
        <f>IF(QUOTIENT(S22+S23,2)&lt;2,2-QUOTIENT(S22+S23,2),"")</f>
        <v/>
      </c>
      <c r="T58" s="2" t="str">
        <v>L</v>
      </c>
    </row>
    <row r="59">
      <c r="D59" s="2" t="str">
        <v>R</v>
      </c>
      <c r="F59" s="2" t="str">
        <v>R</v>
      </c>
      <c r="H59" s="2" t="str">
        <v>R</v>
      </c>
      <c r="J59" s="2" t="str">
        <v>R</v>
      </c>
      <c r="L59" s="2" t="str">
        <v>R</v>
      </c>
      <c r="N59" s="2" t="str">
        <v>R</v>
      </c>
      <c r="P59" s="2" t="str">
        <v>R</v>
      </c>
      <c r="R59" s="2" t="str">
        <v>R</v>
      </c>
      <c r="T59" s="2" t="str">
        <v>R</v>
      </c>
    </row>
    <row r="60">
      <c r="B60" s="2" t="str">
        <v>+2.25</v>
      </c>
      <c r="D60" s="2" t="str">
        <v>L</v>
      </c>
      <c r="E60" s="2" t="str">
        <f>IF(QUOTIENT(E24+E25,2)&lt;2,2-QUOTIENT(E24+E25,2),"")</f>
        <v/>
      </c>
      <c r="F60" s="2" t="str">
        <v>L</v>
      </c>
      <c r="G60" s="2" t="str">
        <f>IF(QUOTIENT(G24+G25,2)&lt;2,2-QUOTIENT(G24+G25,2),"")</f>
        <v/>
      </c>
      <c r="H60" s="2" t="str">
        <v>L</v>
      </c>
      <c r="I60" s="2" t="str">
        <f>IF(QUOTIENT(I24+I25,2)&lt;2,2-QUOTIENT(I24+I25,2),"")</f>
        <v/>
      </c>
      <c r="J60" s="2" t="str">
        <v>L</v>
      </c>
      <c r="K60" s="2" t="str">
        <f>IF(QUOTIENT(K24+K25,2)&lt;2,2-QUOTIENT(K24+K25,2),"")</f>
        <v/>
      </c>
      <c r="L60" s="2" t="str">
        <v>L</v>
      </c>
      <c r="M60" s="2" t="str">
        <f>IF(QUOTIENT(M24+M25,2)&lt;2,2-QUOTIENT(M24+M25,2),"")</f>
        <v/>
      </c>
      <c r="N60" s="2" t="str">
        <v>L</v>
      </c>
      <c r="O60" s="2" t="str">
        <f>IF(QUOTIENT(O24+O25,2)&lt;2,2-QUOTIENT(O24+O25,2),"")</f>
        <v/>
      </c>
      <c r="P60" s="2" t="str">
        <v>L</v>
      </c>
      <c r="Q60" s="2" t="str">
        <f>IF(QUOTIENT(Q24+Q25,2)&lt;2,2-QUOTIENT(Q24+Q25,2),"")</f>
        <v/>
      </c>
      <c r="R60" s="2" t="str">
        <v>L</v>
      </c>
      <c r="S60" s="2" t="str">
        <f>IF(QUOTIENT(S24+S25,2)&lt;2,2-QUOTIENT(S24+S25,2),"")</f>
        <v/>
      </c>
      <c r="T60" s="2" t="str">
        <v>L</v>
      </c>
      <c r="AP60" s="2" t="str">
        <v>Piezas</v>
      </c>
      <c r="AQ60" s="2" t="str">
        <v>Pares</v>
      </c>
    </row>
    <row r="61">
      <c r="D61" s="2" t="str">
        <v>R</v>
      </c>
      <c r="F61" s="2" t="str">
        <v>R</v>
      </c>
      <c r="H61" s="2" t="str">
        <v>R</v>
      </c>
      <c r="J61" s="2" t="str">
        <v>R</v>
      </c>
      <c r="L61" s="2" t="str">
        <v>R</v>
      </c>
      <c r="N61" s="2" t="str">
        <v>R</v>
      </c>
      <c r="P61" s="2" t="str">
        <v>R</v>
      </c>
      <c r="R61" s="2" t="str">
        <v>R</v>
      </c>
      <c r="T61" s="2" t="str">
        <v>R</v>
      </c>
      <c r="AP61" s="2">
        <f>SUM(E6:E31)+SUM(G6:G31)+SUM(I6:I31)+SUM(K6:K31)+SUM(M6:M31)+SUM(O6:O31)+SUM(Q6:Q31)+SUM(S6:S31)+68</f>
        <v>487</v>
      </c>
      <c r="AQ61" s="2">
        <f>AP61/2</f>
        <v>243.5</v>
      </c>
    </row>
    <row r="62">
      <c r="B62" s="2" t="str">
        <v>+2.50</v>
      </c>
      <c r="D62" s="2" t="str">
        <v>L</v>
      </c>
      <c r="E62" s="2" t="str">
        <f>IF(QUOTIENT(E26+E27,2)&lt;2,2-QUOTIENT(E26+E27,2),"")</f>
        <v/>
      </c>
      <c r="F62" s="2" t="str">
        <v>L</v>
      </c>
      <c r="G62" s="2" t="str">
        <f>IF(QUOTIENT(G26+G27,2)&lt;2,2-QUOTIENT(G26+G27,2),"")</f>
        <v/>
      </c>
      <c r="H62" s="2" t="str">
        <v>L</v>
      </c>
      <c r="I62" s="2" t="str">
        <f>IF(QUOTIENT(I26+I27,2)&lt;2,2-QUOTIENT(I26+I27,2),"")</f>
        <v/>
      </c>
      <c r="J62" s="2" t="str">
        <v>L</v>
      </c>
      <c r="K62" s="2" t="str">
        <f>IF(QUOTIENT(K26+K27,2)&lt;2,2-QUOTIENT(K26+K27,2),"")</f>
        <v/>
      </c>
      <c r="L62" s="2" t="str">
        <v>L</v>
      </c>
      <c r="M62" s="2" t="str">
        <f>IF(QUOTIENT(M26+M27,2)&lt;2,2-QUOTIENT(M26+M27,2),"")</f>
        <v/>
      </c>
      <c r="N62" s="2" t="str">
        <v>L</v>
      </c>
      <c r="O62" s="2" t="str">
        <f>IF(QUOTIENT(O26+O27,2)&lt;2,2-QUOTIENT(O26+O27,2),"")</f>
        <v/>
      </c>
      <c r="P62" s="2" t="str">
        <v>L</v>
      </c>
      <c r="Q62" s="2" t="str">
        <f>IF(QUOTIENT(Q26+Q27,2)&lt;2,2-QUOTIENT(Q26+Q27,2),"")</f>
        <v/>
      </c>
      <c r="R62" s="2" t="str">
        <v>L</v>
      </c>
      <c r="S62" s="2">
        <f>IF(QUOTIENT(S26+S27,2)&lt;2,2-QUOTIENT(S26+S27,2),"")</f>
        <v>1</v>
      </c>
      <c r="T62" s="2" t="str">
        <v>L</v>
      </c>
      <c r="AP62" s="2" t="str">
        <v>Costo S/IVA</v>
      </c>
      <c r="AQ62" s="2" t="str">
        <v>Costo C/IVA</v>
      </c>
    </row>
    <row r="63">
      <c r="D63" s="2" t="str">
        <v>R</v>
      </c>
      <c r="F63" s="2" t="str">
        <v>R</v>
      </c>
      <c r="H63" s="2" t="str">
        <v>R</v>
      </c>
      <c r="J63" s="2" t="str">
        <v>R</v>
      </c>
      <c r="L63" s="2" t="str">
        <v>R</v>
      </c>
      <c r="N63" s="2" t="str">
        <v>R</v>
      </c>
      <c r="P63" s="2" t="str">
        <v>R</v>
      </c>
      <c r="R63" s="2" t="str">
        <v>R</v>
      </c>
      <c r="T63" s="2" t="str">
        <v>R</v>
      </c>
      <c r="AP63" s="2">
        <f>175*(AP61/2)</f>
        <v>42612.5</v>
      </c>
      <c r="AQ63" s="2">
        <f>AP63*1.16</f>
        <v>49430.5</v>
      </c>
    </row>
    <row r="64">
      <c r="B64" s="2" t="str">
        <v>+2.75</v>
      </c>
      <c r="D64" s="2" t="str">
        <v>L</v>
      </c>
      <c r="E64" s="2" t="str">
        <f>IF(QUOTIENT(E28+E29,2)&lt;2,2-QUOTIENT(E28+E29,2),"")</f>
        <v/>
      </c>
      <c r="F64" s="2" t="str">
        <v>L</v>
      </c>
      <c r="G64" s="2" t="str">
        <f>IF(QUOTIENT(G28+G29,2)&lt;2,2-QUOTIENT(G28+G29,2),"")</f>
        <v/>
      </c>
      <c r="H64" s="2" t="str">
        <v>L</v>
      </c>
      <c r="I64" s="2" t="str">
        <f>IF(QUOTIENT(I28+I29,2)&lt;2,2-QUOTIENT(I28+I29,2),"")</f>
        <v/>
      </c>
      <c r="J64" s="2" t="str">
        <v>L</v>
      </c>
      <c r="K64" s="2" t="str">
        <f>IF(QUOTIENT(K28+K29,2)&lt;2,2-QUOTIENT(K28+K29,2),"")</f>
        <v/>
      </c>
      <c r="L64" s="2" t="str">
        <v>L</v>
      </c>
      <c r="M64" s="2" t="str">
        <f>IF(QUOTIENT(M28+M29,2)&lt;2,2-QUOTIENT(M28+M29,2),"")</f>
        <v/>
      </c>
      <c r="N64" s="2" t="str">
        <v>L</v>
      </c>
      <c r="O64" s="2" t="str">
        <f>IF(QUOTIENT(O28+O29,2)&lt;2,2-QUOTIENT(O28+O29,2),"")</f>
        <v/>
      </c>
      <c r="P64" s="2" t="str">
        <v>L</v>
      </c>
      <c r="Q64" s="2" t="str">
        <f>IF(QUOTIENT(Q28+Q29,2)&lt;2,2-QUOTIENT(Q28+Q29,2),"")</f>
        <v/>
      </c>
      <c r="R64" s="2" t="str">
        <v>L</v>
      </c>
      <c r="S64" s="2" t="str">
        <f>IF(QUOTIENT(S28+S29,2)&lt;2,2-QUOTIENT(S28+S29,2),"")</f>
        <v/>
      </c>
      <c r="T64" s="2" t="str">
        <v>L</v>
      </c>
    </row>
    <row r="65">
      <c r="D65" s="2" t="str">
        <v>R</v>
      </c>
      <c r="F65" s="2" t="str">
        <v>R</v>
      </c>
      <c r="H65" s="2" t="str">
        <v>R</v>
      </c>
      <c r="J65" s="2" t="str">
        <v>R</v>
      </c>
      <c r="L65" s="2" t="str">
        <v>R</v>
      </c>
      <c r="N65" s="2" t="str">
        <v>R</v>
      </c>
      <c r="P65" s="2" t="str">
        <v>R</v>
      </c>
      <c r="R65" s="2" t="str">
        <v>R</v>
      </c>
      <c r="T65" s="2" t="str">
        <v>R</v>
      </c>
    </row>
    <row r="66">
      <c r="B66" s="2" t="str">
        <v>+3.00</v>
      </c>
      <c r="D66" s="2" t="str">
        <v>L</v>
      </c>
      <c r="E66" s="2" t="str">
        <f>IF(QUOTIENT(E30+E31,2)&lt;2,2-QUOTIENT(E30+E31,2),"")</f>
        <v/>
      </c>
      <c r="F66" s="2" t="str">
        <v>L</v>
      </c>
      <c r="G66" s="2" t="str">
        <f>IF(QUOTIENT(G30+G31,2)&lt;2,2-QUOTIENT(G30+G31,2),"")</f>
        <v/>
      </c>
      <c r="H66" s="2" t="str">
        <v>L</v>
      </c>
      <c r="I66" s="2" t="str">
        <f>IF(QUOTIENT(I30+I31,2)&lt;2,2-QUOTIENT(I30+I31,2),"")</f>
        <v/>
      </c>
      <c r="J66" s="2" t="str">
        <v>L</v>
      </c>
      <c r="K66" s="2" t="str">
        <f>IF(QUOTIENT(K30+K31,2)&lt;2,2-QUOTIENT(K30+K31,2),"")</f>
        <v/>
      </c>
      <c r="L66" s="2" t="str">
        <v>L</v>
      </c>
      <c r="M66" s="2" t="str">
        <f>IF(QUOTIENT(M30+M31,2)&lt;2,2-QUOTIENT(M30+M31,2),"")</f>
        <v/>
      </c>
      <c r="N66" s="2" t="str">
        <v>L</v>
      </c>
      <c r="O66" s="2" t="str">
        <f>IF(QUOTIENT(O30+O31,2)&lt;2,2-QUOTIENT(O30+O31,2),"")</f>
        <v/>
      </c>
      <c r="P66" s="2" t="str">
        <v>L</v>
      </c>
      <c r="Q66" s="2" t="str">
        <f>IF(QUOTIENT(Q30+Q31,2)&lt;2,2-QUOTIENT(Q30+Q31,2),"")</f>
        <v/>
      </c>
      <c r="R66" s="2" t="str">
        <v>L</v>
      </c>
      <c r="S66" s="2" t="str">
        <f>IF(QUOTIENT(S30+S31,2)&lt;2,2-QUOTIENT(S30+S31,2),"")</f>
        <v/>
      </c>
      <c r="T66" s="2" t="str">
        <v>L</v>
      </c>
    </row>
    <row r="67">
      <c r="D67" s="2" t="str">
        <v>R</v>
      </c>
      <c r="F67" s="2" t="str">
        <v>R</v>
      </c>
      <c r="H67" s="2" t="str">
        <v>R</v>
      </c>
      <c r="J67" s="2" t="str">
        <v>R</v>
      </c>
      <c r="L67" s="2" t="str">
        <v>R</v>
      </c>
      <c r="N67" s="2" t="str">
        <v>R</v>
      </c>
      <c r="P67" s="2" t="str">
        <v>R</v>
      </c>
      <c r="R67" s="2" t="str">
        <v>R</v>
      </c>
      <c r="T67" s="2" t="str">
        <v>R</v>
      </c>
    </row>
  </sheetData>
  <mergeCells count="214">
    <mergeCell ref="C1:AF1"/>
    <mergeCell ref="C3:T3"/>
    <mergeCell ref="X3:AO3"/>
    <mergeCell ref="C4:T4"/>
    <mergeCell ref="X4:AO4"/>
    <mergeCell ref="C5:D5"/>
    <mergeCell ref="E5:F5"/>
    <mergeCell ref="G5:H5"/>
    <mergeCell ref="I5:J5"/>
    <mergeCell ref="K5:L5"/>
    <mergeCell ref="AN5:AO5"/>
    <mergeCell ref="AB5:AC5"/>
    <mergeCell ref="AD5:AE5"/>
    <mergeCell ref="AF5:AG5"/>
    <mergeCell ref="AH5:AI5"/>
    <mergeCell ref="AJ5:AK5"/>
    <mergeCell ref="AL5:AM5"/>
    <mergeCell ref="M5:N5"/>
    <mergeCell ref="O5:P5"/>
    <mergeCell ref="Q5:R5"/>
    <mergeCell ref="S5:T5"/>
    <mergeCell ref="X5:Y5"/>
    <mergeCell ref="Z5:AA5"/>
    <mergeCell ref="A6:A30"/>
    <mergeCell ref="B6:B7"/>
    <mergeCell ref="V6:V30"/>
    <mergeCell ref="W6:W7"/>
    <mergeCell ref="B8:B9"/>
    <mergeCell ref="W8:W9"/>
    <mergeCell ref="B10:B11"/>
    <mergeCell ref="W10:W11"/>
    <mergeCell ref="B12:B13"/>
    <mergeCell ref="B28:B29"/>
    <mergeCell ref="W28:W29"/>
    <mergeCell ref="B30:B31"/>
    <mergeCell ref="W12:W13"/>
    <mergeCell ref="B14:B15"/>
    <mergeCell ref="W14:W15"/>
    <mergeCell ref="B16:B17"/>
    <mergeCell ref="W16:W17"/>
    <mergeCell ref="B18:B19"/>
    <mergeCell ref="W18:W19"/>
    <mergeCell ref="B26:B27"/>
    <mergeCell ref="W26:W27"/>
    <mergeCell ref="C37:AF37"/>
    <mergeCell ref="B20:B21"/>
    <mergeCell ref="W20:W21"/>
    <mergeCell ref="B22:B23"/>
    <mergeCell ref="W22:W23"/>
    <mergeCell ref="B24:B25"/>
    <mergeCell ref="W24:W25"/>
    <mergeCell ref="C39:T39"/>
    <mergeCell ref="X39:AO39"/>
    <mergeCell ref="B38:T38"/>
    <mergeCell ref="C40:T40"/>
    <mergeCell ref="X40:AO40"/>
    <mergeCell ref="C41:D41"/>
    <mergeCell ref="E41:F41"/>
    <mergeCell ref="G41:H41"/>
    <mergeCell ref="I41:J41"/>
    <mergeCell ref="K41:L41"/>
    <mergeCell ref="M41:N41"/>
    <mergeCell ref="AD41:AE41"/>
    <mergeCell ref="AF41:AG41"/>
    <mergeCell ref="AH41:AI41"/>
    <mergeCell ref="AJ41:AK41"/>
    <mergeCell ref="AL41:AM41"/>
    <mergeCell ref="AN41:AO41"/>
    <mergeCell ref="O41:P41"/>
    <mergeCell ref="Q41:R41"/>
    <mergeCell ref="S41:T41"/>
    <mergeCell ref="X41:Y41"/>
    <mergeCell ref="Z41:AA41"/>
    <mergeCell ref="AB41:AC41"/>
    <mergeCell ref="A42:A66"/>
    <mergeCell ref="B42:B43"/>
    <mergeCell ref="C42:C43"/>
    <mergeCell ref="E42:E43"/>
    <mergeCell ref="G42:G43"/>
    <mergeCell ref="I42:I43"/>
    <mergeCell ref="B62:B63"/>
    <mergeCell ref="C62:C63"/>
    <mergeCell ref="E62:E63"/>
    <mergeCell ref="G62:G63"/>
    <mergeCell ref="G46:G47"/>
    <mergeCell ref="I46:I47"/>
    <mergeCell ref="B50:B51"/>
    <mergeCell ref="C50:C51"/>
    <mergeCell ref="E50:E51"/>
    <mergeCell ref="G50:G51"/>
    <mergeCell ref="I50:I51"/>
    <mergeCell ref="B54:B55"/>
    <mergeCell ref="C54:C55"/>
    <mergeCell ref="E54:E55"/>
    <mergeCell ref="G54:G55"/>
    <mergeCell ref="I54:I55"/>
    <mergeCell ref="B60:B61"/>
    <mergeCell ref="C60:C61"/>
    <mergeCell ref="W42:W43"/>
    <mergeCell ref="B44:B45"/>
    <mergeCell ref="C44:C45"/>
    <mergeCell ref="E44:E45"/>
    <mergeCell ref="G44:G45"/>
    <mergeCell ref="I44:I45"/>
    <mergeCell ref="K44:K45"/>
    <mergeCell ref="M44:M45"/>
    <mergeCell ref="O44:O45"/>
    <mergeCell ref="Q44:Q45"/>
    <mergeCell ref="K42:K43"/>
    <mergeCell ref="M42:M43"/>
    <mergeCell ref="O42:O43"/>
    <mergeCell ref="Q42:Q43"/>
    <mergeCell ref="S42:S43"/>
    <mergeCell ref="V42:V66"/>
    <mergeCell ref="S44:S45"/>
    <mergeCell ref="S46:S47"/>
    <mergeCell ref="S48:S49"/>
    <mergeCell ref="S50:S51"/>
    <mergeCell ref="W44:W45"/>
    <mergeCell ref="B46:B47"/>
    <mergeCell ref="C46:C47"/>
    <mergeCell ref="E46:E47"/>
    <mergeCell ref="K46:K47"/>
    <mergeCell ref="M46:M47"/>
    <mergeCell ref="O46:O47"/>
    <mergeCell ref="Q46:Q47"/>
    <mergeCell ref="W46:W47"/>
    <mergeCell ref="B48:B49"/>
    <mergeCell ref="C48:C49"/>
    <mergeCell ref="E48:E49"/>
    <mergeCell ref="G48:G49"/>
    <mergeCell ref="I48:I49"/>
    <mergeCell ref="K48:K49"/>
    <mergeCell ref="M48:M49"/>
    <mergeCell ref="O48:O49"/>
    <mergeCell ref="Q48:Q49"/>
    <mergeCell ref="W48:W49"/>
    <mergeCell ref="K50:K51"/>
    <mergeCell ref="M50:M51"/>
    <mergeCell ref="O50:O51"/>
    <mergeCell ref="Q50:Q51"/>
    <mergeCell ref="W50:W51"/>
    <mergeCell ref="B52:B53"/>
    <mergeCell ref="C52:C53"/>
    <mergeCell ref="E52:E53"/>
    <mergeCell ref="G52:G53"/>
    <mergeCell ref="I52:I53"/>
    <mergeCell ref="K52:K53"/>
    <mergeCell ref="M52:M53"/>
    <mergeCell ref="O52:O53"/>
    <mergeCell ref="Q52:Q53"/>
    <mergeCell ref="S52:S53"/>
    <mergeCell ref="W52:W53"/>
    <mergeCell ref="K54:K55"/>
    <mergeCell ref="M54:M55"/>
    <mergeCell ref="O54:O55"/>
    <mergeCell ref="Q54:Q55"/>
    <mergeCell ref="S54:S55"/>
    <mergeCell ref="W54:W55"/>
    <mergeCell ref="B56:B57"/>
    <mergeCell ref="C56:C57"/>
    <mergeCell ref="E56:E57"/>
    <mergeCell ref="G56:G57"/>
    <mergeCell ref="I56:I57"/>
    <mergeCell ref="K56:K57"/>
    <mergeCell ref="M56:M57"/>
    <mergeCell ref="O56:O57"/>
    <mergeCell ref="Q56:Q57"/>
    <mergeCell ref="S56:S57"/>
    <mergeCell ref="W56:W57"/>
    <mergeCell ref="B58:B59"/>
    <mergeCell ref="C58:C59"/>
    <mergeCell ref="E58:E59"/>
    <mergeCell ref="G58:G59"/>
    <mergeCell ref="I58:I59"/>
    <mergeCell ref="K58:K59"/>
    <mergeCell ref="M58:M59"/>
    <mergeCell ref="O58:O59"/>
    <mergeCell ref="Q58:Q59"/>
    <mergeCell ref="S58:S59"/>
    <mergeCell ref="I62:I63"/>
    <mergeCell ref="K62:K63"/>
    <mergeCell ref="M62:M63"/>
    <mergeCell ref="O62:O63"/>
    <mergeCell ref="Q62:Q63"/>
    <mergeCell ref="S62:S63"/>
    <mergeCell ref="E60:E61"/>
    <mergeCell ref="G60:G61"/>
    <mergeCell ref="I60:I61"/>
    <mergeCell ref="K60:K61"/>
    <mergeCell ref="M60:M61"/>
    <mergeCell ref="O60:O61"/>
    <mergeCell ref="Q60:Q61"/>
    <mergeCell ref="S60:S61"/>
    <mergeCell ref="Q66:Q67"/>
    <mergeCell ref="S66:S67"/>
    <mergeCell ref="S64:S65"/>
    <mergeCell ref="B66:B67"/>
    <mergeCell ref="C66:C67"/>
    <mergeCell ref="E66:E67"/>
    <mergeCell ref="G66:G67"/>
    <mergeCell ref="I66:I67"/>
    <mergeCell ref="K66:K67"/>
    <mergeCell ref="M66:M67"/>
    <mergeCell ref="O66:O67"/>
    <mergeCell ref="B64:B65"/>
    <mergeCell ref="C64:C65"/>
    <mergeCell ref="E64:E65"/>
    <mergeCell ref="G64:G65"/>
    <mergeCell ref="I64:I65"/>
    <mergeCell ref="K64:K65"/>
    <mergeCell ref="M64:M65"/>
    <mergeCell ref="O64:O65"/>
    <mergeCell ref="Q64:Q65"/>
  </mergeCells>
  <pageMargins left="0.7" right="0.7" top="0.75" bottom="0.75" header="0.3" footer="0.3"/>
  <ignoredErrors>
    <ignoredError numberStoredAsText="1" sqref="A1:AQ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VS BLANCO</vt:lpstr>
      <vt:lpstr>VS AR</vt:lpstr>
      <vt:lpstr>VS BLUE PROTECT</vt:lpstr>
      <vt:lpstr>VS FOTO AR</vt:lpstr>
      <vt:lpstr>VS FOTO BLUE</vt:lpstr>
      <vt:lpstr>VS FOTO</vt:lpstr>
      <vt:lpstr>FT-L28 BLANCO</vt:lpstr>
      <vt:lpstr>FT-L28 FOTO</vt:lpstr>
      <vt:lpstr>FT-L28 AR</vt:lpstr>
      <vt:lpstr>FT-L28 FOTO AR</vt:lpstr>
      <vt:lpstr>PROG AR</vt:lpstr>
      <vt:lpstr>PROG FOTO 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2020-10-22T18:27:48Z</dcterms:created>
  <dcterms:modified xsi:type="dcterms:W3CDTF">2026-02-14T21:18:55Z</dcterms:modified>
  <cp:lastModifiedBy>PC</cp:lastModifiedBy>
  <cp:lastPrinted>2022-11-04T01:24:45Z</cp:lastPrinted>
  <dc:creator>Hp</dc:creator>
</cp:coreProperties>
</file>