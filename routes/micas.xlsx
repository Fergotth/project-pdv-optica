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628"/>
  <workbookPr codeName="ThisWorkbook"/>
  <mc:AlternateContent xmlns:mc="http://schemas.openxmlformats.org/markup-compatibility/2006">
    <mc:Choice Requires="x15">
      <x15ac:absPath xmlns:x15ac="http://schemas.microsoft.com/office/spreadsheetml/2010/11/ac" url="C:\Users\PC\Desktop\Carpeta en Red\"/>
    </mc:Choice>
  </mc:AlternateContent>
  <xr:revisionPtr revIDLastSave="0" documentId="13_ncr:1_{C4B45FCA-3A7E-4CB8-8688-E89FD193DAD6}" xr6:coauthVersionLast="47" xr6:coauthVersionMax="47" xr10:uidLastSave="{00000000-0000-0000-0000-000000000000}"/>
  <bookViews>
    <workbookView xWindow="-120" yWindow="-120" windowWidth="29040" windowHeight="15720" tabRatio="793" xr2:uid="{00000000-000D-0000-FFFF-FFFF00000000}"/>
  </bookViews>
  <sheets>
    <sheet name="VS BLANCO" sheetId="1" r:id="rId1"/>
    <sheet name="VS AR" sheetId="2" r:id="rId2"/>
    <sheet name="VS BLUE PROTECT" sheetId="3" r:id="rId3"/>
    <sheet name="VS FOTO AR" sheetId="7" r:id="rId4"/>
    <sheet name="VS FOTO BLUE" sheetId="15" r:id="rId5"/>
    <sheet name="VS FOTO" sheetId="4" r:id="rId6"/>
    <sheet name="FT-L28 BLANCO" sheetId="5" r:id="rId7"/>
    <sheet name="FT-L28 FOTO" sheetId="14" r:id="rId8"/>
    <sheet name="FT-L28 AR" sheetId="12" r:id="rId9"/>
    <sheet name="FT-L28 FOTO AR" sheetId="13" r:id="rId10"/>
    <sheet name="PROG AR" sheetId="6" r:id="rId11"/>
    <sheet name="PROG FOTO AR" sheetId="11" r:id="rId1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42" i="11" l="1"/>
  <c r="O42" i="11"/>
  <c r="M42" i="11"/>
  <c r="K42" i="11"/>
  <c r="C40" i="1"/>
  <c r="U64" i="15"/>
  <c r="E64" i="15"/>
  <c r="S39" i="15" l="1"/>
  <c r="T39" i="15"/>
  <c r="U39" i="15"/>
  <c r="V39" i="15"/>
  <c r="W39" i="15"/>
  <c r="X39" i="15"/>
  <c r="Y39" i="15"/>
  <c r="Z39" i="15"/>
  <c r="AA39" i="15"/>
  <c r="S40" i="15"/>
  <c r="T40" i="15"/>
  <c r="U40" i="15"/>
  <c r="V40" i="15"/>
  <c r="W40" i="15"/>
  <c r="X40" i="15"/>
  <c r="Y40" i="15"/>
  <c r="Z40" i="15"/>
  <c r="AA40" i="15"/>
  <c r="S41" i="15"/>
  <c r="T41" i="15"/>
  <c r="U41" i="15"/>
  <c r="V41" i="15"/>
  <c r="W41" i="15"/>
  <c r="X41" i="15"/>
  <c r="Y41" i="15"/>
  <c r="Z41" i="15"/>
  <c r="AA41" i="15"/>
  <c r="S42" i="15"/>
  <c r="T42" i="15"/>
  <c r="U42" i="15"/>
  <c r="V42" i="15"/>
  <c r="W42" i="15"/>
  <c r="X42" i="15"/>
  <c r="Y42" i="15"/>
  <c r="Z42" i="15"/>
  <c r="AA42" i="15"/>
  <c r="S43" i="15"/>
  <c r="T43" i="15"/>
  <c r="U43" i="15"/>
  <c r="V43" i="15"/>
  <c r="W43" i="15"/>
  <c r="X43" i="15"/>
  <c r="Y43" i="15"/>
  <c r="Z43" i="15"/>
  <c r="AA43" i="15"/>
  <c r="S44" i="15"/>
  <c r="T44" i="15"/>
  <c r="U44" i="15"/>
  <c r="V44" i="15"/>
  <c r="W44" i="15"/>
  <c r="X44" i="15"/>
  <c r="Y44" i="15"/>
  <c r="Z44" i="15"/>
  <c r="AA44" i="15"/>
  <c r="S45" i="15"/>
  <c r="T45" i="15"/>
  <c r="U45" i="15"/>
  <c r="V45" i="15"/>
  <c r="W45" i="15"/>
  <c r="X45" i="15"/>
  <c r="Y45" i="15"/>
  <c r="Z45" i="15"/>
  <c r="AA45" i="15"/>
  <c r="S46" i="15"/>
  <c r="T46" i="15"/>
  <c r="U46" i="15"/>
  <c r="V46" i="15"/>
  <c r="W46" i="15"/>
  <c r="X46" i="15"/>
  <c r="Y46" i="15"/>
  <c r="Z46" i="15"/>
  <c r="AA46" i="15"/>
  <c r="S47" i="15"/>
  <c r="T47" i="15"/>
  <c r="U47" i="15"/>
  <c r="V47" i="15"/>
  <c r="W47" i="15"/>
  <c r="X47" i="15"/>
  <c r="Y47" i="15"/>
  <c r="Z47" i="15"/>
  <c r="AA47" i="15"/>
  <c r="S48" i="15"/>
  <c r="T48" i="15"/>
  <c r="U48" i="15"/>
  <c r="V48" i="15"/>
  <c r="W48" i="15"/>
  <c r="X48" i="15"/>
  <c r="Y48" i="15"/>
  <c r="Z48" i="15"/>
  <c r="AA48" i="15"/>
  <c r="S37" i="15"/>
  <c r="T38" i="15"/>
  <c r="U38" i="15"/>
  <c r="V38" i="15"/>
  <c r="W38" i="15"/>
  <c r="X38" i="15"/>
  <c r="Y38" i="15"/>
  <c r="Z38" i="15"/>
  <c r="AA38" i="15"/>
  <c r="S38" i="15"/>
  <c r="T37" i="15"/>
  <c r="U37" i="15"/>
  <c r="V37" i="15"/>
  <c r="W37" i="15"/>
  <c r="X37" i="15"/>
  <c r="Y37" i="15"/>
  <c r="Z37" i="15"/>
  <c r="AA37" i="15"/>
  <c r="C39" i="15"/>
  <c r="D39" i="15"/>
  <c r="E39" i="15"/>
  <c r="F39" i="15"/>
  <c r="G39" i="15"/>
  <c r="H39" i="15"/>
  <c r="I39" i="15"/>
  <c r="J39" i="15"/>
  <c r="K39" i="15"/>
  <c r="C40" i="15"/>
  <c r="D40" i="15"/>
  <c r="E40" i="15"/>
  <c r="F40" i="15"/>
  <c r="G40" i="15"/>
  <c r="H40" i="15"/>
  <c r="I40" i="15"/>
  <c r="J40" i="15"/>
  <c r="K40" i="15"/>
  <c r="C41" i="15"/>
  <c r="D41" i="15"/>
  <c r="E41" i="15"/>
  <c r="F41" i="15"/>
  <c r="G41" i="15"/>
  <c r="H41" i="15"/>
  <c r="I41" i="15"/>
  <c r="J41" i="15"/>
  <c r="K41" i="15"/>
  <c r="C42" i="15"/>
  <c r="D42" i="15"/>
  <c r="E42" i="15"/>
  <c r="F42" i="15"/>
  <c r="G42" i="15"/>
  <c r="H42" i="15"/>
  <c r="I42" i="15"/>
  <c r="J42" i="15"/>
  <c r="K42" i="15"/>
  <c r="C43" i="15"/>
  <c r="D43" i="15"/>
  <c r="E43" i="15"/>
  <c r="F43" i="15"/>
  <c r="G43" i="15"/>
  <c r="H43" i="15"/>
  <c r="I43" i="15"/>
  <c r="J43" i="15"/>
  <c r="K43" i="15"/>
  <c r="C44" i="15"/>
  <c r="D44" i="15"/>
  <c r="E44" i="15"/>
  <c r="F44" i="15"/>
  <c r="G44" i="15"/>
  <c r="H44" i="15"/>
  <c r="I44" i="15"/>
  <c r="J44" i="15"/>
  <c r="K44" i="15"/>
  <c r="C45" i="15"/>
  <c r="D45" i="15"/>
  <c r="E45" i="15"/>
  <c r="F45" i="15"/>
  <c r="G45" i="15"/>
  <c r="H45" i="15"/>
  <c r="I45" i="15"/>
  <c r="J45" i="15"/>
  <c r="K45" i="15"/>
  <c r="C46" i="15"/>
  <c r="D46" i="15"/>
  <c r="E46" i="15"/>
  <c r="F46" i="15"/>
  <c r="G46" i="15"/>
  <c r="H46" i="15"/>
  <c r="I46" i="15"/>
  <c r="J46" i="15"/>
  <c r="K46" i="15"/>
  <c r="C47" i="15"/>
  <c r="D47" i="15"/>
  <c r="E47" i="15"/>
  <c r="F47" i="15"/>
  <c r="G47" i="15"/>
  <c r="H47" i="15"/>
  <c r="I47" i="15"/>
  <c r="J47" i="15"/>
  <c r="K47" i="15"/>
  <c r="C48" i="15"/>
  <c r="D48" i="15"/>
  <c r="E48" i="15"/>
  <c r="F48" i="15"/>
  <c r="G48" i="15"/>
  <c r="H48" i="15"/>
  <c r="I48" i="15"/>
  <c r="J48" i="15"/>
  <c r="K48" i="15"/>
  <c r="C49" i="15"/>
  <c r="D49" i="15"/>
  <c r="E49" i="15"/>
  <c r="F49" i="15"/>
  <c r="G49" i="15"/>
  <c r="H49" i="15"/>
  <c r="I49" i="15"/>
  <c r="J49" i="15"/>
  <c r="K49" i="15"/>
  <c r="D38" i="15"/>
  <c r="E38" i="15"/>
  <c r="F38" i="15"/>
  <c r="G38" i="15"/>
  <c r="H38" i="15"/>
  <c r="I38" i="15"/>
  <c r="J38" i="15"/>
  <c r="K38" i="15"/>
  <c r="C38" i="15"/>
  <c r="D37" i="15"/>
  <c r="E37" i="15"/>
  <c r="F37" i="15"/>
  <c r="G37" i="15"/>
  <c r="H37" i="15"/>
  <c r="I37" i="15"/>
  <c r="J37" i="15"/>
  <c r="K37" i="15"/>
  <c r="C37" i="15"/>
  <c r="U65" i="15"/>
  <c r="W65" i="15" s="1"/>
  <c r="W64" i="15"/>
  <c r="E65" i="15"/>
  <c r="G65" i="15" s="1"/>
  <c r="G64" i="15"/>
  <c r="AE47" i="2"/>
  <c r="AD47" i="2"/>
  <c r="AC47" i="2"/>
  <c r="AB47" i="2"/>
  <c r="AA47" i="2"/>
  <c r="Z47" i="2"/>
  <c r="Y47" i="2"/>
  <c r="X47" i="2"/>
  <c r="AE45" i="2"/>
  <c r="AD45" i="2"/>
  <c r="AC45" i="2"/>
  <c r="AB45" i="2"/>
  <c r="AA45" i="2"/>
  <c r="Z45" i="2"/>
  <c r="Y45" i="2"/>
  <c r="X45" i="2"/>
  <c r="AE43" i="2"/>
  <c r="AD43" i="2"/>
  <c r="AC43" i="2"/>
  <c r="AB43" i="2"/>
  <c r="AA43" i="2"/>
  <c r="Z43" i="2"/>
  <c r="Y43" i="2"/>
  <c r="X43" i="2"/>
  <c r="AE46" i="2"/>
  <c r="AD46" i="2"/>
  <c r="AC46" i="2"/>
  <c r="AB46" i="2"/>
  <c r="AA46" i="2"/>
  <c r="Z46" i="2"/>
  <c r="Y46" i="2"/>
  <c r="X46" i="2"/>
  <c r="AE44" i="2"/>
  <c r="AD44" i="2"/>
  <c r="AC44" i="2"/>
  <c r="AB44" i="2"/>
  <c r="AA44" i="2"/>
  <c r="Z44" i="2"/>
  <c r="Y44" i="2"/>
  <c r="X44" i="2"/>
  <c r="AE42" i="2"/>
  <c r="AD42" i="2"/>
  <c r="AC42" i="2"/>
  <c r="AB42" i="2"/>
  <c r="AA42" i="2"/>
  <c r="Z42" i="2"/>
  <c r="Y42" i="2"/>
  <c r="X42" i="2"/>
  <c r="AE41" i="2"/>
  <c r="AD41" i="2"/>
  <c r="AC41" i="2"/>
  <c r="AB41" i="2"/>
  <c r="AA41" i="2"/>
  <c r="Z41" i="2"/>
  <c r="Y41" i="2"/>
  <c r="X41" i="2"/>
  <c r="AE40" i="2"/>
  <c r="AD40" i="2"/>
  <c r="AC40" i="2"/>
  <c r="AB40" i="2"/>
  <c r="AA40" i="2"/>
  <c r="Z40" i="2"/>
  <c r="Y40" i="2"/>
  <c r="X40" i="2"/>
  <c r="W40" i="2"/>
  <c r="AO74" i="2"/>
  <c r="C42" i="3"/>
  <c r="D42" i="3"/>
  <c r="E42" i="3"/>
  <c r="F42" i="3"/>
  <c r="G42" i="3"/>
  <c r="C43" i="3"/>
  <c r="D43" i="3"/>
  <c r="E43" i="3"/>
  <c r="F43" i="3"/>
  <c r="G43" i="3"/>
  <c r="C44" i="3"/>
  <c r="D44" i="3"/>
  <c r="E44" i="3"/>
  <c r="F44" i="3"/>
  <c r="G44" i="3"/>
  <c r="D41" i="3"/>
  <c r="E41" i="3"/>
  <c r="F41" i="3"/>
  <c r="G41" i="3"/>
  <c r="C41" i="3"/>
  <c r="D40" i="3"/>
  <c r="E40" i="3"/>
  <c r="F40" i="3"/>
  <c r="G40" i="3"/>
  <c r="C40" i="3"/>
  <c r="AP61" i="11"/>
  <c r="C42" i="7"/>
  <c r="C43" i="7"/>
  <c r="C41" i="7"/>
  <c r="G40" i="7"/>
  <c r="F40" i="7"/>
  <c r="E40" i="7"/>
  <c r="D40" i="7"/>
  <c r="C40" i="7"/>
  <c r="G39" i="7"/>
  <c r="F39" i="7"/>
  <c r="E39" i="7"/>
  <c r="D39" i="7"/>
  <c r="C39" i="7"/>
  <c r="G38" i="7"/>
  <c r="F38" i="7"/>
  <c r="E38" i="7"/>
  <c r="D38" i="7"/>
  <c r="C38" i="7"/>
  <c r="G37" i="7"/>
  <c r="F37" i="7"/>
  <c r="E37" i="7"/>
  <c r="D37" i="7"/>
  <c r="E62" i="6"/>
  <c r="E67" i="15" l="1"/>
  <c r="G67" i="15"/>
  <c r="U67" i="15"/>
  <c r="W67" i="15"/>
  <c r="AQ61" i="11"/>
  <c r="AP63" i="11"/>
  <c r="AQ63" i="11" s="1"/>
  <c r="M48" i="6"/>
  <c r="M50" i="6"/>
  <c r="M52" i="6"/>
  <c r="O46" i="6"/>
  <c r="O48" i="6"/>
  <c r="O50" i="6"/>
  <c r="O52" i="6"/>
  <c r="O44" i="6"/>
  <c r="S42" i="6"/>
  <c r="Q42" i="6"/>
  <c r="O42" i="6"/>
  <c r="M54" i="6"/>
  <c r="M56" i="6"/>
  <c r="K50" i="6"/>
  <c r="K52" i="6"/>
  <c r="K54" i="6"/>
  <c r="K56" i="6"/>
  <c r="I50" i="6"/>
  <c r="I52" i="6"/>
  <c r="I54" i="6"/>
  <c r="I56" i="6"/>
  <c r="G50" i="6"/>
  <c r="G52" i="6"/>
  <c r="G54" i="6"/>
  <c r="G56" i="6"/>
  <c r="E48" i="6"/>
  <c r="E50" i="6"/>
  <c r="E52" i="6"/>
  <c r="E54" i="6"/>
  <c r="E56" i="6"/>
  <c r="K48" i="6"/>
  <c r="I48" i="6"/>
  <c r="G48" i="6"/>
  <c r="M46" i="6"/>
  <c r="K46" i="6"/>
  <c r="I46" i="6"/>
  <c r="G46" i="6"/>
  <c r="E46" i="6"/>
  <c r="M44" i="6"/>
  <c r="K44" i="6"/>
  <c r="I44" i="6"/>
  <c r="G44" i="6"/>
  <c r="E44" i="6"/>
  <c r="M42" i="6"/>
  <c r="K42" i="6"/>
  <c r="I42" i="6"/>
  <c r="G42" i="6"/>
  <c r="E42" i="6"/>
  <c r="D41" i="7"/>
  <c r="E41" i="7"/>
  <c r="F41" i="7"/>
  <c r="G41" i="7"/>
  <c r="T37" i="7"/>
  <c r="U37" i="7"/>
  <c r="V37" i="7"/>
  <c r="W37" i="7"/>
  <c r="S37" i="7"/>
  <c r="X42" i="3"/>
  <c r="Y42" i="3"/>
  <c r="Z42" i="3"/>
  <c r="AA42" i="3"/>
  <c r="X43" i="3"/>
  <c r="Y43" i="3"/>
  <c r="Z43" i="3"/>
  <c r="AA43" i="3"/>
  <c r="Y41" i="3"/>
  <c r="Z41" i="3"/>
  <c r="AA41" i="3"/>
  <c r="X41" i="3"/>
  <c r="Y40" i="3"/>
  <c r="Z40" i="3"/>
  <c r="AA40" i="3"/>
  <c r="X40" i="3"/>
  <c r="W42" i="3"/>
  <c r="W43" i="3"/>
  <c r="W44" i="3"/>
  <c r="W45" i="3"/>
  <c r="W46" i="3"/>
  <c r="W47" i="3"/>
  <c r="W48" i="3"/>
  <c r="W49" i="3"/>
  <c r="W50" i="3"/>
  <c r="W51" i="3"/>
  <c r="W52" i="3"/>
  <c r="W53" i="3"/>
  <c r="W54" i="3"/>
  <c r="W55" i="3"/>
  <c r="W41" i="3"/>
  <c r="W40" i="3"/>
  <c r="Y32" i="2"/>
  <c r="Y31" i="2"/>
  <c r="E32" i="2"/>
  <c r="E31" i="2"/>
  <c r="C45" i="3" l="1"/>
  <c r="C46" i="3"/>
  <c r="C47" i="3"/>
  <c r="C48" i="3"/>
  <c r="C42" i="2"/>
  <c r="D42" i="2"/>
  <c r="E42" i="2"/>
  <c r="F42" i="2"/>
  <c r="G42" i="2"/>
  <c r="C43" i="2"/>
  <c r="D43" i="2"/>
  <c r="E43" i="2"/>
  <c r="F43" i="2"/>
  <c r="G43" i="2"/>
  <c r="C44" i="2"/>
  <c r="D44" i="2"/>
  <c r="E44" i="2"/>
  <c r="F44" i="2"/>
  <c r="G44" i="2"/>
  <c r="D41" i="2"/>
  <c r="E41" i="2"/>
  <c r="F41" i="2"/>
  <c r="G41" i="2"/>
  <c r="C41" i="2"/>
  <c r="D40" i="2"/>
  <c r="E40" i="2"/>
  <c r="F40" i="2"/>
  <c r="G40" i="2"/>
  <c r="C40" i="2"/>
  <c r="AN44" i="6" l="1"/>
  <c r="AN46" i="6"/>
  <c r="AN48" i="6"/>
  <c r="AN50" i="6"/>
  <c r="AN52" i="6"/>
  <c r="AN54" i="6"/>
  <c r="AN42" i="6"/>
  <c r="AL44" i="6"/>
  <c r="AL46" i="6"/>
  <c r="AL48" i="6"/>
  <c r="AL50" i="6"/>
  <c r="AL52" i="6"/>
  <c r="AL54" i="6"/>
  <c r="AL56" i="6"/>
  <c r="AL42" i="6"/>
  <c r="AJ44" i="6"/>
  <c r="AJ46" i="6"/>
  <c r="AJ48" i="6"/>
  <c r="AJ50" i="6"/>
  <c r="AJ52" i="6"/>
  <c r="AJ54" i="6"/>
  <c r="AJ56" i="6"/>
  <c r="AJ42" i="6"/>
  <c r="AH44" i="6"/>
  <c r="AH46" i="6"/>
  <c r="AH48" i="6"/>
  <c r="AH50" i="6"/>
  <c r="AH52" i="6"/>
  <c r="AH54" i="6"/>
  <c r="AH56" i="6"/>
  <c r="AH42" i="6"/>
  <c r="AF44" i="6"/>
  <c r="AF46" i="6"/>
  <c r="AF48" i="6"/>
  <c r="AF50" i="6"/>
  <c r="AF52" i="6"/>
  <c r="AF54" i="6"/>
  <c r="AF56" i="6"/>
  <c r="AF42" i="6"/>
  <c r="AD44" i="6"/>
  <c r="AD46" i="6"/>
  <c r="AD48" i="6"/>
  <c r="AD50" i="6"/>
  <c r="AD52" i="6"/>
  <c r="AD54" i="6"/>
  <c r="AD56" i="6"/>
  <c r="AD42" i="6"/>
  <c r="AB44" i="6"/>
  <c r="AB46" i="6"/>
  <c r="AB48" i="6"/>
  <c r="AB50" i="6"/>
  <c r="AB52" i="6"/>
  <c r="AB54" i="6"/>
  <c r="AB56" i="6"/>
  <c r="AB42" i="6"/>
  <c r="Z56" i="6"/>
  <c r="Z54" i="6"/>
  <c r="Z52" i="6"/>
  <c r="Z50" i="6"/>
  <c r="Z48" i="6"/>
  <c r="Z46" i="6"/>
  <c r="Z44" i="6"/>
  <c r="Z42" i="6"/>
  <c r="S44" i="6"/>
  <c r="S46" i="6"/>
  <c r="S48" i="6"/>
  <c r="S50" i="6"/>
  <c r="S52" i="6"/>
  <c r="S54" i="6"/>
  <c r="S56" i="6"/>
  <c r="S58" i="6"/>
  <c r="S60" i="6"/>
  <c r="S62" i="6"/>
  <c r="S64" i="6"/>
  <c r="S66" i="6"/>
  <c r="Q44" i="6"/>
  <c r="Q46" i="6"/>
  <c r="Q48" i="6"/>
  <c r="Q50" i="6"/>
  <c r="Q52" i="6"/>
  <c r="Q54" i="6"/>
  <c r="Q56" i="6"/>
  <c r="Q58" i="6"/>
  <c r="Q60" i="6"/>
  <c r="Q62" i="6"/>
  <c r="Q64" i="6"/>
  <c r="Q66" i="6"/>
  <c r="O54" i="6"/>
  <c r="O56" i="6"/>
  <c r="O58" i="6"/>
  <c r="O60" i="6"/>
  <c r="O62" i="6"/>
  <c r="O64" i="6"/>
  <c r="O66" i="6"/>
  <c r="M58" i="6"/>
  <c r="M60" i="6"/>
  <c r="M62" i="6"/>
  <c r="M64" i="6"/>
  <c r="M66" i="6"/>
  <c r="K58" i="6"/>
  <c r="K60" i="6"/>
  <c r="K62" i="6"/>
  <c r="K64" i="6"/>
  <c r="K66" i="6"/>
  <c r="I58" i="6"/>
  <c r="I60" i="6"/>
  <c r="I62" i="6"/>
  <c r="I64" i="6"/>
  <c r="I66" i="6"/>
  <c r="G58" i="6"/>
  <c r="G60" i="6"/>
  <c r="G62" i="6"/>
  <c r="G64" i="6"/>
  <c r="G66" i="6"/>
  <c r="E58" i="6"/>
  <c r="E60" i="6"/>
  <c r="E64" i="6"/>
  <c r="E66" i="6"/>
  <c r="Q52" i="3"/>
  <c r="R52" i="3"/>
  <c r="S52" i="3"/>
  <c r="Q53" i="3"/>
  <c r="R53" i="3"/>
  <c r="S53" i="3"/>
  <c r="Q54" i="3"/>
  <c r="R54" i="3"/>
  <c r="S54" i="3"/>
  <c r="Q55" i="3"/>
  <c r="R55" i="3"/>
  <c r="S55" i="3"/>
  <c r="Q56" i="3"/>
  <c r="R56" i="3"/>
  <c r="S56" i="3"/>
  <c r="AN56" i="6"/>
  <c r="AN55" i="12"/>
  <c r="AN53" i="12"/>
  <c r="AN51" i="12"/>
  <c r="AN49" i="12"/>
  <c r="AN47" i="12"/>
  <c r="AN45" i="12"/>
  <c r="AN43" i="12"/>
  <c r="AN41" i="12"/>
  <c r="AL55" i="12"/>
  <c r="AL53" i="12"/>
  <c r="AL51" i="12"/>
  <c r="AL49" i="12"/>
  <c r="AL47" i="12"/>
  <c r="AL45" i="12"/>
  <c r="AL43" i="12"/>
  <c r="AL41" i="12"/>
  <c r="AJ55" i="12"/>
  <c r="AJ53" i="12"/>
  <c r="AJ51" i="12"/>
  <c r="AJ49" i="12"/>
  <c r="AJ47" i="12"/>
  <c r="AJ45" i="12"/>
  <c r="AJ43" i="12"/>
  <c r="AJ41" i="12"/>
  <c r="AH55" i="12"/>
  <c r="AH53" i="12"/>
  <c r="AH51" i="12"/>
  <c r="AH49" i="12"/>
  <c r="AH47" i="12"/>
  <c r="AH45" i="12"/>
  <c r="AH43" i="12"/>
  <c r="AH41" i="12"/>
  <c r="AF55" i="12"/>
  <c r="AF53" i="12"/>
  <c r="AF51" i="12"/>
  <c r="AF49" i="12"/>
  <c r="AF47" i="12"/>
  <c r="AF45" i="12"/>
  <c r="AF43" i="12"/>
  <c r="AF41" i="12"/>
  <c r="AD55" i="12"/>
  <c r="AD53" i="12"/>
  <c r="AD51" i="12"/>
  <c r="AD49" i="12"/>
  <c r="AD47" i="12"/>
  <c r="AD45" i="12"/>
  <c r="AD43" i="12"/>
  <c r="AD41" i="12"/>
  <c r="AB43" i="12"/>
  <c r="AB45" i="12"/>
  <c r="AB47" i="12"/>
  <c r="AB49" i="12"/>
  <c r="AB51" i="12"/>
  <c r="AB53" i="12"/>
  <c r="AB55" i="12"/>
  <c r="AB41" i="12"/>
  <c r="Z43" i="12"/>
  <c r="Z45" i="12"/>
  <c r="Z47" i="12"/>
  <c r="Z49" i="12"/>
  <c r="Z51" i="12"/>
  <c r="Z53" i="12"/>
  <c r="Z55" i="12"/>
  <c r="Z41" i="12"/>
  <c r="C53" i="1"/>
  <c r="C54" i="1"/>
  <c r="C55" i="1"/>
  <c r="C56" i="1"/>
  <c r="S63" i="12" l="1"/>
  <c r="S65" i="12"/>
  <c r="S59" i="12"/>
  <c r="S61" i="12"/>
  <c r="S43" i="12"/>
  <c r="S45" i="12"/>
  <c r="S47" i="12"/>
  <c r="S49" i="12"/>
  <c r="S51" i="12"/>
  <c r="S53" i="12"/>
  <c r="S55" i="12"/>
  <c r="S57" i="12"/>
  <c r="Q65" i="12"/>
  <c r="Q63" i="12"/>
  <c r="Q61" i="12"/>
  <c r="Q59" i="12"/>
  <c r="Q43" i="12"/>
  <c r="Q45" i="12"/>
  <c r="Q47" i="12"/>
  <c r="Q49" i="12"/>
  <c r="Q51" i="12"/>
  <c r="Q53" i="12"/>
  <c r="Q55" i="12"/>
  <c r="Q57" i="12"/>
  <c r="O65" i="12"/>
  <c r="O63" i="12"/>
  <c r="O61" i="12"/>
  <c r="O59" i="12"/>
  <c r="O57" i="12"/>
  <c r="O55" i="12"/>
  <c r="O53" i="12"/>
  <c r="O51" i="12"/>
  <c r="O49" i="12"/>
  <c r="O47" i="12"/>
  <c r="O45" i="12"/>
  <c r="O43" i="12"/>
  <c r="M65" i="12"/>
  <c r="M63" i="12"/>
  <c r="M61" i="12"/>
  <c r="M59" i="12"/>
  <c r="M57" i="12"/>
  <c r="M55" i="12"/>
  <c r="M53" i="12"/>
  <c r="M51" i="12"/>
  <c r="M49" i="12"/>
  <c r="M47" i="12"/>
  <c r="M45" i="12"/>
  <c r="M43" i="12"/>
  <c r="K65" i="12"/>
  <c r="K63" i="12"/>
  <c r="K61" i="12"/>
  <c r="K59" i="12"/>
  <c r="K57" i="12"/>
  <c r="K55" i="12"/>
  <c r="K53" i="12"/>
  <c r="K51" i="12"/>
  <c r="K43" i="12"/>
  <c r="K45" i="12"/>
  <c r="K47" i="12"/>
  <c r="K49" i="12"/>
  <c r="I65" i="12"/>
  <c r="I63" i="12"/>
  <c r="I61" i="12"/>
  <c r="I59" i="12"/>
  <c r="I57" i="12"/>
  <c r="I55" i="12"/>
  <c r="I53" i="12"/>
  <c r="I51" i="12"/>
  <c r="I49" i="12"/>
  <c r="I47" i="12"/>
  <c r="I43" i="12"/>
  <c r="I45" i="12"/>
  <c r="G61" i="12"/>
  <c r="G63" i="12"/>
  <c r="G65" i="12"/>
  <c r="G59" i="12"/>
  <c r="G57" i="12"/>
  <c r="G55" i="12"/>
  <c r="G47" i="12"/>
  <c r="G49" i="12"/>
  <c r="G51" i="12"/>
  <c r="G53" i="12"/>
  <c r="G45" i="12"/>
  <c r="G43" i="12"/>
  <c r="S41" i="12"/>
  <c r="Q41" i="12"/>
  <c r="O41" i="12"/>
  <c r="M41" i="12"/>
  <c r="K41" i="12"/>
  <c r="I41" i="12"/>
  <c r="G41" i="12"/>
  <c r="E43" i="12"/>
  <c r="E45" i="12"/>
  <c r="E47" i="12"/>
  <c r="E49" i="12"/>
  <c r="E51" i="12"/>
  <c r="E53" i="12"/>
  <c r="E55" i="12"/>
  <c r="E57" i="12"/>
  <c r="E59" i="12"/>
  <c r="E61" i="12"/>
  <c r="E63" i="12"/>
  <c r="E65" i="12"/>
  <c r="E41" i="12"/>
  <c r="S44" i="11"/>
  <c r="S46" i="11"/>
  <c r="S48" i="11"/>
  <c r="S50" i="11"/>
  <c r="S52" i="11"/>
  <c r="S54" i="11"/>
  <c r="S56" i="11"/>
  <c r="S58" i="11"/>
  <c r="S60" i="11"/>
  <c r="S62" i="11"/>
  <c r="S64" i="11"/>
  <c r="S66" i="11"/>
  <c r="S42" i="11"/>
  <c r="Q44" i="11"/>
  <c r="Q46" i="11"/>
  <c r="Q48" i="11"/>
  <c r="Q50" i="11"/>
  <c r="Q52" i="11"/>
  <c r="Q54" i="11"/>
  <c r="Q56" i="11"/>
  <c r="Q58" i="11"/>
  <c r="Q60" i="11"/>
  <c r="Q62" i="11"/>
  <c r="Q64" i="11"/>
  <c r="Q66" i="11"/>
  <c r="O44" i="11"/>
  <c r="O46" i="11"/>
  <c r="O48" i="11"/>
  <c r="O50" i="11"/>
  <c r="O52" i="11"/>
  <c r="O54" i="11"/>
  <c r="O56" i="11"/>
  <c r="O58" i="11"/>
  <c r="O60" i="11"/>
  <c r="O62" i="11"/>
  <c r="O64" i="11"/>
  <c r="O66" i="11"/>
  <c r="M44" i="11"/>
  <c r="M46" i="11"/>
  <c r="M48" i="11"/>
  <c r="M50" i="11"/>
  <c r="M52" i="11"/>
  <c r="M54" i="11"/>
  <c r="M56" i="11"/>
  <c r="M58" i="11"/>
  <c r="M60" i="11"/>
  <c r="M62" i="11"/>
  <c r="M64" i="11"/>
  <c r="M66" i="11"/>
  <c r="K44" i="11"/>
  <c r="K46" i="11"/>
  <c r="K48" i="11"/>
  <c r="K50" i="11"/>
  <c r="K52" i="11"/>
  <c r="K54" i="11"/>
  <c r="K56" i="11"/>
  <c r="K58" i="11"/>
  <c r="K60" i="11"/>
  <c r="K62" i="11"/>
  <c r="K64" i="11"/>
  <c r="K66" i="11"/>
  <c r="I44" i="11"/>
  <c r="I46" i="11"/>
  <c r="I48" i="11"/>
  <c r="I50" i="11"/>
  <c r="I52" i="11"/>
  <c r="I54" i="11"/>
  <c r="I56" i="11"/>
  <c r="I58" i="11"/>
  <c r="I60" i="11"/>
  <c r="I62" i="11"/>
  <c r="I64" i="11"/>
  <c r="I66" i="11"/>
  <c r="I42" i="11"/>
  <c r="G44" i="11"/>
  <c r="G46" i="11"/>
  <c r="G48" i="11"/>
  <c r="G50" i="11"/>
  <c r="G52" i="11"/>
  <c r="G54" i="11"/>
  <c r="G56" i="11"/>
  <c r="G58" i="11"/>
  <c r="G60" i="11"/>
  <c r="G62" i="11"/>
  <c r="G64" i="11"/>
  <c r="G66" i="11"/>
  <c r="G42" i="11"/>
  <c r="E44" i="11"/>
  <c r="E46" i="11"/>
  <c r="E48" i="11"/>
  <c r="E50" i="11"/>
  <c r="E52" i="11"/>
  <c r="E54" i="11"/>
  <c r="E56" i="11"/>
  <c r="E58" i="11"/>
  <c r="E60" i="11"/>
  <c r="E62" i="11"/>
  <c r="E64" i="11"/>
  <c r="E66" i="11"/>
  <c r="E42" i="11"/>
  <c r="S43" i="13"/>
  <c r="S45" i="13"/>
  <c r="S47" i="13"/>
  <c r="S49" i="13"/>
  <c r="S51" i="13"/>
  <c r="S53" i="13"/>
  <c r="S55" i="13"/>
  <c r="S57" i="13"/>
  <c r="S59" i="13"/>
  <c r="S61" i="13"/>
  <c r="S63" i="13"/>
  <c r="S65" i="13"/>
  <c r="S41" i="13"/>
  <c r="Q43" i="13"/>
  <c r="Q45" i="13"/>
  <c r="Q47" i="13"/>
  <c r="Q49" i="13"/>
  <c r="Q51" i="13"/>
  <c r="Q53" i="13"/>
  <c r="Q55" i="13"/>
  <c r="Q57" i="13"/>
  <c r="Q59" i="13"/>
  <c r="Q61" i="13"/>
  <c r="Q63" i="13"/>
  <c r="Q65" i="13"/>
  <c r="Q41" i="13"/>
  <c r="O43" i="13"/>
  <c r="O45" i="13"/>
  <c r="O47" i="13"/>
  <c r="O49" i="13"/>
  <c r="O51" i="13"/>
  <c r="O53" i="13"/>
  <c r="O55" i="13"/>
  <c r="O57" i="13"/>
  <c r="O59" i="13"/>
  <c r="O61" i="13"/>
  <c r="O63" i="13"/>
  <c r="O65" i="13"/>
  <c r="O41" i="13"/>
  <c r="M43" i="13"/>
  <c r="M45" i="13"/>
  <c r="M47" i="13"/>
  <c r="M49" i="13"/>
  <c r="M51" i="13"/>
  <c r="M53" i="13"/>
  <c r="M55" i="13"/>
  <c r="M57" i="13"/>
  <c r="M59" i="13"/>
  <c r="M61" i="13"/>
  <c r="M63" i="13"/>
  <c r="M65" i="13"/>
  <c r="M41" i="13"/>
  <c r="K43" i="13"/>
  <c r="K45" i="13"/>
  <c r="K47" i="13"/>
  <c r="K49" i="13"/>
  <c r="K51" i="13"/>
  <c r="K53" i="13"/>
  <c r="K55" i="13"/>
  <c r="K57" i="13"/>
  <c r="K59" i="13"/>
  <c r="K61" i="13"/>
  <c r="K63" i="13"/>
  <c r="K65" i="13"/>
  <c r="K41" i="13"/>
  <c r="I43" i="13"/>
  <c r="I45" i="13"/>
  <c r="I47" i="13"/>
  <c r="I49" i="13"/>
  <c r="I51" i="13"/>
  <c r="I53" i="13"/>
  <c r="I55" i="13"/>
  <c r="I57" i="13"/>
  <c r="I59" i="13"/>
  <c r="I61" i="13"/>
  <c r="I63" i="13"/>
  <c r="I65" i="13"/>
  <c r="I41" i="13"/>
  <c r="G43" i="13"/>
  <c r="G45" i="13"/>
  <c r="G47" i="13"/>
  <c r="G49" i="13"/>
  <c r="G51" i="13"/>
  <c r="G53" i="13"/>
  <c r="G55" i="13"/>
  <c r="G57" i="13"/>
  <c r="G59" i="13"/>
  <c r="G61" i="13"/>
  <c r="G63" i="13"/>
  <c r="G65" i="13"/>
  <c r="G41" i="13"/>
  <c r="E43" i="13"/>
  <c r="E45" i="13"/>
  <c r="E47" i="13"/>
  <c r="E49" i="13"/>
  <c r="E51" i="13"/>
  <c r="E53" i="13"/>
  <c r="E55" i="13"/>
  <c r="E57" i="13"/>
  <c r="E59" i="13"/>
  <c r="E61" i="13"/>
  <c r="E63" i="13"/>
  <c r="E65" i="13"/>
  <c r="E41" i="13"/>
  <c r="AN43" i="5"/>
  <c r="AN45" i="5"/>
  <c r="AN47" i="5"/>
  <c r="AN49" i="5"/>
  <c r="AN51" i="5"/>
  <c r="AN53" i="5"/>
  <c r="AN55" i="5"/>
  <c r="AL43" i="5"/>
  <c r="AL45" i="5"/>
  <c r="AL47" i="5"/>
  <c r="AL49" i="5"/>
  <c r="AL51" i="5"/>
  <c r="AL53" i="5"/>
  <c r="AL55" i="5"/>
  <c r="AJ43" i="5"/>
  <c r="AJ45" i="5"/>
  <c r="AJ47" i="5"/>
  <c r="AJ49" i="5"/>
  <c r="AJ51" i="5"/>
  <c r="AJ53" i="5"/>
  <c r="AJ55" i="5"/>
  <c r="AH43" i="5"/>
  <c r="AH45" i="5"/>
  <c r="AH47" i="5"/>
  <c r="AH49" i="5"/>
  <c r="AH51" i="5"/>
  <c r="AH53" i="5"/>
  <c r="AH55" i="5"/>
  <c r="AF43" i="5"/>
  <c r="AF45" i="5"/>
  <c r="AF47" i="5"/>
  <c r="AF49" i="5"/>
  <c r="AF51" i="5"/>
  <c r="AF53" i="5"/>
  <c r="AF55" i="5"/>
  <c r="AD43" i="5"/>
  <c r="AD45" i="5"/>
  <c r="AD47" i="5"/>
  <c r="AD49" i="5"/>
  <c r="AD51" i="5"/>
  <c r="AD53" i="5"/>
  <c r="AD55" i="5"/>
  <c r="AB43" i="5"/>
  <c r="AB45" i="5"/>
  <c r="AB47" i="5"/>
  <c r="AB49" i="5"/>
  <c r="AB51" i="5"/>
  <c r="AB53" i="5"/>
  <c r="AB55" i="5"/>
  <c r="AN41" i="5"/>
  <c r="AL41" i="5"/>
  <c r="AJ41" i="5"/>
  <c r="AH41" i="5"/>
  <c r="AF41" i="5"/>
  <c r="AD41" i="5"/>
  <c r="AB41" i="5"/>
  <c r="Z43" i="5"/>
  <c r="Z45" i="5"/>
  <c r="Z47" i="5"/>
  <c r="Z49" i="5"/>
  <c r="Z51" i="5"/>
  <c r="Z53" i="5"/>
  <c r="Z55" i="5"/>
  <c r="Z41" i="5"/>
  <c r="S43" i="5"/>
  <c r="S45" i="5"/>
  <c r="S47" i="5"/>
  <c r="S49" i="5"/>
  <c r="S51" i="5"/>
  <c r="S53" i="5"/>
  <c r="S55" i="5"/>
  <c r="S57" i="5"/>
  <c r="S59" i="5"/>
  <c r="S61" i="5"/>
  <c r="S63" i="5"/>
  <c r="S65" i="5"/>
  <c r="Q43" i="5"/>
  <c r="Q45" i="5"/>
  <c r="Q47" i="5"/>
  <c r="Q49" i="5"/>
  <c r="Q51" i="5"/>
  <c r="Q53" i="5"/>
  <c r="Q55" i="5"/>
  <c r="Q57" i="5"/>
  <c r="Q59" i="5"/>
  <c r="Q61" i="5"/>
  <c r="Q63" i="5"/>
  <c r="Q65" i="5"/>
  <c r="O43" i="5"/>
  <c r="O45" i="5"/>
  <c r="O47" i="5"/>
  <c r="O49" i="5"/>
  <c r="O51" i="5"/>
  <c r="O53" i="5"/>
  <c r="O55" i="5"/>
  <c r="O57" i="5"/>
  <c r="O59" i="5"/>
  <c r="O61" i="5"/>
  <c r="O63" i="5"/>
  <c r="O65" i="5"/>
  <c r="M43" i="5"/>
  <c r="M45" i="5"/>
  <c r="M47" i="5"/>
  <c r="M49" i="5"/>
  <c r="M51" i="5"/>
  <c r="M53" i="5"/>
  <c r="M55" i="5"/>
  <c r="M57" i="5"/>
  <c r="M59" i="5"/>
  <c r="M61" i="5"/>
  <c r="M63" i="5"/>
  <c r="M65" i="5"/>
  <c r="S41" i="5"/>
  <c r="Q41" i="5"/>
  <c r="O41" i="5"/>
  <c r="M41" i="5"/>
  <c r="K43" i="5"/>
  <c r="K45" i="5"/>
  <c r="K47" i="5"/>
  <c r="K49" i="5"/>
  <c r="K51" i="5"/>
  <c r="K53" i="5"/>
  <c r="K55" i="5"/>
  <c r="K57" i="5"/>
  <c r="K59" i="5"/>
  <c r="K61" i="5"/>
  <c r="K63" i="5"/>
  <c r="K65" i="5"/>
  <c r="K41" i="5"/>
  <c r="I43" i="5"/>
  <c r="I45" i="5"/>
  <c r="I47" i="5"/>
  <c r="I49" i="5"/>
  <c r="I51" i="5"/>
  <c r="I53" i="5"/>
  <c r="I55" i="5"/>
  <c r="I57" i="5"/>
  <c r="I59" i="5"/>
  <c r="I61" i="5"/>
  <c r="I63" i="5"/>
  <c r="I65" i="5"/>
  <c r="I41" i="5"/>
  <c r="E43" i="5"/>
  <c r="E45" i="5"/>
  <c r="E47" i="5"/>
  <c r="E49" i="5"/>
  <c r="E51" i="5"/>
  <c r="E53" i="5"/>
  <c r="E55" i="5"/>
  <c r="E57" i="5"/>
  <c r="E59" i="5"/>
  <c r="E61" i="5"/>
  <c r="E63" i="5"/>
  <c r="E65" i="5"/>
  <c r="E41" i="5"/>
  <c r="G43" i="5"/>
  <c r="G45" i="5"/>
  <c r="G47" i="5"/>
  <c r="G49" i="5"/>
  <c r="G51" i="5"/>
  <c r="G53" i="5"/>
  <c r="G55" i="5"/>
  <c r="G57" i="5"/>
  <c r="G59" i="5"/>
  <c r="G61" i="5"/>
  <c r="G63" i="5"/>
  <c r="G65" i="5"/>
  <c r="G41" i="5"/>
  <c r="W47" i="2" l="1"/>
  <c r="L40" i="3" l="1"/>
  <c r="M40" i="3"/>
  <c r="N40" i="3"/>
  <c r="O40" i="3"/>
  <c r="P40" i="3"/>
  <c r="Q40" i="3"/>
  <c r="R40" i="3"/>
  <c r="S40" i="3"/>
  <c r="L41" i="3"/>
  <c r="M41" i="3"/>
  <c r="N41" i="3"/>
  <c r="O41" i="3"/>
  <c r="P41" i="3"/>
  <c r="Q41" i="3"/>
  <c r="R41" i="3"/>
  <c r="S41" i="3"/>
  <c r="L42" i="3"/>
  <c r="M42" i="3"/>
  <c r="N42" i="3"/>
  <c r="O42" i="3"/>
  <c r="P42" i="3"/>
  <c r="Q42" i="3"/>
  <c r="R42" i="3"/>
  <c r="S42" i="3"/>
  <c r="L43" i="3"/>
  <c r="M43" i="3"/>
  <c r="N43" i="3"/>
  <c r="O43" i="3"/>
  <c r="P43" i="3"/>
  <c r="Q43" i="3"/>
  <c r="R43" i="3"/>
  <c r="S43" i="3"/>
  <c r="L44" i="3"/>
  <c r="M44" i="3"/>
  <c r="N44" i="3"/>
  <c r="O44" i="3"/>
  <c r="P44" i="3"/>
  <c r="Q44" i="3"/>
  <c r="R44" i="3"/>
  <c r="S44" i="3"/>
  <c r="L45" i="3"/>
  <c r="M45" i="3"/>
  <c r="N45" i="3"/>
  <c r="O45" i="3"/>
  <c r="P45" i="3"/>
  <c r="Q45" i="3"/>
  <c r="R45" i="3"/>
  <c r="S45" i="3"/>
  <c r="L46" i="3"/>
  <c r="M46" i="3"/>
  <c r="N46" i="3"/>
  <c r="O46" i="3"/>
  <c r="P46" i="3"/>
  <c r="Q46" i="3"/>
  <c r="R46" i="3"/>
  <c r="S46" i="3"/>
  <c r="L47" i="3"/>
  <c r="M47" i="3"/>
  <c r="N47" i="3"/>
  <c r="O47" i="3"/>
  <c r="P47" i="3"/>
  <c r="Q47" i="3"/>
  <c r="R47" i="3"/>
  <c r="S47" i="3"/>
  <c r="L48" i="3"/>
  <c r="M48" i="3"/>
  <c r="N48" i="3"/>
  <c r="O48" i="3"/>
  <c r="P48" i="3"/>
  <c r="Q48" i="3"/>
  <c r="R48" i="3"/>
  <c r="S48" i="3"/>
  <c r="L49" i="3"/>
  <c r="M49" i="3"/>
  <c r="N49" i="3"/>
  <c r="O49" i="3"/>
  <c r="P49" i="3"/>
  <c r="Q49" i="3"/>
  <c r="R49" i="3"/>
  <c r="S49" i="3"/>
  <c r="L50" i="3"/>
  <c r="M50" i="3"/>
  <c r="N50" i="3"/>
  <c r="O50" i="3"/>
  <c r="P50" i="3"/>
  <c r="Q50" i="3"/>
  <c r="R50" i="3"/>
  <c r="S50" i="3"/>
  <c r="L51" i="3"/>
  <c r="M51" i="3"/>
  <c r="N51" i="3"/>
  <c r="O51" i="3"/>
  <c r="P51" i="3"/>
  <c r="Q51" i="3"/>
  <c r="R51" i="3"/>
  <c r="S51" i="3"/>
  <c r="L52" i="3"/>
  <c r="M52" i="3"/>
  <c r="N52" i="3"/>
  <c r="O52" i="3"/>
  <c r="P52" i="3"/>
  <c r="L53" i="3"/>
  <c r="M53" i="3"/>
  <c r="N53" i="3"/>
  <c r="O53" i="3"/>
  <c r="P53" i="3"/>
  <c r="L54" i="3"/>
  <c r="M54" i="3"/>
  <c r="N54" i="3"/>
  <c r="O54" i="3"/>
  <c r="P54" i="3"/>
  <c r="L55" i="3"/>
  <c r="M55" i="3"/>
  <c r="N55" i="3"/>
  <c r="O55" i="3"/>
  <c r="P55" i="3"/>
  <c r="L56" i="3"/>
  <c r="M56" i="3"/>
  <c r="N56" i="3"/>
  <c r="O56" i="3"/>
  <c r="P56" i="3"/>
  <c r="C52" i="3"/>
  <c r="C53" i="3"/>
  <c r="C54" i="3"/>
  <c r="C55" i="3"/>
  <c r="C56" i="3"/>
  <c r="M40" i="1" l="1"/>
  <c r="N40" i="1"/>
  <c r="O40" i="1"/>
  <c r="P40" i="1"/>
  <c r="Q40" i="1"/>
  <c r="R40" i="1"/>
  <c r="S40" i="1"/>
  <c r="L40" i="1"/>
  <c r="E68" i="1" s="1"/>
  <c r="Y54" i="1"/>
  <c r="Z54" i="1"/>
  <c r="AA54" i="1"/>
  <c r="AB54" i="1"/>
  <c r="AC54" i="1"/>
  <c r="AD54" i="1"/>
  <c r="AE54" i="1"/>
  <c r="Y55" i="1"/>
  <c r="Z55" i="1"/>
  <c r="AA55" i="1"/>
  <c r="AB55" i="1"/>
  <c r="AC55" i="1"/>
  <c r="AD55" i="1"/>
  <c r="AE55" i="1"/>
  <c r="Z52" i="1"/>
  <c r="AA52" i="1"/>
  <c r="AB52" i="1"/>
  <c r="AC52" i="1"/>
  <c r="AD52" i="1"/>
  <c r="AE52" i="1"/>
  <c r="Z53" i="1"/>
  <c r="AA53" i="1"/>
  <c r="AB53" i="1"/>
  <c r="AC53" i="1"/>
  <c r="AD53" i="1"/>
  <c r="AE53" i="1"/>
  <c r="Y53" i="1"/>
  <c r="Y52" i="1"/>
  <c r="D55" i="1"/>
  <c r="E55" i="1"/>
  <c r="F55" i="1"/>
  <c r="G55" i="1"/>
  <c r="H55" i="1"/>
  <c r="I55" i="1"/>
  <c r="J55" i="1"/>
  <c r="K55" i="1"/>
  <c r="D56" i="1"/>
  <c r="E56" i="1"/>
  <c r="F56" i="1"/>
  <c r="G56" i="1"/>
  <c r="H56" i="1"/>
  <c r="I56" i="1"/>
  <c r="J56" i="1"/>
  <c r="K56" i="1"/>
  <c r="E53" i="1"/>
  <c r="F53" i="1"/>
  <c r="G53" i="1"/>
  <c r="H53" i="1"/>
  <c r="I53" i="1"/>
  <c r="J53" i="1"/>
  <c r="K53" i="1"/>
  <c r="E54" i="1"/>
  <c r="F54" i="1"/>
  <c r="G54" i="1"/>
  <c r="H54" i="1"/>
  <c r="I54" i="1"/>
  <c r="J54" i="1"/>
  <c r="K54" i="1"/>
  <c r="D54" i="1"/>
  <c r="D53" i="1"/>
  <c r="E51" i="1"/>
  <c r="F51" i="1"/>
  <c r="G51" i="1"/>
  <c r="H51" i="1"/>
  <c r="I51" i="1"/>
  <c r="J51" i="1"/>
  <c r="K51" i="1"/>
  <c r="D51" i="1"/>
  <c r="E52" i="1"/>
  <c r="F52" i="1"/>
  <c r="G52" i="1"/>
  <c r="H52" i="1"/>
  <c r="I52" i="1"/>
  <c r="J52" i="1"/>
  <c r="K52" i="1"/>
  <c r="D52" i="1"/>
  <c r="L43" i="1"/>
  <c r="M43" i="1"/>
  <c r="N43" i="1"/>
  <c r="O43" i="1"/>
  <c r="P43" i="1"/>
  <c r="Q43" i="1"/>
  <c r="R43" i="1"/>
  <c r="S43" i="1"/>
  <c r="L44" i="1"/>
  <c r="M44" i="1"/>
  <c r="N44" i="1"/>
  <c r="O44" i="1"/>
  <c r="P44" i="1"/>
  <c r="Q44" i="1"/>
  <c r="R44" i="1"/>
  <c r="S44" i="1"/>
  <c r="L45" i="1"/>
  <c r="M45" i="1"/>
  <c r="N45" i="1"/>
  <c r="O45" i="1"/>
  <c r="P45" i="1"/>
  <c r="Q45" i="1"/>
  <c r="R45" i="1"/>
  <c r="S45" i="1"/>
  <c r="L46" i="1"/>
  <c r="M46" i="1"/>
  <c r="N46" i="1"/>
  <c r="O46" i="1"/>
  <c r="P46" i="1"/>
  <c r="Q46" i="1"/>
  <c r="R46" i="1"/>
  <c r="S46" i="1"/>
  <c r="L47" i="1"/>
  <c r="M47" i="1"/>
  <c r="N47" i="1"/>
  <c r="O47" i="1"/>
  <c r="P47" i="1"/>
  <c r="Q47" i="1"/>
  <c r="R47" i="1"/>
  <c r="S47" i="1"/>
  <c r="L48" i="1"/>
  <c r="M48" i="1"/>
  <c r="N48" i="1"/>
  <c r="O48" i="1"/>
  <c r="P48" i="1"/>
  <c r="Q48" i="1"/>
  <c r="R48" i="1"/>
  <c r="S48" i="1"/>
  <c r="L49" i="1"/>
  <c r="M49" i="1"/>
  <c r="N49" i="1"/>
  <c r="O49" i="1"/>
  <c r="P49" i="1"/>
  <c r="Q49" i="1"/>
  <c r="R49" i="1"/>
  <c r="S49" i="1"/>
  <c r="L50" i="1"/>
  <c r="M50" i="1"/>
  <c r="N50" i="1"/>
  <c r="O50" i="1"/>
  <c r="P50" i="1"/>
  <c r="Q50" i="1"/>
  <c r="R50" i="1"/>
  <c r="S50" i="1"/>
  <c r="L51" i="1"/>
  <c r="M51" i="1"/>
  <c r="N51" i="1"/>
  <c r="O51" i="1"/>
  <c r="P51" i="1"/>
  <c r="Q51" i="1"/>
  <c r="R51" i="1"/>
  <c r="S51" i="1"/>
  <c r="L52" i="1"/>
  <c r="M52" i="1"/>
  <c r="N52" i="1"/>
  <c r="O52" i="1"/>
  <c r="P52" i="1"/>
  <c r="Q52" i="1"/>
  <c r="R52" i="1"/>
  <c r="S52" i="1"/>
  <c r="L53" i="1"/>
  <c r="M53" i="1"/>
  <c r="N53" i="1"/>
  <c r="O53" i="1"/>
  <c r="P53" i="1"/>
  <c r="Q53" i="1"/>
  <c r="R53" i="1"/>
  <c r="S53" i="1"/>
  <c r="L54" i="1"/>
  <c r="M54" i="1"/>
  <c r="N54" i="1"/>
  <c r="O54" i="1"/>
  <c r="P54" i="1"/>
  <c r="Q54" i="1"/>
  <c r="R54" i="1"/>
  <c r="S54" i="1"/>
  <c r="L55" i="1"/>
  <c r="M55" i="1"/>
  <c r="N55" i="1"/>
  <c r="O55" i="1"/>
  <c r="P55" i="1"/>
  <c r="Q55" i="1"/>
  <c r="R55" i="1"/>
  <c r="S55" i="1"/>
  <c r="L56" i="1"/>
  <c r="M56" i="1"/>
  <c r="N56" i="1"/>
  <c r="O56" i="1"/>
  <c r="P56" i="1"/>
  <c r="Q56" i="1"/>
  <c r="R56" i="1"/>
  <c r="S56" i="1"/>
  <c r="M41" i="1"/>
  <c r="N41" i="1"/>
  <c r="O41" i="1"/>
  <c r="P41" i="1"/>
  <c r="Q41" i="1"/>
  <c r="R41" i="1"/>
  <c r="S41" i="1"/>
  <c r="M42" i="1"/>
  <c r="N42" i="1"/>
  <c r="O42" i="1"/>
  <c r="P42" i="1"/>
  <c r="Q42" i="1"/>
  <c r="R42" i="1"/>
  <c r="S42" i="1"/>
  <c r="L42" i="1"/>
  <c r="L41" i="1"/>
  <c r="AF42" i="1"/>
  <c r="AG42" i="1"/>
  <c r="AH42" i="1"/>
  <c r="AI42" i="1"/>
  <c r="AJ42" i="1"/>
  <c r="AK42" i="1"/>
  <c r="AL42" i="1"/>
  <c r="AM42" i="1"/>
  <c r="AF43" i="1"/>
  <c r="AG43" i="1"/>
  <c r="AH43" i="1"/>
  <c r="AI43" i="1"/>
  <c r="AJ43" i="1"/>
  <c r="AK43" i="1"/>
  <c r="AL43" i="1"/>
  <c r="AM43" i="1"/>
  <c r="AF44" i="1"/>
  <c r="AG44" i="1"/>
  <c r="AH44" i="1"/>
  <c r="AI44" i="1"/>
  <c r="AJ44" i="1"/>
  <c r="AK44" i="1"/>
  <c r="AL44" i="1"/>
  <c r="AM44" i="1"/>
  <c r="AF45" i="1"/>
  <c r="AG45" i="1"/>
  <c r="AH45" i="1"/>
  <c r="AI45" i="1"/>
  <c r="AJ45" i="1"/>
  <c r="AK45" i="1"/>
  <c r="AL45" i="1"/>
  <c r="AM45" i="1"/>
  <c r="AF46" i="1"/>
  <c r="AG46" i="1"/>
  <c r="AH46" i="1"/>
  <c r="AI46" i="1"/>
  <c r="AJ46" i="1"/>
  <c r="AK46" i="1"/>
  <c r="AL46" i="1"/>
  <c r="AM46" i="1"/>
  <c r="AF47" i="1"/>
  <c r="AG47" i="1"/>
  <c r="AH47" i="1"/>
  <c r="AI47" i="1"/>
  <c r="AJ47" i="1"/>
  <c r="AK47" i="1"/>
  <c r="AL47" i="1"/>
  <c r="AM47" i="1"/>
  <c r="AF48" i="1"/>
  <c r="AG48" i="1"/>
  <c r="AH48" i="1"/>
  <c r="AI48" i="1"/>
  <c r="AJ48" i="1"/>
  <c r="AK48" i="1"/>
  <c r="AL48" i="1"/>
  <c r="AM48" i="1"/>
  <c r="AF49" i="1"/>
  <c r="AG49" i="1"/>
  <c r="AH49" i="1"/>
  <c r="AI49" i="1"/>
  <c r="AJ49" i="1"/>
  <c r="AK49" i="1"/>
  <c r="AL49" i="1"/>
  <c r="AM49" i="1"/>
  <c r="AF50" i="1"/>
  <c r="AG50" i="1"/>
  <c r="AH50" i="1"/>
  <c r="AI50" i="1"/>
  <c r="AJ50" i="1"/>
  <c r="AK50" i="1"/>
  <c r="AL50" i="1"/>
  <c r="AM50" i="1"/>
  <c r="AF51" i="1"/>
  <c r="AG51" i="1"/>
  <c r="AH51" i="1"/>
  <c r="AI51" i="1"/>
  <c r="AJ51" i="1"/>
  <c r="AK51" i="1"/>
  <c r="AL51" i="1"/>
  <c r="AM51" i="1"/>
  <c r="AF52" i="1"/>
  <c r="AG52" i="1"/>
  <c r="AH52" i="1"/>
  <c r="AI52" i="1"/>
  <c r="AJ52" i="1"/>
  <c r="AK52" i="1"/>
  <c r="AL52" i="1"/>
  <c r="AM52" i="1"/>
  <c r="AF53" i="1"/>
  <c r="AG53" i="1"/>
  <c r="AH53" i="1"/>
  <c r="AI53" i="1"/>
  <c r="AJ53" i="1"/>
  <c r="AK53" i="1"/>
  <c r="AL53" i="1"/>
  <c r="AM53" i="1"/>
  <c r="AF54" i="1"/>
  <c r="AG54" i="1"/>
  <c r="AH54" i="1"/>
  <c r="AI54" i="1"/>
  <c r="AJ54" i="1"/>
  <c r="AK54" i="1"/>
  <c r="AL54" i="1"/>
  <c r="AM54" i="1"/>
  <c r="AF55" i="1"/>
  <c r="AG55" i="1"/>
  <c r="AH55" i="1"/>
  <c r="AI55" i="1"/>
  <c r="AJ55" i="1"/>
  <c r="AK55" i="1"/>
  <c r="AL55" i="1"/>
  <c r="AM55" i="1"/>
  <c r="AG40" i="1"/>
  <c r="AH40" i="1"/>
  <c r="AI40" i="1"/>
  <c r="AJ40" i="1"/>
  <c r="AK40" i="1"/>
  <c r="AL40" i="1"/>
  <c r="AM40" i="1"/>
  <c r="AG41" i="1"/>
  <c r="AH41" i="1"/>
  <c r="AI41" i="1"/>
  <c r="AJ41" i="1"/>
  <c r="AK41" i="1"/>
  <c r="AL41" i="1"/>
  <c r="AM41" i="1"/>
  <c r="AF41" i="1"/>
  <c r="AF40" i="1"/>
  <c r="Y68" i="3"/>
  <c r="AC68" i="3" s="1"/>
  <c r="Y49" i="1"/>
  <c r="Z49" i="1"/>
  <c r="AA49" i="1"/>
  <c r="AB49" i="1"/>
  <c r="AC49" i="1"/>
  <c r="AD49" i="1"/>
  <c r="AE49" i="1"/>
  <c r="Y50" i="1"/>
  <c r="Z50" i="1"/>
  <c r="AA50" i="1"/>
  <c r="AB50" i="1"/>
  <c r="AC50" i="1"/>
  <c r="AD50" i="1"/>
  <c r="AE50" i="1"/>
  <c r="Y51" i="1"/>
  <c r="Z51" i="1"/>
  <c r="AA51" i="1"/>
  <c r="AB51" i="1"/>
  <c r="AC51" i="1"/>
  <c r="AD51" i="1"/>
  <c r="AE51" i="1"/>
  <c r="X51" i="1"/>
  <c r="X52" i="1"/>
  <c r="X53" i="1"/>
  <c r="X54" i="1"/>
  <c r="X55" i="1"/>
  <c r="X50" i="1"/>
  <c r="X49" i="1"/>
  <c r="X42" i="1"/>
  <c r="Y42" i="1"/>
  <c r="Z42" i="1"/>
  <c r="AA42" i="1"/>
  <c r="AB42" i="1"/>
  <c r="AC42" i="1"/>
  <c r="AD42" i="1"/>
  <c r="AE42" i="1"/>
  <c r="X43" i="1"/>
  <c r="Y43" i="1"/>
  <c r="Z43" i="1"/>
  <c r="AA43" i="1"/>
  <c r="AB43" i="1"/>
  <c r="AC43" i="1"/>
  <c r="AD43" i="1"/>
  <c r="AE43" i="1"/>
  <c r="X44" i="1"/>
  <c r="Y44" i="1"/>
  <c r="Z44" i="1"/>
  <c r="AA44" i="1"/>
  <c r="AB44" i="1"/>
  <c r="AC44" i="1"/>
  <c r="AD44" i="1"/>
  <c r="AE44" i="1"/>
  <c r="X45" i="1"/>
  <c r="Y45" i="1"/>
  <c r="Z45" i="1"/>
  <c r="AA45" i="1"/>
  <c r="AB45" i="1"/>
  <c r="AC45" i="1"/>
  <c r="AD45" i="1"/>
  <c r="AE45" i="1"/>
  <c r="X46" i="1"/>
  <c r="Y46" i="1"/>
  <c r="Z46" i="1"/>
  <c r="AA46" i="1"/>
  <c r="AB46" i="1"/>
  <c r="AC46" i="1"/>
  <c r="AD46" i="1"/>
  <c r="AE46" i="1"/>
  <c r="X47" i="1"/>
  <c r="Y47" i="1"/>
  <c r="Z47" i="1"/>
  <c r="AA47" i="1"/>
  <c r="AB47" i="1"/>
  <c r="AC47" i="1"/>
  <c r="AD47" i="1"/>
  <c r="AE47" i="1"/>
  <c r="X48" i="1"/>
  <c r="Y48" i="1"/>
  <c r="Z48" i="1"/>
  <c r="AA48" i="1"/>
  <c r="AB48" i="1"/>
  <c r="AC48" i="1"/>
  <c r="AD48" i="1"/>
  <c r="AE48" i="1"/>
  <c r="Y41" i="1"/>
  <c r="Z41" i="1"/>
  <c r="AA41" i="1"/>
  <c r="AB41" i="1"/>
  <c r="AC41" i="1"/>
  <c r="AD41" i="1"/>
  <c r="AE41" i="1"/>
  <c r="Y40" i="1"/>
  <c r="Z40" i="1"/>
  <c r="AA40" i="1"/>
  <c r="AB40" i="1"/>
  <c r="AC40" i="1"/>
  <c r="AD40" i="1"/>
  <c r="AE40" i="1"/>
  <c r="W42" i="1"/>
  <c r="W43" i="1"/>
  <c r="W44" i="1"/>
  <c r="W45" i="1"/>
  <c r="W46" i="1"/>
  <c r="W47" i="1"/>
  <c r="W48" i="1"/>
  <c r="W49" i="1"/>
  <c r="W50" i="1"/>
  <c r="W51" i="1"/>
  <c r="W52" i="1"/>
  <c r="W53" i="1"/>
  <c r="W54" i="1"/>
  <c r="W55" i="1"/>
  <c r="W41" i="1"/>
  <c r="W40" i="1"/>
  <c r="Y68" i="1" l="1"/>
  <c r="AC68" i="1" s="1"/>
  <c r="I68" i="1"/>
  <c r="AF42" i="2"/>
  <c r="AG42" i="2"/>
  <c r="AH42" i="2"/>
  <c r="AI42" i="2"/>
  <c r="AJ42" i="2"/>
  <c r="AK42" i="2"/>
  <c r="AL42" i="2"/>
  <c r="AM42" i="2"/>
  <c r="AF43" i="2"/>
  <c r="AG43" i="2"/>
  <c r="AH43" i="2"/>
  <c r="AI43" i="2"/>
  <c r="AJ43" i="2"/>
  <c r="AK43" i="2"/>
  <c r="AL43" i="2"/>
  <c r="AM43" i="2"/>
  <c r="AF44" i="2"/>
  <c r="AG44" i="2"/>
  <c r="AH44" i="2"/>
  <c r="AI44" i="2"/>
  <c r="AJ44" i="2"/>
  <c r="AK44" i="2"/>
  <c r="AL44" i="2"/>
  <c r="AM44" i="2"/>
  <c r="AF45" i="2"/>
  <c r="AG45" i="2"/>
  <c r="AH45" i="2"/>
  <c r="AI45" i="2"/>
  <c r="AJ45" i="2"/>
  <c r="AK45" i="2"/>
  <c r="AL45" i="2"/>
  <c r="AM45" i="2"/>
  <c r="AF46" i="2"/>
  <c r="AG46" i="2"/>
  <c r="AH46" i="2"/>
  <c r="AI46" i="2"/>
  <c r="AJ46" i="2"/>
  <c r="AK46" i="2"/>
  <c r="AL46" i="2"/>
  <c r="AM46" i="2"/>
  <c r="AF47" i="2"/>
  <c r="AG47" i="2"/>
  <c r="AH47" i="2"/>
  <c r="AI47" i="2"/>
  <c r="AJ47" i="2"/>
  <c r="AK47" i="2"/>
  <c r="AL47" i="2"/>
  <c r="AM47" i="2"/>
  <c r="X48" i="2"/>
  <c r="Y48" i="2"/>
  <c r="Z48" i="2"/>
  <c r="AA48" i="2"/>
  <c r="AB48" i="2"/>
  <c r="AC48" i="2"/>
  <c r="AD48" i="2"/>
  <c r="AE48" i="2"/>
  <c r="AF48" i="2"/>
  <c r="AG48" i="2"/>
  <c r="AH48" i="2"/>
  <c r="AI48" i="2"/>
  <c r="AJ48" i="2"/>
  <c r="AK48" i="2"/>
  <c r="AL48" i="2"/>
  <c r="AM48" i="2"/>
  <c r="X49" i="2"/>
  <c r="Y49" i="2"/>
  <c r="Z49" i="2"/>
  <c r="AA49" i="2"/>
  <c r="AB49" i="2"/>
  <c r="AC49" i="2"/>
  <c r="AD49" i="2"/>
  <c r="AE49" i="2"/>
  <c r="AF49" i="2"/>
  <c r="AG49" i="2"/>
  <c r="AH49" i="2"/>
  <c r="AI49" i="2"/>
  <c r="AJ49" i="2"/>
  <c r="AK49" i="2"/>
  <c r="AL49" i="2"/>
  <c r="AM49" i="2"/>
  <c r="X50" i="2"/>
  <c r="Y50" i="2"/>
  <c r="Z50" i="2"/>
  <c r="AA50" i="2"/>
  <c r="AB50" i="2"/>
  <c r="AC50" i="2"/>
  <c r="AD50" i="2"/>
  <c r="AE50" i="2"/>
  <c r="AF50" i="2"/>
  <c r="AG50" i="2"/>
  <c r="AH50" i="2"/>
  <c r="AI50" i="2"/>
  <c r="AJ50" i="2"/>
  <c r="AK50" i="2"/>
  <c r="AL50" i="2"/>
  <c r="AM50" i="2"/>
  <c r="X51" i="2"/>
  <c r="Y51" i="2"/>
  <c r="Z51" i="2"/>
  <c r="AA51" i="2"/>
  <c r="AB51" i="2"/>
  <c r="AC51" i="2"/>
  <c r="AD51" i="2"/>
  <c r="AE51" i="2"/>
  <c r="AF51" i="2"/>
  <c r="AG51" i="2"/>
  <c r="AH51" i="2"/>
  <c r="AI51" i="2"/>
  <c r="AJ51" i="2"/>
  <c r="AK51" i="2"/>
  <c r="AL51" i="2"/>
  <c r="AM51" i="2"/>
  <c r="X52" i="2"/>
  <c r="Y52" i="2"/>
  <c r="Z52" i="2"/>
  <c r="AA52" i="2"/>
  <c r="AB52" i="2"/>
  <c r="AC52" i="2"/>
  <c r="AD52" i="2"/>
  <c r="AE52" i="2"/>
  <c r="AF52" i="2"/>
  <c r="AG52" i="2"/>
  <c r="AH52" i="2"/>
  <c r="AI52" i="2"/>
  <c r="AJ52" i="2"/>
  <c r="AK52" i="2"/>
  <c r="AL52" i="2"/>
  <c r="AM52" i="2"/>
  <c r="X53" i="2"/>
  <c r="Y53" i="2"/>
  <c r="Z53" i="2"/>
  <c r="AA53" i="2"/>
  <c r="AB53" i="2"/>
  <c r="AC53" i="2"/>
  <c r="AD53" i="2"/>
  <c r="AE53" i="2"/>
  <c r="AF53" i="2"/>
  <c r="AG53" i="2"/>
  <c r="AH53" i="2"/>
  <c r="AI53" i="2"/>
  <c r="AJ53" i="2"/>
  <c r="AK53" i="2"/>
  <c r="AL53" i="2"/>
  <c r="AM53" i="2"/>
  <c r="X54" i="2"/>
  <c r="Y54" i="2"/>
  <c r="Z54" i="2"/>
  <c r="AA54" i="2"/>
  <c r="AB54" i="2"/>
  <c r="AC54" i="2"/>
  <c r="AD54" i="2"/>
  <c r="AE54" i="2"/>
  <c r="AF54" i="2"/>
  <c r="AG54" i="2"/>
  <c r="AH54" i="2"/>
  <c r="AI54" i="2"/>
  <c r="AJ54" i="2"/>
  <c r="AK54" i="2"/>
  <c r="AL54" i="2"/>
  <c r="AM54" i="2"/>
  <c r="X55" i="2"/>
  <c r="Y55" i="2"/>
  <c r="Z55" i="2"/>
  <c r="AA55" i="2"/>
  <c r="AB55" i="2"/>
  <c r="AC55" i="2"/>
  <c r="AD55" i="2"/>
  <c r="AE55" i="2"/>
  <c r="AF55" i="2"/>
  <c r="AG55" i="2"/>
  <c r="AH55" i="2"/>
  <c r="AI55" i="2"/>
  <c r="AJ55" i="2"/>
  <c r="AK55" i="2"/>
  <c r="AL55" i="2"/>
  <c r="AM55" i="2"/>
  <c r="X56" i="2"/>
  <c r="Y56" i="2"/>
  <c r="Z56" i="2"/>
  <c r="AA56" i="2"/>
  <c r="AB56" i="2"/>
  <c r="AC56" i="2"/>
  <c r="AD56" i="2"/>
  <c r="AE56" i="2"/>
  <c r="AF56" i="2"/>
  <c r="AG56" i="2"/>
  <c r="AH56" i="2"/>
  <c r="AI56" i="2"/>
  <c r="AJ56" i="2"/>
  <c r="AK56" i="2"/>
  <c r="AL56" i="2"/>
  <c r="AM56" i="2"/>
  <c r="X57" i="2"/>
  <c r="Y57" i="2"/>
  <c r="Z57" i="2"/>
  <c r="AA57" i="2"/>
  <c r="AB57" i="2"/>
  <c r="AC57" i="2"/>
  <c r="AD57" i="2"/>
  <c r="AE57" i="2"/>
  <c r="AF57" i="2"/>
  <c r="AG57" i="2"/>
  <c r="AH57" i="2"/>
  <c r="AI57" i="2"/>
  <c r="AJ57" i="2"/>
  <c r="AK57" i="2"/>
  <c r="AL57" i="2"/>
  <c r="AM57" i="2"/>
  <c r="X58" i="2"/>
  <c r="Y58" i="2"/>
  <c r="Z58" i="2"/>
  <c r="AA58" i="2"/>
  <c r="AB58" i="2"/>
  <c r="AC58" i="2"/>
  <c r="AD58" i="2"/>
  <c r="AE58" i="2"/>
  <c r="AF58" i="2"/>
  <c r="AG58" i="2"/>
  <c r="AH58" i="2"/>
  <c r="AI58" i="2"/>
  <c r="AJ58" i="2"/>
  <c r="AK58" i="2"/>
  <c r="AL58" i="2"/>
  <c r="AM58" i="2"/>
  <c r="X59" i="2"/>
  <c r="Y59" i="2"/>
  <c r="Z59" i="2"/>
  <c r="AA59" i="2"/>
  <c r="AB59" i="2"/>
  <c r="AC59" i="2"/>
  <c r="AD59" i="2"/>
  <c r="AE59" i="2"/>
  <c r="AF59" i="2"/>
  <c r="AG59" i="2"/>
  <c r="AH59" i="2"/>
  <c r="AI59" i="2"/>
  <c r="AJ59" i="2"/>
  <c r="AK59" i="2"/>
  <c r="AL59" i="2"/>
  <c r="AM59" i="2"/>
  <c r="AF41" i="2"/>
  <c r="AG41" i="2"/>
  <c r="AH41" i="2"/>
  <c r="AI41" i="2"/>
  <c r="AJ41" i="2"/>
  <c r="AK41" i="2"/>
  <c r="AL41" i="2"/>
  <c r="AM41" i="2"/>
  <c r="AF40" i="2"/>
  <c r="AG40" i="2"/>
  <c r="AH40" i="2"/>
  <c r="AI40" i="2"/>
  <c r="AJ40" i="2"/>
  <c r="AK40" i="2"/>
  <c r="AL40" i="2"/>
  <c r="AM40" i="2"/>
  <c r="Y68" i="2" l="1"/>
  <c r="AC68" i="2" s="1"/>
  <c r="AB39" i="7"/>
  <c r="AC39" i="7"/>
  <c r="AD39" i="7"/>
  <c r="AE39" i="7"/>
  <c r="AB40" i="7"/>
  <c r="AC40" i="7"/>
  <c r="AD40" i="7"/>
  <c r="AE40" i="7"/>
  <c r="AB41" i="7"/>
  <c r="AC41" i="7"/>
  <c r="AD41" i="7"/>
  <c r="AE41" i="7"/>
  <c r="AB42" i="7"/>
  <c r="AC42" i="7"/>
  <c r="AD42" i="7"/>
  <c r="AE42" i="7"/>
  <c r="AB43" i="7"/>
  <c r="AC43" i="7"/>
  <c r="AD43" i="7"/>
  <c r="AE43" i="7"/>
  <c r="AB44" i="7"/>
  <c r="AC44" i="7"/>
  <c r="AD44" i="7"/>
  <c r="AE44" i="7"/>
  <c r="AB45" i="7"/>
  <c r="AC45" i="7"/>
  <c r="AD45" i="7"/>
  <c r="AE45" i="7"/>
  <c r="AB46" i="7"/>
  <c r="AC46" i="7"/>
  <c r="AD46" i="7"/>
  <c r="AE46" i="7"/>
  <c r="AB47" i="7"/>
  <c r="AC47" i="7"/>
  <c r="AD47" i="7"/>
  <c r="AE47" i="7"/>
  <c r="AB48" i="7"/>
  <c r="AC48" i="7"/>
  <c r="AD48" i="7"/>
  <c r="AE48" i="7"/>
  <c r="AB38" i="7"/>
  <c r="AC38" i="7"/>
  <c r="AD38" i="7"/>
  <c r="AE38" i="7"/>
  <c r="AB37" i="7"/>
  <c r="AC37" i="7"/>
  <c r="AD37" i="7"/>
  <c r="AE37" i="7"/>
  <c r="C46" i="7"/>
  <c r="C47" i="7"/>
  <c r="C48" i="7"/>
  <c r="C49" i="7"/>
  <c r="C44" i="7"/>
  <c r="C45" i="7"/>
  <c r="C37" i="7"/>
  <c r="W41" i="2"/>
  <c r="W42" i="2"/>
  <c r="W43" i="2"/>
  <c r="W44" i="2"/>
  <c r="W45" i="2"/>
  <c r="W46" i="2"/>
  <c r="W48" i="2"/>
  <c r="W49" i="2"/>
  <c r="W50" i="2"/>
  <c r="W51" i="2"/>
  <c r="W52" i="2"/>
  <c r="W53" i="2"/>
  <c r="W54" i="2"/>
  <c r="W55" i="2"/>
  <c r="W56" i="2"/>
  <c r="W57" i="2"/>
  <c r="W58" i="2"/>
  <c r="W59" i="2"/>
  <c r="U65" i="7" l="1"/>
  <c r="W65" i="7" s="1"/>
  <c r="Y67" i="2"/>
  <c r="AC67" i="2" s="1"/>
  <c r="AC70" i="2" s="1"/>
  <c r="Z38" i="7"/>
  <c r="AA40" i="7"/>
  <c r="Y70" i="2" l="1"/>
  <c r="X41" i="1"/>
  <c r="X40" i="1"/>
  <c r="C43" i="1"/>
  <c r="D43" i="1"/>
  <c r="E43" i="1"/>
  <c r="F43" i="1"/>
  <c r="G43" i="1"/>
  <c r="H43" i="1"/>
  <c r="I43" i="1"/>
  <c r="J43" i="1"/>
  <c r="K43" i="1"/>
  <c r="C44" i="1"/>
  <c r="D44" i="1"/>
  <c r="E44" i="1"/>
  <c r="F44" i="1"/>
  <c r="G44" i="1"/>
  <c r="H44" i="1"/>
  <c r="I44" i="1"/>
  <c r="J44" i="1"/>
  <c r="K44" i="1"/>
  <c r="C45" i="1"/>
  <c r="D45" i="1"/>
  <c r="E45" i="1"/>
  <c r="F45" i="1"/>
  <c r="G45" i="1"/>
  <c r="H45" i="1"/>
  <c r="I45" i="1"/>
  <c r="J45" i="1"/>
  <c r="K45" i="1"/>
  <c r="C46" i="1"/>
  <c r="D46" i="1"/>
  <c r="E46" i="1"/>
  <c r="F46" i="1"/>
  <c r="G46" i="1"/>
  <c r="H46" i="1"/>
  <c r="I46" i="1"/>
  <c r="J46" i="1"/>
  <c r="K46" i="1"/>
  <c r="C47" i="1"/>
  <c r="D47" i="1"/>
  <c r="E47" i="1"/>
  <c r="F47" i="1"/>
  <c r="G47" i="1"/>
  <c r="H47" i="1"/>
  <c r="I47" i="1"/>
  <c r="J47" i="1"/>
  <c r="K47" i="1"/>
  <c r="C48" i="1"/>
  <c r="D48" i="1"/>
  <c r="E48" i="1"/>
  <c r="F48" i="1"/>
  <c r="G48" i="1"/>
  <c r="H48" i="1"/>
  <c r="I48" i="1"/>
  <c r="J48" i="1"/>
  <c r="K48" i="1"/>
  <c r="C49" i="1"/>
  <c r="D49" i="1"/>
  <c r="E49" i="1"/>
  <c r="F49" i="1"/>
  <c r="G49" i="1"/>
  <c r="H49" i="1"/>
  <c r="I49" i="1"/>
  <c r="J49" i="1"/>
  <c r="K49" i="1"/>
  <c r="C50" i="1"/>
  <c r="D50" i="1"/>
  <c r="E50" i="1"/>
  <c r="F50" i="1"/>
  <c r="G50" i="1"/>
  <c r="H50" i="1"/>
  <c r="I50" i="1"/>
  <c r="J50" i="1"/>
  <c r="K50" i="1"/>
  <c r="C51" i="1"/>
  <c r="C52" i="1"/>
  <c r="D41" i="1"/>
  <c r="E41" i="1"/>
  <c r="F41" i="1"/>
  <c r="G41" i="1"/>
  <c r="H41" i="1"/>
  <c r="I41" i="1"/>
  <c r="J41" i="1"/>
  <c r="K41" i="1"/>
  <c r="D42" i="1"/>
  <c r="E42" i="1"/>
  <c r="F42" i="1"/>
  <c r="G42" i="1"/>
  <c r="H42" i="1"/>
  <c r="I42" i="1"/>
  <c r="J42" i="1"/>
  <c r="K42" i="1"/>
  <c r="C42" i="1"/>
  <c r="C41" i="1"/>
  <c r="D40" i="1"/>
  <c r="E40" i="1"/>
  <c r="F40" i="1"/>
  <c r="G40" i="1"/>
  <c r="H40" i="1"/>
  <c r="I40" i="1"/>
  <c r="J40" i="1"/>
  <c r="K40" i="1"/>
  <c r="Y67" i="1" l="1"/>
  <c r="Y70" i="1" s="1"/>
  <c r="E67" i="1"/>
  <c r="I67" i="1" s="1"/>
  <c r="I70" i="1" s="1"/>
  <c r="S39" i="7"/>
  <c r="T39" i="7"/>
  <c r="U39" i="7"/>
  <c r="V39" i="7"/>
  <c r="W39" i="7"/>
  <c r="X39" i="7"/>
  <c r="Y39" i="7"/>
  <c r="Z39" i="7"/>
  <c r="AA39" i="7"/>
  <c r="S40" i="7"/>
  <c r="T40" i="7"/>
  <c r="U40" i="7"/>
  <c r="V40" i="7"/>
  <c r="W40" i="7"/>
  <c r="X40" i="7"/>
  <c r="Y40" i="7"/>
  <c r="Z40" i="7"/>
  <c r="S41" i="7"/>
  <c r="T41" i="7"/>
  <c r="U41" i="7"/>
  <c r="V41" i="7"/>
  <c r="W41" i="7"/>
  <c r="X41" i="7"/>
  <c r="Y41" i="7"/>
  <c r="Z41" i="7"/>
  <c r="AA41" i="7"/>
  <c r="S42" i="7"/>
  <c r="T42" i="7"/>
  <c r="U42" i="7"/>
  <c r="V42" i="7"/>
  <c r="W42" i="7"/>
  <c r="X42" i="7"/>
  <c r="Y42" i="7"/>
  <c r="Z42" i="7"/>
  <c r="AA42" i="7"/>
  <c r="S43" i="7"/>
  <c r="T43" i="7"/>
  <c r="U43" i="7"/>
  <c r="V43" i="7"/>
  <c r="W43" i="7"/>
  <c r="X43" i="7"/>
  <c r="Y43" i="7"/>
  <c r="Z43" i="7"/>
  <c r="AA43" i="7"/>
  <c r="S44" i="7"/>
  <c r="T44" i="7"/>
  <c r="U44" i="7"/>
  <c r="V44" i="7"/>
  <c r="W44" i="7"/>
  <c r="X44" i="7"/>
  <c r="Y44" i="7"/>
  <c r="Z44" i="7"/>
  <c r="AA44" i="7"/>
  <c r="S45" i="7"/>
  <c r="T45" i="7"/>
  <c r="U45" i="7"/>
  <c r="V45" i="7"/>
  <c r="W45" i="7"/>
  <c r="X45" i="7"/>
  <c r="Y45" i="7"/>
  <c r="Z45" i="7"/>
  <c r="AA45" i="7"/>
  <c r="S46" i="7"/>
  <c r="T46" i="7"/>
  <c r="U46" i="7"/>
  <c r="V46" i="7"/>
  <c r="W46" i="7"/>
  <c r="X46" i="7"/>
  <c r="Y46" i="7"/>
  <c r="Z46" i="7"/>
  <c r="AA46" i="7"/>
  <c r="S47" i="7"/>
  <c r="T47" i="7"/>
  <c r="U47" i="7"/>
  <c r="V47" i="7"/>
  <c r="W47" i="7"/>
  <c r="X47" i="7"/>
  <c r="Y47" i="7"/>
  <c r="Z47" i="7"/>
  <c r="AA47" i="7"/>
  <c r="S48" i="7"/>
  <c r="T48" i="7"/>
  <c r="U48" i="7"/>
  <c r="V48" i="7"/>
  <c r="W48" i="7"/>
  <c r="X48" i="7"/>
  <c r="Y48" i="7"/>
  <c r="Z48" i="7"/>
  <c r="AA48" i="7"/>
  <c r="T38" i="7"/>
  <c r="U38" i="7"/>
  <c r="V38" i="7"/>
  <c r="W38" i="7"/>
  <c r="X38" i="7"/>
  <c r="Y38" i="7"/>
  <c r="AA38" i="7"/>
  <c r="S38" i="7"/>
  <c r="X37" i="7"/>
  <c r="Y37" i="7"/>
  <c r="Z37" i="7"/>
  <c r="AA37" i="7"/>
  <c r="H43" i="2"/>
  <c r="I43" i="2"/>
  <c r="J43" i="2"/>
  <c r="K43" i="2"/>
  <c r="H44" i="2"/>
  <c r="I44" i="2"/>
  <c r="J44" i="2"/>
  <c r="K44" i="2"/>
  <c r="D45" i="2"/>
  <c r="E45" i="2"/>
  <c r="F45" i="2"/>
  <c r="G45" i="2"/>
  <c r="H45" i="2"/>
  <c r="I45" i="2"/>
  <c r="J45" i="2"/>
  <c r="K45" i="2"/>
  <c r="D46" i="2"/>
  <c r="E46" i="2"/>
  <c r="F46" i="2"/>
  <c r="G46" i="2"/>
  <c r="H46" i="2"/>
  <c r="I46" i="2"/>
  <c r="J46" i="2"/>
  <c r="K46" i="2"/>
  <c r="D47" i="2"/>
  <c r="E47" i="2"/>
  <c r="F47" i="2"/>
  <c r="G47" i="2"/>
  <c r="H47" i="2"/>
  <c r="I47" i="2"/>
  <c r="J47" i="2"/>
  <c r="K47" i="2"/>
  <c r="D48" i="2"/>
  <c r="E48" i="2"/>
  <c r="F48" i="2"/>
  <c r="G48" i="2"/>
  <c r="H48" i="2"/>
  <c r="I48" i="2"/>
  <c r="J48" i="2"/>
  <c r="K48" i="2"/>
  <c r="H42" i="2"/>
  <c r="I42" i="2"/>
  <c r="J42" i="2"/>
  <c r="K42" i="2"/>
  <c r="H41" i="2"/>
  <c r="I41" i="2"/>
  <c r="J41" i="2"/>
  <c r="K41" i="2"/>
  <c r="H40" i="2"/>
  <c r="I40" i="2"/>
  <c r="J40" i="2"/>
  <c r="K40" i="2"/>
  <c r="L40" i="2"/>
  <c r="M40" i="2"/>
  <c r="N40" i="2"/>
  <c r="O40" i="2"/>
  <c r="P40" i="2"/>
  <c r="Q40" i="2"/>
  <c r="R40" i="2"/>
  <c r="S40" i="2"/>
  <c r="C45" i="2"/>
  <c r="C46" i="2"/>
  <c r="C47" i="2"/>
  <c r="C48" i="2"/>
  <c r="C49" i="2"/>
  <c r="C50" i="2"/>
  <c r="C51" i="2"/>
  <c r="C52" i="2"/>
  <c r="C53" i="2"/>
  <c r="C54" i="2"/>
  <c r="C55" i="2"/>
  <c r="C56" i="2"/>
  <c r="C57" i="2"/>
  <c r="C58" i="2"/>
  <c r="C59" i="2"/>
  <c r="C60" i="2"/>
  <c r="C61" i="2"/>
  <c r="C62" i="2"/>
  <c r="C63" i="2"/>
  <c r="C64" i="2"/>
  <c r="L42" i="2"/>
  <c r="M42" i="2"/>
  <c r="N42" i="2"/>
  <c r="O42" i="2"/>
  <c r="P42" i="2"/>
  <c r="Q42" i="2"/>
  <c r="R42" i="2"/>
  <c r="S42" i="2"/>
  <c r="L43" i="2"/>
  <c r="M43" i="2"/>
  <c r="N43" i="2"/>
  <c r="O43" i="2"/>
  <c r="P43" i="2"/>
  <c r="Q43" i="2"/>
  <c r="R43" i="2"/>
  <c r="S43" i="2"/>
  <c r="L44" i="2"/>
  <c r="M44" i="2"/>
  <c r="N44" i="2"/>
  <c r="O44" i="2"/>
  <c r="P44" i="2"/>
  <c r="Q44" i="2"/>
  <c r="R44" i="2"/>
  <c r="S44" i="2"/>
  <c r="L45" i="2"/>
  <c r="M45" i="2"/>
  <c r="N45" i="2"/>
  <c r="O45" i="2"/>
  <c r="P45" i="2"/>
  <c r="Q45" i="2"/>
  <c r="R45" i="2"/>
  <c r="S45" i="2"/>
  <c r="L46" i="2"/>
  <c r="M46" i="2"/>
  <c r="N46" i="2"/>
  <c r="O46" i="2"/>
  <c r="P46" i="2"/>
  <c r="Q46" i="2"/>
  <c r="R46" i="2"/>
  <c r="S46" i="2"/>
  <c r="L47" i="2"/>
  <c r="M47" i="2"/>
  <c r="N47" i="2"/>
  <c r="O47" i="2"/>
  <c r="P47" i="2"/>
  <c r="Q47" i="2"/>
  <c r="R47" i="2"/>
  <c r="S47" i="2"/>
  <c r="L48" i="2"/>
  <c r="M48" i="2"/>
  <c r="N48" i="2"/>
  <c r="O48" i="2"/>
  <c r="P48" i="2"/>
  <c r="Q48" i="2"/>
  <c r="R48" i="2"/>
  <c r="S48" i="2"/>
  <c r="D49" i="2"/>
  <c r="E49" i="2"/>
  <c r="F49" i="2"/>
  <c r="G49" i="2"/>
  <c r="H49" i="2"/>
  <c r="I49" i="2"/>
  <c r="J49" i="2"/>
  <c r="K49" i="2"/>
  <c r="L49" i="2"/>
  <c r="M49" i="2"/>
  <c r="N49" i="2"/>
  <c r="O49" i="2"/>
  <c r="P49" i="2"/>
  <c r="Q49" i="2"/>
  <c r="R49" i="2"/>
  <c r="S49" i="2"/>
  <c r="D50" i="2"/>
  <c r="E50" i="2"/>
  <c r="F50" i="2"/>
  <c r="G50" i="2"/>
  <c r="H50" i="2"/>
  <c r="I50" i="2"/>
  <c r="J50" i="2"/>
  <c r="K50" i="2"/>
  <c r="L50" i="2"/>
  <c r="M50" i="2"/>
  <c r="N50" i="2"/>
  <c r="O50" i="2"/>
  <c r="P50" i="2"/>
  <c r="Q50" i="2"/>
  <c r="R50" i="2"/>
  <c r="S50" i="2"/>
  <c r="D51" i="2"/>
  <c r="E51" i="2"/>
  <c r="F51" i="2"/>
  <c r="G51" i="2"/>
  <c r="H51" i="2"/>
  <c r="I51" i="2"/>
  <c r="J51" i="2"/>
  <c r="K51" i="2"/>
  <c r="L51" i="2"/>
  <c r="M51" i="2"/>
  <c r="N51" i="2"/>
  <c r="O51" i="2"/>
  <c r="P51" i="2"/>
  <c r="Q51" i="2"/>
  <c r="R51" i="2"/>
  <c r="S51" i="2"/>
  <c r="D52" i="2"/>
  <c r="E52" i="2"/>
  <c r="F52" i="2"/>
  <c r="G52" i="2"/>
  <c r="H52" i="2"/>
  <c r="I52" i="2"/>
  <c r="J52" i="2"/>
  <c r="K52" i="2"/>
  <c r="L52" i="2"/>
  <c r="M52" i="2"/>
  <c r="N52" i="2"/>
  <c r="O52" i="2"/>
  <c r="P52" i="2"/>
  <c r="Q52" i="2"/>
  <c r="R52" i="2"/>
  <c r="S52" i="2"/>
  <c r="D53" i="2"/>
  <c r="E53" i="2"/>
  <c r="F53" i="2"/>
  <c r="G53" i="2"/>
  <c r="H53" i="2"/>
  <c r="I53" i="2"/>
  <c r="J53" i="2"/>
  <c r="K53" i="2"/>
  <c r="L53" i="2"/>
  <c r="M53" i="2"/>
  <c r="N53" i="2"/>
  <c r="O53" i="2"/>
  <c r="P53" i="2"/>
  <c r="Q53" i="2"/>
  <c r="R53" i="2"/>
  <c r="S53" i="2"/>
  <c r="D54" i="2"/>
  <c r="E54" i="2"/>
  <c r="F54" i="2"/>
  <c r="G54" i="2"/>
  <c r="H54" i="2"/>
  <c r="I54" i="2"/>
  <c r="J54" i="2"/>
  <c r="K54" i="2"/>
  <c r="L54" i="2"/>
  <c r="M54" i="2"/>
  <c r="N54" i="2"/>
  <c r="O54" i="2"/>
  <c r="P54" i="2"/>
  <c r="Q54" i="2"/>
  <c r="R54" i="2"/>
  <c r="S54" i="2"/>
  <c r="D55" i="2"/>
  <c r="E55" i="2"/>
  <c r="F55" i="2"/>
  <c r="G55" i="2"/>
  <c r="H55" i="2"/>
  <c r="I55" i="2"/>
  <c r="J55" i="2"/>
  <c r="K55" i="2"/>
  <c r="L55" i="2"/>
  <c r="M55" i="2"/>
  <c r="N55" i="2"/>
  <c r="O55" i="2"/>
  <c r="P55" i="2"/>
  <c r="Q55" i="2"/>
  <c r="R55" i="2"/>
  <c r="S55" i="2"/>
  <c r="D56" i="2"/>
  <c r="E56" i="2"/>
  <c r="F56" i="2"/>
  <c r="G56" i="2"/>
  <c r="H56" i="2"/>
  <c r="I56" i="2"/>
  <c r="J56" i="2"/>
  <c r="K56" i="2"/>
  <c r="L56" i="2"/>
  <c r="M56" i="2"/>
  <c r="N56" i="2"/>
  <c r="O56" i="2"/>
  <c r="P56" i="2"/>
  <c r="Q56" i="2"/>
  <c r="R56" i="2"/>
  <c r="S56" i="2"/>
  <c r="D57" i="2"/>
  <c r="E57" i="2"/>
  <c r="F57" i="2"/>
  <c r="G57" i="2"/>
  <c r="H57" i="2"/>
  <c r="I57" i="2"/>
  <c r="J57" i="2"/>
  <c r="K57" i="2"/>
  <c r="L57" i="2"/>
  <c r="M57" i="2"/>
  <c r="N57" i="2"/>
  <c r="O57" i="2"/>
  <c r="P57" i="2"/>
  <c r="Q57" i="2"/>
  <c r="R57" i="2"/>
  <c r="S57" i="2"/>
  <c r="D58" i="2"/>
  <c r="E58" i="2"/>
  <c r="F58" i="2"/>
  <c r="G58" i="2"/>
  <c r="H58" i="2"/>
  <c r="I58" i="2"/>
  <c r="J58" i="2"/>
  <c r="K58" i="2"/>
  <c r="L58" i="2"/>
  <c r="M58" i="2"/>
  <c r="N58" i="2"/>
  <c r="O58" i="2"/>
  <c r="P58" i="2"/>
  <c r="Q58" i="2"/>
  <c r="R58" i="2"/>
  <c r="S58" i="2"/>
  <c r="D59" i="2"/>
  <c r="E59" i="2"/>
  <c r="F59" i="2"/>
  <c r="G59" i="2"/>
  <c r="H59" i="2"/>
  <c r="I59" i="2"/>
  <c r="J59" i="2"/>
  <c r="K59" i="2"/>
  <c r="L59" i="2"/>
  <c r="M59" i="2"/>
  <c r="N59" i="2"/>
  <c r="O59" i="2"/>
  <c r="P59" i="2"/>
  <c r="Q59" i="2"/>
  <c r="R59" i="2"/>
  <c r="S59" i="2"/>
  <c r="D60" i="2"/>
  <c r="E60" i="2"/>
  <c r="F60" i="2"/>
  <c r="G60" i="2"/>
  <c r="H60" i="2"/>
  <c r="I60" i="2"/>
  <c r="J60" i="2"/>
  <c r="K60" i="2"/>
  <c r="L60" i="2"/>
  <c r="M60" i="2"/>
  <c r="N60" i="2"/>
  <c r="O60" i="2"/>
  <c r="P60" i="2"/>
  <c r="Q60" i="2"/>
  <c r="R60" i="2"/>
  <c r="S60" i="2"/>
  <c r="D61" i="2"/>
  <c r="E61" i="2"/>
  <c r="F61" i="2"/>
  <c r="G61" i="2"/>
  <c r="H61" i="2"/>
  <c r="I61" i="2"/>
  <c r="J61" i="2"/>
  <c r="K61" i="2"/>
  <c r="L61" i="2"/>
  <c r="M61" i="2"/>
  <c r="N61" i="2"/>
  <c r="O61" i="2"/>
  <c r="P61" i="2"/>
  <c r="Q61" i="2"/>
  <c r="R61" i="2"/>
  <c r="S61" i="2"/>
  <c r="D62" i="2"/>
  <c r="E62" i="2"/>
  <c r="F62" i="2"/>
  <c r="G62" i="2"/>
  <c r="H62" i="2"/>
  <c r="I62" i="2"/>
  <c r="J62" i="2"/>
  <c r="K62" i="2"/>
  <c r="L62" i="2"/>
  <c r="M62" i="2"/>
  <c r="N62" i="2"/>
  <c r="O62" i="2"/>
  <c r="P62" i="2"/>
  <c r="Q62" i="2"/>
  <c r="R62" i="2"/>
  <c r="S62" i="2"/>
  <c r="D63" i="2"/>
  <c r="E63" i="2"/>
  <c r="F63" i="2"/>
  <c r="G63" i="2"/>
  <c r="H63" i="2"/>
  <c r="I63" i="2"/>
  <c r="J63" i="2"/>
  <c r="K63" i="2"/>
  <c r="L63" i="2"/>
  <c r="M63" i="2"/>
  <c r="N63" i="2"/>
  <c r="O63" i="2"/>
  <c r="P63" i="2"/>
  <c r="Q63" i="2"/>
  <c r="R63" i="2"/>
  <c r="S63" i="2"/>
  <c r="D64" i="2"/>
  <c r="E64" i="2"/>
  <c r="F64" i="2"/>
  <c r="G64" i="2"/>
  <c r="H64" i="2"/>
  <c r="I64" i="2"/>
  <c r="J64" i="2"/>
  <c r="K64" i="2"/>
  <c r="L64" i="2"/>
  <c r="M64" i="2"/>
  <c r="N64" i="2"/>
  <c r="O64" i="2"/>
  <c r="P64" i="2"/>
  <c r="Q64" i="2"/>
  <c r="R64" i="2"/>
  <c r="S64" i="2"/>
  <c r="L41" i="2"/>
  <c r="M41" i="2"/>
  <c r="N41" i="2"/>
  <c r="O41" i="2"/>
  <c r="P41" i="2"/>
  <c r="Q41" i="2"/>
  <c r="R41" i="2"/>
  <c r="S41" i="2"/>
  <c r="D44" i="7"/>
  <c r="E44" i="7"/>
  <c r="F44" i="7"/>
  <c r="G44" i="7"/>
  <c r="H44" i="7"/>
  <c r="I44" i="7"/>
  <c r="J44" i="7"/>
  <c r="K44" i="7"/>
  <c r="L44" i="7"/>
  <c r="M44" i="7"/>
  <c r="N44" i="7"/>
  <c r="O44" i="7"/>
  <c r="D45" i="7"/>
  <c r="E45" i="7"/>
  <c r="F45" i="7"/>
  <c r="G45" i="7"/>
  <c r="H45" i="7"/>
  <c r="I45" i="7"/>
  <c r="J45" i="7"/>
  <c r="K45" i="7"/>
  <c r="L45" i="7"/>
  <c r="M45" i="7"/>
  <c r="N45" i="7"/>
  <c r="O45" i="7"/>
  <c r="D46" i="7"/>
  <c r="E46" i="7"/>
  <c r="F46" i="7"/>
  <c r="G46" i="7"/>
  <c r="H46" i="7"/>
  <c r="I46" i="7"/>
  <c r="J46" i="7"/>
  <c r="K46" i="7"/>
  <c r="L46" i="7"/>
  <c r="M46" i="7"/>
  <c r="N46" i="7"/>
  <c r="O46" i="7"/>
  <c r="D47" i="7"/>
  <c r="E47" i="7"/>
  <c r="F47" i="7"/>
  <c r="G47" i="7"/>
  <c r="H47" i="7"/>
  <c r="I47" i="7"/>
  <c r="J47" i="7"/>
  <c r="K47" i="7"/>
  <c r="L47" i="7"/>
  <c r="M47" i="7"/>
  <c r="N47" i="7"/>
  <c r="O47" i="7"/>
  <c r="D48" i="7"/>
  <c r="E48" i="7"/>
  <c r="F48" i="7"/>
  <c r="G48" i="7"/>
  <c r="H48" i="7"/>
  <c r="I48" i="7"/>
  <c r="J48" i="7"/>
  <c r="K48" i="7"/>
  <c r="L48" i="7"/>
  <c r="M48" i="7"/>
  <c r="N48" i="7"/>
  <c r="O48" i="7"/>
  <c r="D49" i="7"/>
  <c r="E49" i="7"/>
  <c r="F49" i="7"/>
  <c r="G49" i="7"/>
  <c r="H49" i="7"/>
  <c r="I49" i="7"/>
  <c r="J49" i="7"/>
  <c r="K49" i="7"/>
  <c r="L49" i="7"/>
  <c r="M49" i="7"/>
  <c r="N49" i="7"/>
  <c r="O49" i="7"/>
  <c r="D43" i="7"/>
  <c r="E43" i="7"/>
  <c r="F43" i="7"/>
  <c r="G43" i="7"/>
  <c r="H43" i="7"/>
  <c r="I43" i="7"/>
  <c r="J43" i="7"/>
  <c r="K43" i="7"/>
  <c r="L43" i="7"/>
  <c r="M43" i="7"/>
  <c r="N43" i="7"/>
  <c r="O43" i="7"/>
  <c r="D42" i="7"/>
  <c r="E42" i="7"/>
  <c r="F42" i="7"/>
  <c r="G42" i="7"/>
  <c r="H42" i="7"/>
  <c r="I42" i="7"/>
  <c r="J42" i="7"/>
  <c r="K42" i="7"/>
  <c r="L42" i="7"/>
  <c r="M42" i="7"/>
  <c r="N42" i="7"/>
  <c r="O42" i="7"/>
  <c r="H39" i="7"/>
  <c r="I39" i="7"/>
  <c r="J39" i="7"/>
  <c r="K39" i="7"/>
  <c r="L39" i="7"/>
  <c r="M39" i="7"/>
  <c r="N39" i="7"/>
  <c r="O39" i="7"/>
  <c r="H40" i="7"/>
  <c r="I40" i="7"/>
  <c r="J40" i="7"/>
  <c r="K40" i="7"/>
  <c r="L40" i="7"/>
  <c r="M40" i="7"/>
  <c r="N40" i="7"/>
  <c r="O40" i="7"/>
  <c r="H41" i="7"/>
  <c r="I41" i="7"/>
  <c r="J41" i="7"/>
  <c r="K41" i="7"/>
  <c r="L41" i="7"/>
  <c r="M41" i="7"/>
  <c r="N41" i="7"/>
  <c r="O41" i="7"/>
  <c r="H38" i="7"/>
  <c r="I38" i="7"/>
  <c r="J38" i="7"/>
  <c r="K38" i="7"/>
  <c r="L38" i="7"/>
  <c r="M38" i="7"/>
  <c r="N38" i="7"/>
  <c r="O38" i="7"/>
  <c r="H37" i="7"/>
  <c r="I37" i="7"/>
  <c r="J37" i="7"/>
  <c r="K37" i="7"/>
  <c r="L37" i="7"/>
  <c r="M37" i="7"/>
  <c r="N37" i="7"/>
  <c r="O37" i="7"/>
  <c r="H40" i="3"/>
  <c r="I40" i="3"/>
  <c r="J40" i="3"/>
  <c r="K40" i="3"/>
  <c r="H41" i="3"/>
  <c r="I41" i="3"/>
  <c r="J41" i="3"/>
  <c r="K41" i="3"/>
  <c r="H42" i="3"/>
  <c r="I42" i="3"/>
  <c r="J42" i="3"/>
  <c r="K42" i="3"/>
  <c r="H43" i="3"/>
  <c r="I43" i="3"/>
  <c r="J43" i="3"/>
  <c r="K43" i="3"/>
  <c r="H44" i="3"/>
  <c r="I44" i="3"/>
  <c r="J44" i="3"/>
  <c r="K44" i="3"/>
  <c r="D45" i="3"/>
  <c r="E45" i="3"/>
  <c r="F45" i="3"/>
  <c r="G45" i="3"/>
  <c r="H45" i="3"/>
  <c r="I45" i="3"/>
  <c r="J45" i="3"/>
  <c r="K45" i="3"/>
  <c r="D46" i="3"/>
  <c r="E46" i="3"/>
  <c r="F46" i="3"/>
  <c r="G46" i="3"/>
  <c r="H46" i="3"/>
  <c r="I46" i="3"/>
  <c r="J46" i="3"/>
  <c r="K46" i="3"/>
  <c r="D47" i="3"/>
  <c r="E47" i="3"/>
  <c r="F47" i="3"/>
  <c r="G47" i="3"/>
  <c r="H47" i="3"/>
  <c r="I47" i="3"/>
  <c r="J47" i="3"/>
  <c r="K47" i="3"/>
  <c r="D48" i="3"/>
  <c r="E48" i="3"/>
  <c r="F48" i="3"/>
  <c r="G48" i="3"/>
  <c r="H48" i="3"/>
  <c r="I48" i="3"/>
  <c r="J48" i="3"/>
  <c r="K48" i="3"/>
  <c r="E70" i="1" l="1"/>
  <c r="AC67" i="1"/>
  <c r="AC70" i="1" s="1"/>
  <c r="E65" i="7"/>
  <c r="G65" i="7" s="1"/>
  <c r="U64" i="7"/>
  <c r="E68" i="2"/>
  <c r="I68" i="2" s="1"/>
  <c r="E64" i="7"/>
  <c r="E67" i="2"/>
  <c r="I67" i="2" s="1"/>
  <c r="AE40" i="3"/>
  <c r="AE41" i="3"/>
  <c r="AE42" i="3"/>
  <c r="AE43" i="3"/>
  <c r="AE44" i="3"/>
  <c r="AE45" i="3"/>
  <c r="AE46" i="3"/>
  <c r="AE47" i="3"/>
  <c r="AE48" i="3"/>
  <c r="AE49" i="3"/>
  <c r="AE50" i="3"/>
  <c r="AE51" i="3"/>
  <c r="AE52" i="3"/>
  <c r="AE53" i="3"/>
  <c r="AE54" i="3"/>
  <c r="AE55" i="3"/>
  <c r="AB42" i="3"/>
  <c r="AC42" i="3"/>
  <c r="AD42" i="3"/>
  <c r="AB43" i="3"/>
  <c r="AC43" i="3"/>
  <c r="AD43" i="3"/>
  <c r="X44" i="3"/>
  <c r="Y44" i="3"/>
  <c r="Z44" i="3"/>
  <c r="AA44" i="3"/>
  <c r="AB44" i="3"/>
  <c r="AC44" i="3"/>
  <c r="AD44" i="3"/>
  <c r="X45" i="3"/>
  <c r="Y45" i="3"/>
  <c r="Z45" i="3"/>
  <c r="AA45" i="3"/>
  <c r="AB45" i="3"/>
  <c r="AC45" i="3"/>
  <c r="AD45" i="3"/>
  <c r="X46" i="3"/>
  <c r="Y46" i="3"/>
  <c r="Z46" i="3"/>
  <c r="AA46" i="3"/>
  <c r="AB46" i="3"/>
  <c r="AC46" i="3"/>
  <c r="AD46" i="3"/>
  <c r="X47" i="3"/>
  <c r="Y47" i="3"/>
  <c r="Z47" i="3"/>
  <c r="AA47" i="3"/>
  <c r="AB47" i="3"/>
  <c r="AC47" i="3"/>
  <c r="AD47" i="3"/>
  <c r="X48" i="3"/>
  <c r="Y48" i="3"/>
  <c r="Z48" i="3"/>
  <c r="AA48" i="3"/>
  <c r="AB48" i="3"/>
  <c r="AC48" i="3"/>
  <c r="AD48" i="3"/>
  <c r="X49" i="3"/>
  <c r="Y49" i="3"/>
  <c r="Z49" i="3"/>
  <c r="AA49" i="3"/>
  <c r="AB49" i="3"/>
  <c r="AC49" i="3"/>
  <c r="AD49" i="3"/>
  <c r="X50" i="3"/>
  <c r="Y50" i="3"/>
  <c r="Z50" i="3"/>
  <c r="AA50" i="3"/>
  <c r="AB50" i="3"/>
  <c r="AC50" i="3"/>
  <c r="AD50" i="3"/>
  <c r="X51" i="3"/>
  <c r="Y51" i="3"/>
  <c r="Z51" i="3"/>
  <c r="AA51" i="3"/>
  <c r="AB51" i="3"/>
  <c r="AC51" i="3"/>
  <c r="AD51" i="3"/>
  <c r="X52" i="3"/>
  <c r="Y52" i="3"/>
  <c r="Z52" i="3"/>
  <c r="AA52" i="3"/>
  <c r="AB52" i="3"/>
  <c r="AC52" i="3"/>
  <c r="AD52" i="3"/>
  <c r="X53" i="3"/>
  <c r="Y53" i="3"/>
  <c r="Z53" i="3"/>
  <c r="AA53" i="3"/>
  <c r="AB53" i="3"/>
  <c r="AC53" i="3"/>
  <c r="AD53" i="3"/>
  <c r="X54" i="3"/>
  <c r="Y54" i="3"/>
  <c r="Z54" i="3"/>
  <c r="AA54" i="3"/>
  <c r="AB54" i="3"/>
  <c r="AC54" i="3"/>
  <c r="AD54" i="3"/>
  <c r="X55" i="3"/>
  <c r="Y55" i="3"/>
  <c r="Z55" i="3"/>
  <c r="AA55" i="3"/>
  <c r="AB55" i="3"/>
  <c r="AC55" i="3"/>
  <c r="AD55" i="3"/>
  <c r="AB41" i="3"/>
  <c r="AC41" i="3"/>
  <c r="AD41" i="3"/>
  <c r="AB40" i="3"/>
  <c r="AC40" i="3"/>
  <c r="AD40" i="3"/>
  <c r="I70" i="2" l="1"/>
  <c r="E70" i="2"/>
  <c r="U67" i="7"/>
  <c r="W64" i="7"/>
  <c r="W67" i="7" s="1"/>
  <c r="G64" i="7"/>
  <c r="G67" i="7" s="1"/>
  <c r="E67" i="7"/>
  <c r="Y67" i="3"/>
  <c r="AC67" i="3" s="1"/>
  <c r="E68" i="3"/>
  <c r="I68" i="3" s="1"/>
  <c r="D55" i="3"/>
  <c r="E55" i="3"/>
  <c r="F55" i="3"/>
  <c r="G55" i="3"/>
  <c r="H55" i="3"/>
  <c r="I55" i="3"/>
  <c r="J55" i="3"/>
  <c r="K55" i="3"/>
  <c r="D56" i="3"/>
  <c r="E56" i="3"/>
  <c r="F56" i="3"/>
  <c r="G56" i="3"/>
  <c r="H56" i="3"/>
  <c r="I56" i="3"/>
  <c r="J56" i="3"/>
  <c r="K56" i="3"/>
  <c r="C57" i="3"/>
  <c r="D57" i="3"/>
  <c r="E57" i="3"/>
  <c r="F57" i="3"/>
  <c r="G57" i="3"/>
  <c r="H57" i="3"/>
  <c r="I57" i="3"/>
  <c r="J57" i="3"/>
  <c r="K57" i="3"/>
  <c r="C58" i="3"/>
  <c r="D58" i="3"/>
  <c r="E58" i="3"/>
  <c r="F58" i="3"/>
  <c r="G58" i="3"/>
  <c r="H58" i="3"/>
  <c r="I58" i="3"/>
  <c r="J58" i="3"/>
  <c r="K58" i="3"/>
  <c r="C59" i="3"/>
  <c r="D59" i="3"/>
  <c r="E59" i="3"/>
  <c r="F59" i="3"/>
  <c r="G59" i="3"/>
  <c r="H59" i="3"/>
  <c r="I59" i="3"/>
  <c r="J59" i="3"/>
  <c r="K59" i="3"/>
  <c r="C60" i="3"/>
  <c r="D60" i="3"/>
  <c r="E60" i="3"/>
  <c r="F60" i="3"/>
  <c r="G60" i="3"/>
  <c r="H60" i="3"/>
  <c r="I60" i="3"/>
  <c r="J60" i="3"/>
  <c r="K60" i="3"/>
  <c r="D54" i="3"/>
  <c r="E54" i="3"/>
  <c r="F54" i="3"/>
  <c r="G54" i="3"/>
  <c r="H54" i="3"/>
  <c r="I54" i="3"/>
  <c r="J54" i="3"/>
  <c r="K54" i="3"/>
  <c r="D53" i="3"/>
  <c r="E53" i="3"/>
  <c r="F53" i="3"/>
  <c r="G53" i="3"/>
  <c r="H53" i="3"/>
  <c r="I53" i="3"/>
  <c r="J53" i="3"/>
  <c r="K53" i="3"/>
  <c r="C49" i="3"/>
  <c r="D49" i="3"/>
  <c r="E49" i="3"/>
  <c r="F49" i="3"/>
  <c r="G49" i="3"/>
  <c r="H49" i="3"/>
  <c r="I49" i="3"/>
  <c r="J49" i="3"/>
  <c r="K49" i="3"/>
  <c r="C50" i="3"/>
  <c r="D50" i="3"/>
  <c r="E50" i="3"/>
  <c r="F50" i="3"/>
  <c r="G50" i="3"/>
  <c r="H50" i="3"/>
  <c r="I50" i="3"/>
  <c r="J50" i="3"/>
  <c r="K50" i="3"/>
  <c r="C51" i="3"/>
  <c r="D51" i="3"/>
  <c r="E51" i="3"/>
  <c r="F51" i="3"/>
  <c r="G51" i="3"/>
  <c r="H51" i="3"/>
  <c r="I51" i="3"/>
  <c r="J51" i="3"/>
  <c r="K51" i="3"/>
  <c r="D52" i="3"/>
  <c r="E52" i="3"/>
  <c r="F52" i="3"/>
  <c r="G52" i="3"/>
  <c r="H52" i="3"/>
  <c r="I52" i="3"/>
  <c r="J52" i="3"/>
  <c r="K52" i="3"/>
  <c r="AC70" i="3" l="1"/>
  <c r="Y70" i="3"/>
  <c r="E67" i="3"/>
  <c r="I67" i="3" s="1"/>
  <c r="I70" i="3" l="1"/>
  <c r="E70" i="3"/>
</calcChain>
</file>

<file path=xl/sharedStrings.xml><?xml version="1.0" encoding="utf-8"?>
<sst xmlns="http://schemas.openxmlformats.org/spreadsheetml/2006/main" count="6109" uniqueCount="128">
  <si>
    <t>ESFERA</t>
  </si>
  <si>
    <t>CILINDRO</t>
  </si>
  <si>
    <t>0.00</t>
  </si>
  <si>
    <t>-0.25</t>
  </si>
  <si>
    <t>-0.50</t>
  </si>
  <si>
    <t>-0.75</t>
  </si>
  <si>
    <t>-1.00</t>
  </si>
  <si>
    <t>-1.25</t>
  </si>
  <si>
    <t>-1.50</t>
  </si>
  <si>
    <t>-1.75</t>
  </si>
  <si>
    <t>-2.00</t>
  </si>
  <si>
    <t>-2.25</t>
  </si>
  <si>
    <t>-3.00</t>
  </si>
  <si>
    <t>-3.25</t>
  </si>
  <si>
    <t>-3.50</t>
  </si>
  <si>
    <t>-3.75</t>
  </si>
  <si>
    <t>-4.00</t>
  </si>
  <si>
    <t>-4.25</t>
  </si>
  <si>
    <t>-4.50</t>
  </si>
  <si>
    <t>-4.75</t>
  </si>
  <si>
    <t>-5.00</t>
  </si>
  <si>
    <t>-5.25</t>
  </si>
  <si>
    <t>-5.50</t>
  </si>
  <si>
    <t>-5.75</t>
  </si>
  <si>
    <t>-6.00</t>
  </si>
  <si>
    <t>-2.50</t>
  </si>
  <si>
    <t>-2.75</t>
  </si>
  <si>
    <t>1</t>
  </si>
  <si>
    <t>MONOFOCAL BLANCO</t>
  </si>
  <si>
    <t>+0.25</t>
  </si>
  <si>
    <t>+0.50</t>
  </si>
  <si>
    <t>+0.75</t>
  </si>
  <si>
    <t>+1.00</t>
  </si>
  <si>
    <t>+1.25</t>
  </si>
  <si>
    <t>+1.50</t>
  </si>
  <si>
    <t>+1.75</t>
  </si>
  <si>
    <t>+2.00</t>
  </si>
  <si>
    <t>+2.25</t>
  </si>
  <si>
    <t>+3.00</t>
  </si>
  <si>
    <t>+3.25</t>
  </si>
  <si>
    <t>+3.50</t>
  </si>
  <si>
    <t>+3.75</t>
  </si>
  <si>
    <t>+4.00</t>
  </si>
  <si>
    <t>+4.25</t>
  </si>
  <si>
    <t>+4.50</t>
  </si>
  <si>
    <t>+4.75</t>
  </si>
  <si>
    <t>+5.00</t>
  </si>
  <si>
    <t>+5.25</t>
  </si>
  <si>
    <t>+5.50</t>
  </si>
  <si>
    <t>+5.75</t>
  </si>
  <si>
    <t>+6.00</t>
  </si>
  <si>
    <t>(+)</t>
  </si>
  <si>
    <t>(-)</t>
  </si>
  <si>
    <t>MONOFOCAL AR</t>
  </si>
  <si>
    <t>+2.50</t>
  </si>
  <si>
    <t>+2.75</t>
  </si>
  <si>
    <t>MONOFOCAL FOTOCROMATICO</t>
  </si>
  <si>
    <t>BIFOCAL FT-L28 BLANCO</t>
  </si>
  <si>
    <t>ADICION</t>
  </si>
  <si>
    <t>1.00</t>
  </si>
  <si>
    <t>1.25</t>
  </si>
  <si>
    <t>1.50</t>
  </si>
  <si>
    <t>1.75</t>
  </si>
  <si>
    <t>2.00</t>
  </si>
  <si>
    <t>2.25</t>
  </si>
  <si>
    <t>L</t>
  </si>
  <si>
    <t>R</t>
  </si>
  <si>
    <t>2.50</t>
  </si>
  <si>
    <t>2.75</t>
  </si>
  <si>
    <t>3.00</t>
  </si>
  <si>
    <t>PROGRESIVO AR</t>
  </si>
  <si>
    <t>ESFERA (-)</t>
  </si>
  <si>
    <t>ESFERA (+)</t>
  </si>
  <si>
    <t>PEDIDO SUGERIDO MONOFOCAL BLANCO CR-39 (PIEZAS)</t>
  </si>
  <si>
    <r>
      <t xml:space="preserve">SUGERIDO PROGRESIVO AR </t>
    </r>
    <r>
      <rPr>
        <b/>
        <sz val="22"/>
        <color theme="1"/>
        <rFont val="Calibri"/>
        <family val="2"/>
        <scheme val="minor"/>
      </rPr>
      <t>(PAR)</t>
    </r>
  </si>
  <si>
    <t>PEDIDO SUGERIDO BIFOCAL FT-L28 BLANCO (PAR)</t>
  </si>
  <si>
    <t>.</t>
  </si>
  <si>
    <t>PEDIDO SUGERIDO MONOFOCAL FOTOCROMATICO AR</t>
  </si>
  <si>
    <t>PROGRESIVO REVOLUTION AR</t>
  </si>
  <si>
    <t>BIFOCAL FT-L28 AR</t>
  </si>
  <si>
    <t>PEDIDO SUGERIDO BIFOCAL FT-L28 AR (PAR)</t>
  </si>
  <si>
    <t>BIFOCAL FT-L28 REVOLUTION AR</t>
  </si>
  <si>
    <t>PEDIDO SUGERIDO BIFOCAL FT-L28 REVOLUTION AR (PAR)</t>
  </si>
  <si>
    <t>MONOFOCAL BLUE PROTECT (VERDE)</t>
  </si>
  <si>
    <t>BIFOCAL FT-L28 FOTOCROMATICO</t>
  </si>
  <si>
    <t>2</t>
  </si>
  <si>
    <t>SUGERIDO PROGRESIVO AR (PAR)</t>
  </si>
  <si>
    <r>
      <t xml:space="preserve">SUGERIDO PROGRESIVO REVOLUTION AR </t>
    </r>
    <r>
      <rPr>
        <b/>
        <sz val="22"/>
        <color theme="1"/>
        <rFont val="Calibri"/>
        <family val="2"/>
        <scheme val="minor"/>
      </rPr>
      <t>(PAR)</t>
    </r>
  </si>
  <si>
    <t>PEDIDO SUGERIDO MONOFOCAL FOTOCROMATICO AR (PIEZAS)</t>
  </si>
  <si>
    <t>SUGERIDO PROGRESIVO AR NEGATIVO (PAR)</t>
  </si>
  <si>
    <t>MONOFOCAL FOTO AR (VP)</t>
  </si>
  <si>
    <t>5</t>
  </si>
  <si>
    <t>PEDIDO SUGERIDO MONOFOCAL 1.56 AR(PIEZAS)</t>
  </si>
  <si>
    <t>4</t>
  </si>
  <si>
    <t>1RA SERIE</t>
  </si>
  <si>
    <t>2DA SERIE</t>
  </si>
  <si>
    <t>COSTO</t>
  </si>
  <si>
    <t>PIEZAS</t>
  </si>
  <si>
    <t xml:space="preserve">                                                                                                                                                                                                                                                                                                                                                                                                                                                                                                                                                                                                                                                                                                                                                                                                                                                                                                                                                                                                                                                                                                                                                                                                                                                                                                                                                                                                                                                                                                                                                                                                                                                                                                                                                                                                                                                                                                                                                                                                                                                                                                                                   +++++++++++++++++++++++++++++++++++++++++++++++++++++++++++++++++++++++++++++++++++++++++++++++++++++++++++++++++++++++++++++++++++++++++++++++++++++++++++++++++++++++++++++++++++++++++++++++++++++++++++++++++++++++++++++++++++++++++++++++++++++++++++++++++++++++++++++++++++++++++++++++++++++++++++++++++++++++++++++++++++++++++++++++++++++++++++++++++++++++++++++++++++++++++++++++++++++++++ +}9</t>
  </si>
  <si>
    <t>PEDIDO SUGERIDO MONOFOCAL 1.56 AR (PIEZAS)</t>
  </si>
  <si>
    <t>PROGRESIVO FOTO AR</t>
  </si>
  <si>
    <t>PEDIDO SUGERIDO MONOFOCAL BLUE PROTECT (VERDE) PIEZAS</t>
  </si>
  <si>
    <t>6</t>
  </si>
  <si>
    <t>3</t>
  </si>
  <si>
    <t>SUGERIDO PROGRESIVO FOTOCROMATICO AR (PAR)</t>
  </si>
  <si>
    <t>Piezas</t>
  </si>
  <si>
    <t>Pares</t>
  </si>
  <si>
    <t>Costo S/IVA</t>
  </si>
  <si>
    <t>Costo C/IVA</t>
  </si>
  <si>
    <t>BIFOCAL FT-L28 FOTO AR</t>
  </si>
  <si>
    <t>BASE 4</t>
  </si>
  <si>
    <t>BASE 6</t>
  </si>
  <si>
    <t>PROGRESIVO BLUEBLOCK</t>
  </si>
  <si>
    <t>PROGRESIVO FOTO BLUEBLOCK</t>
  </si>
  <si>
    <t>MONOFOCAL BLUEBLOCK *VERDE</t>
  </si>
  <si>
    <t>MONOFOCAL FOTO BLUEBLOCK</t>
  </si>
  <si>
    <t>PEDIDO SUGERIDO MONOFOCAL FOTOCROMATICO BLUEBLOCK RETURN VERDE</t>
  </si>
  <si>
    <t>8</t>
  </si>
  <si>
    <t>7</t>
  </si>
  <si>
    <t>MONOFOCAL POLARIZADO GRIS</t>
  </si>
  <si>
    <t>B4</t>
  </si>
  <si>
    <t>B6</t>
  </si>
  <si>
    <t>MONOFOCAL POLARIZADO CAFÉ</t>
  </si>
  <si>
    <t>B2</t>
  </si>
  <si>
    <t>B8</t>
  </si>
  <si>
    <t>MONFOCOCAL 1.67 FOTO AR</t>
  </si>
  <si>
    <t>B0</t>
  </si>
  <si>
    <t>MONFOCAL FOTOCROMATICO BLUEBLOCK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</si>
</sst>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quot;$&quot;* #,##0.00_-;\-&quot;$&quot;* #,##0.00_-;_-&quot;$&quot;* &quot;-&quot;??_-;_-@_-"/>
    <numFmt numFmtId="43" formatCode="_-* #,##0.00_-;\-* #,##0.00_-;_-* &quot;-&quot;??_-;_-@_-"/>
  </numFmts>
  <fonts count="18" x14ac:knownFonts="1">
    <font>
      <sz val="11"/>
      <color theme="1"/>
      <name val="Calibri"/>
      <family val="2"/>
      <scheme val="minor"/>
    </font>
    <font>
      <b/>
      <sz val="36"/>
      <color theme="1"/>
      <name val="Calibri"/>
      <family val="2"/>
      <scheme val="minor"/>
    </font>
    <font>
      <b/>
      <sz val="12"/>
      <color theme="1"/>
      <name val="Calibri"/>
      <family val="2"/>
      <scheme val="minor"/>
    </font>
    <font>
      <b/>
      <sz val="18"/>
      <color theme="1"/>
      <name val="Calibri"/>
      <family val="2"/>
      <scheme val="minor"/>
    </font>
    <font>
      <b/>
      <sz val="28"/>
      <color theme="1"/>
      <name val="Calibri"/>
      <family val="2"/>
      <scheme val="minor"/>
    </font>
    <font>
      <sz val="11"/>
      <color theme="1"/>
      <name val="Calibri"/>
      <family val="2"/>
      <scheme val="minor"/>
    </font>
    <font>
      <b/>
      <u/>
      <sz val="20"/>
      <color theme="1"/>
      <name val="Calibri"/>
      <family val="2"/>
      <scheme val="minor"/>
    </font>
    <font>
      <sz val="22"/>
      <color theme="1"/>
      <name val="Calibri"/>
      <family val="2"/>
      <scheme val="minor"/>
    </font>
    <font>
      <b/>
      <sz val="16"/>
      <color theme="1"/>
      <name val="Calibri"/>
      <family val="2"/>
      <scheme val="minor"/>
    </font>
    <font>
      <sz val="18"/>
      <color theme="1"/>
      <name val="Calibri"/>
      <family val="2"/>
      <scheme val="minor"/>
    </font>
    <font>
      <b/>
      <sz val="22"/>
      <color theme="1"/>
      <name val="Calibri"/>
      <family val="2"/>
      <scheme val="minor"/>
    </font>
    <font>
      <sz val="8"/>
      <name val="Calibri"/>
      <family val="2"/>
      <scheme val="minor"/>
    </font>
    <font>
      <sz val="11"/>
      <name val="Calibri"/>
      <family val="2"/>
      <scheme val="minor"/>
    </font>
    <font>
      <b/>
      <sz val="14"/>
      <color theme="1"/>
      <name val="Calibri"/>
      <family val="2"/>
      <scheme val="minor"/>
    </font>
    <font>
      <b/>
      <sz val="11"/>
      <color theme="1"/>
      <name val="Calibri"/>
      <family val="2"/>
      <scheme val="minor"/>
    </font>
    <font>
      <sz val="10"/>
      <color theme="1"/>
      <name val="Calibri"/>
      <family val="2"/>
      <scheme val="minor"/>
    </font>
    <font>
      <sz val="9"/>
      <color theme="1"/>
      <name val="Calibri"/>
      <family val="2"/>
      <scheme val="minor"/>
    </font>
    <font>
      <sz val="8"/>
      <color theme="1"/>
      <name val="Calibri"/>
      <family val="2"/>
      <scheme val="minor"/>
    </font>
  </fonts>
  <fills count="10">
    <fill>
      <patternFill patternType="none"/>
    </fill>
    <fill>
      <patternFill patternType="gray125"/>
    </fill>
    <fill>
      <patternFill patternType="solid">
        <fgColor theme="7" tint="0.79998168889431442"/>
        <bgColor indexed="64"/>
      </patternFill>
    </fill>
    <fill>
      <patternFill patternType="solid">
        <fgColor theme="2"/>
        <bgColor indexed="64"/>
      </patternFill>
    </fill>
    <fill>
      <patternFill patternType="solid">
        <fgColor theme="0"/>
        <bgColor indexed="64"/>
      </patternFill>
    </fill>
    <fill>
      <patternFill patternType="solid">
        <fgColor theme="4" tint="0.79998168889431442"/>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1"/>
        <bgColor indexed="64"/>
      </patternFill>
    </fill>
    <fill>
      <patternFill patternType="solid">
        <fgColor rgb="FFFFFF00"/>
        <bgColor indexed="64"/>
      </patternFill>
    </fill>
  </fills>
  <borders count="23">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top/>
      <bottom/>
      <diagonal/>
    </border>
    <border>
      <left style="thin">
        <color auto="1"/>
      </left>
      <right style="medium">
        <color auto="1"/>
      </right>
      <top style="thin">
        <color auto="1"/>
      </top>
      <bottom style="thin">
        <color auto="1"/>
      </bottom>
      <diagonal/>
    </border>
    <border>
      <left style="thin">
        <color auto="1"/>
      </left>
      <right style="thick">
        <color auto="1"/>
      </right>
      <top style="thin">
        <color auto="1"/>
      </top>
      <bottom style="thin">
        <color auto="1"/>
      </bottom>
      <diagonal/>
    </border>
    <border>
      <left/>
      <right/>
      <top style="medium">
        <color indexed="64"/>
      </top>
      <bottom/>
      <diagonal/>
    </border>
    <border>
      <left/>
      <right style="medium">
        <color indexed="64"/>
      </right>
      <top style="medium">
        <color indexed="64"/>
      </top>
      <bottom/>
      <diagonal/>
    </border>
    <border>
      <left style="medium">
        <color indexed="64"/>
      </left>
      <right/>
      <top style="medium">
        <color indexed="64"/>
      </top>
      <bottom/>
      <diagonal/>
    </border>
  </borders>
  <cellStyleXfs count="3">
    <xf numFmtId="0" fontId="0" fillId="0" borderId="0"/>
    <xf numFmtId="43" fontId="5" fillId="0" borderId="0" applyFont="0" applyFill="0" applyBorder="0" applyAlignment="0" applyProtection="0"/>
    <xf numFmtId="44" fontId="5" fillId="0" borderId="0" applyFont="0" applyFill="0" applyBorder="0" applyAlignment="0" applyProtection="0"/>
  </cellStyleXfs>
  <cellXfs count="132">
    <xf numFmtId="0" fontId="0" fillId="0" borderId="0" xfId="0"/>
    <xf numFmtId="49" fontId="0" fillId="0" borderId="0" xfId="0" applyNumberFormat="1"/>
    <xf numFmtId="1" fontId="0" fillId="0" borderId="1" xfId="0" applyNumberFormat="1" applyBorder="1" applyAlignment="1">
      <alignment horizontal="center"/>
    </xf>
    <xf numFmtId="49" fontId="0" fillId="3" borderId="0" xfId="0" applyNumberFormat="1" applyFill="1"/>
    <xf numFmtId="49" fontId="0" fillId="4" borderId="0" xfId="0" applyNumberFormat="1" applyFill="1"/>
    <xf numFmtId="49" fontId="0" fillId="5" borderId="0" xfId="0" applyNumberFormat="1" applyFill="1"/>
    <xf numFmtId="49" fontId="2" fillId="5" borderId="0" xfId="0" applyNumberFormat="1" applyFont="1" applyFill="1" applyAlignment="1">
      <alignment horizontal="center" vertical="center"/>
    </xf>
    <xf numFmtId="49" fontId="0" fillId="0" borderId="1" xfId="0" applyNumberFormat="1" applyBorder="1" applyAlignment="1">
      <alignment horizontal="center"/>
    </xf>
    <xf numFmtId="0" fontId="0" fillId="0" borderId="1" xfId="0" applyBorder="1" applyAlignment="1">
      <alignment horizontal="center"/>
    </xf>
    <xf numFmtId="0" fontId="0" fillId="4" borderId="0" xfId="0" applyFill="1"/>
    <xf numFmtId="0" fontId="0" fillId="5" borderId="0" xfId="0" applyFill="1"/>
    <xf numFmtId="1" fontId="0" fillId="0" borderId="2" xfId="0" applyNumberFormat="1" applyBorder="1" applyAlignment="1">
      <alignment horizontal="center" vertical="center"/>
    </xf>
    <xf numFmtId="1" fontId="0" fillId="0" borderId="3" xfId="0" applyNumberFormat="1" applyBorder="1" applyAlignment="1">
      <alignment horizontal="center" vertical="center"/>
    </xf>
    <xf numFmtId="1" fontId="0" fillId="0" borderId="5" xfId="0" applyNumberFormat="1" applyBorder="1" applyAlignment="1">
      <alignment horizontal="center" vertical="center"/>
    </xf>
    <xf numFmtId="1" fontId="0" fillId="0" borderId="6" xfId="0" applyNumberFormat="1" applyBorder="1" applyAlignment="1">
      <alignment horizontal="center" vertical="center"/>
    </xf>
    <xf numFmtId="1" fontId="0" fillId="7" borderId="4" xfId="0" applyNumberFormat="1" applyFill="1" applyBorder="1" applyAlignment="1">
      <alignment horizontal="center" vertical="center"/>
    </xf>
    <xf numFmtId="1" fontId="0" fillId="6" borderId="7" xfId="0" applyNumberFormat="1" applyFill="1" applyBorder="1" applyAlignment="1">
      <alignment horizontal="center" vertical="center"/>
    </xf>
    <xf numFmtId="0" fontId="0" fillId="6" borderId="7" xfId="0" applyFill="1" applyBorder="1" applyAlignment="1">
      <alignment horizontal="center" vertical="center"/>
    </xf>
    <xf numFmtId="49" fontId="0" fillId="0" borderId="3" xfId="0" applyNumberFormat="1" applyBorder="1" applyAlignment="1">
      <alignment horizontal="center" vertical="center"/>
    </xf>
    <xf numFmtId="49" fontId="0" fillId="0" borderId="6" xfId="0" applyNumberFormat="1" applyBorder="1" applyAlignment="1">
      <alignment horizontal="center" vertical="center"/>
    </xf>
    <xf numFmtId="0" fontId="0" fillId="4" borderId="5" xfId="0" applyFill="1" applyBorder="1" applyAlignment="1">
      <alignment horizontal="center" vertical="center"/>
    </xf>
    <xf numFmtId="0" fontId="0" fillId="4" borderId="6" xfId="0" applyFill="1" applyBorder="1" applyAlignment="1">
      <alignment horizontal="center" vertical="center"/>
    </xf>
    <xf numFmtId="49" fontId="0" fillId="4" borderId="6" xfId="0" applyNumberFormat="1" applyFill="1" applyBorder="1" applyAlignment="1">
      <alignment horizontal="center" vertical="center"/>
    </xf>
    <xf numFmtId="1" fontId="0" fillId="2" borderId="1" xfId="0" applyNumberFormat="1" applyFill="1" applyBorder="1" applyAlignment="1">
      <alignment horizontal="center"/>
    </xf>
    <xf numFmtId="49" fontId="0" fillId="2" borderId="1" xfId="0" applyNumberFormat="1" applyFill="1" applyBorder="1" applyAlignment="1">
      <alignment horizontal="center"/>
    </xf>
    <xf numFmtId="0" fontId="0" fillId="2" borderId="1" xfId="0" applyFill="1" applyBorder="1" applyAlignment="1">
      <alignment horizontal="center"/>
    </xf>
    <xf numFmtId="49" fontId="0" fillId="2" borderId="0" xfId="0" applyNumberFormat="1" applyFill="1"/>
    <xf numFmtId="1" fontId="0" fillId="2" borderId="1" xfId="1" applyNumberFormat="1" applyFont="1" applyFill="1" applyBorder="1" applyAlignment="1">
      <alignment horizontal="center"/>
    </xf>
    <xf numFmtId="49" fontId="0" fillId="8" borderId="0" xfId="0" applyNumberFormat="1" applyFill="1"/>
    <xf numFmtId="49" fontId="8" fillId="5" borderId="0" xfId="0" applyNumberFormat="1" applyFont="1" applyFill="1" applyAlignment="1">
      <alignment horizontal="center" vertical="center"/>
    </xf>
    <xf numFmtId="49" fontId="3" fillId="0" borderId="0" xfId="0" applyNumberFormat="1" applyFont="1" applyAlignment="1">
      <alignment vertical="center"/>
    </xf>
    <xf numFmtId="1" fontId="0" fillId="4" borderId="1" xfId="0" applyNumberFormat="1" applyFill="1" applyBorder="1" applyAlignment="1">
      <alignment horizontal="center"/>
    </xf>
    <xf numFmtId="49" fontId="1" fillId="0" borderId="0" xfId="0" applyNumberFormat="1" applyFont="1" applyAlignment="1">
      <alignment horizontal="center" vertical="center" textRotation="180" wrapText="1"/>
    </xf>
    <xf numFmtId="1" fontId="0" fillId="0" borderId="0" xfId="0" applyNumberFormat="1" applyAlignment="1">
      <alignment horizontal="center"/>
    </xf>
    <xf numFmtId="0" fontId="0" fillId="0" borderId="3" xfId="0" applyBorder="1" applyAlignment="1">
      <alignment horizontal="center" vertical="center"/>
    </xf>
    <xf numFmtId="0" fontId="0" fillId="0" borderId="6" xfId="0" applyBorder="1" applyAlignment="1">
      <alignment horizontal="center" vertical="center"/>
    </xf>
    <xf numFmtId="49" fontId="4" fillId="5" borderId="0" xfId="0" applyNumberFormat="1" applyFont="1" applyFill="1" applyAlignment="1">
      <alignment horizontal="center" vertical="center" wrapText="1"/>
    </xf>
    <xf numFmtId="0" fontId="12" fillId="2" borderId="1" xfId="0" applyFont="1" applyFill="1" applyBorder="1" applyAlignment="1">
      <alignment horizontal="center"/>
    </xf>
    <xf numFmtId="0" fontId="12" fillId="0" borderId="1" xfId="0" applyFont="1" applyBorder="1" applyAlignment="1">
      <alignment horizontal="center"/>
    </xf>
    <xf numFmtId="44" fontId="0" fillId="0" borderId="0" xfId="2" applyFont="1"/>
    <xf numFmtId="0" fontId="0" fillId="4" borderId="1" xfId="0" applyFill="1" applyBorder="1" applyAlignment="1">
      <alignment horizontal="center"/>
    </xf>
    <xf numFmtId="0" fontId="13" fillId="4" borderId="0" xfId="0" applyFont="1" applyFill="1"/>
    <xf numFmtId="1" fontId="0" fillId="4" borderId="0" xfId="0" applyNumberFormat="1" applyFill="1"/>
    <xf numFmtId="1" fontId="0" fillId="0" borderId="0" xfId="0" applyNumberFormat="1"/>
    <xf numFmtId="0" fontId="14" fillId="2" borderId="1" xfId="0" applyFont="1" applyFill="1" applyBorder="1" applyAlignment="1">
      <alignment horizontal="center"/>
    </xf>
    <xf numFmtId="0" fontId="14" fillId="4" borderId="1" xfId="0" applyFont="1" applyFill="1" applyBorder="1" applyAlignment="1">
      <alignment horizontal="center"/>
    </xf>
    <xf numFmtId="49" fontId="0" fillId="4" borderId="10" xfId="0" applyNumberFormat="1" applyFill="1" applyBorder="1"/>
    <xf numFmtId="49" fontId="0" fillId="4" borderId="11" xfId="0" applyNumberFormat="1" applyFill="1" applyBorder="1"/>
    <xf numFmtId="49" fontId="0" fillId="4" borderId="12" xfId="0" applyNumberFormat="1" applyFill="1" applyBorder="1"/>
    <xf numFmtId="0" fontId="5" fillId="0" borderId="0" xfId="0" applyFont="1"/>
    <xf numFmtId="49" fontId="15" fillId="0" borderId="0" xfId="0" applyNumberFormat="1" applyFont="1"/>
    <xf numFmtId="1" fontId="0" fillId="0" borderId="0" xfId="0" applyNumberFormat="1" applyAlignment="1">
      <alignment horizontal="center" vertical="center"/>
    </xf>
    <xf numFmtId="49" fontId="0" fillId="0" borderId="0" xfId="0" applyNumberFormat="1" applyAlignment="1">
      <alignment horizontal="center" vertical="center"/>
    </xf>
    <xf numFmtId="0" fontId="0" fillId="0" borderId="0" xfId="0" applyAlignment="1">
      <alignment horizontal="center" vertical="center"/>
    </xf>
    <xf numFmtId="49" fontId="0" fillId="0" borderId="16" xfId="0" applyNumberFormat="1" applyBorder="1"/>
    <xf numFmtId="0" fontId="16" fillId="0" borderId="0" xfId="0" applyFont="1"/>
    <xf numFmtId="49" fontId="14" fillId="0" borderId="16" xfId="0" applyNumberFormat="1" applyFont="1" applyBorder="1" applyAlignment="1">
      <alignment horizontal="center"/>
    </xf>
    <xf numFmtId="49" fontId="15" fillId="0" borderId="16" xfId="0" applyNumberFormat="1" applyFont="1" applyBorder="1" applyAlignment="1">
      <alignment horizontal="center"/>
    </xf>
    <xf numFmtId="49" fontId="0" fillId="0" borderId="0" xfId="0" applyNumberFormat="1" applyAlignment="1">
      <alignment horizontal="center"/>
    </xf>
    <xf numFmtId="1" fontId="0" fillId="2" borderId="8" xfId="0" applyNumberFormat="1" applyFill="1" applyBorder="1" applyAlignment="1">
      <alignment horizontal="center"/>
    </xf>
    <xf numFmtId="1" fontId="0" fillId="0" borderId="8" xfId="0" applyNumberFormat="1" applyBorder="1" applyAlignment="1">
      <alignment horizontal="center"/>
    </xf>
    <xf numFmtId="1" fontId="0" fillId="2" borderId="18" xfId="0" applyNumberFormat="1" applyFill="1" applyBorder="1" applyAlignment="1">
      <alignment horizontal="center"/>
    </xf>
    <xf numFmtId="1" fontId="0" fillId="0" borderId="18" xfId="0" applyNumberFormat="1" applyBorder="1" applyAlignment="1">
      <alignment horizontal="center"/>
    </xf>
    <xf numFmtId="0" fontId="0" fillId="2" borderId="8" xfId="0" applyFill="1" applyBorder="1" applyAlignment="1">
      <alignment horizontal="center"/>
    </xf>
    <xf numFmtId="0" fontId="0" fillId="0" borderId="8" xfId="0" applyBorder="1" applyAlignment="1">
      <alignment horizontal="center"/>
    </xf>
    <xf numFmtId="49" fontId="0" fillId="2" borderId="8" xfId="0" applyNumberFormat="1" applyFill="1" applyBorder="1" applyAlignment="1">
      <alignment horizontal="center"/>
    </xf>
    <xf numFmtId="49" fontId="0" fillId="0" borderId="8" xfId="0" applyNumberFormat="1" applyBorder="1" applyAlignment="1">
      <alignment horizontal="center"/>
    </xf>
    <xf numFmtId="0" fontId="0" fillId="2" borderId="19" xfId="0" applyFill="1" applyBorder="1" applyAlignment="1">
      <alignment horizontal="center"/>
    </xf>
    <xf numFmtId="0" fontId="0" fillId="0" borderId="19" xfId="0" applyBorder="1" applyAlignment="1">
      <alignment horizontal="center"/>
    </xf>
    <xf numFmtId="49" fontId="0" fillId="2" borderId="19" xfId="0" applyNumberFormat="1" applyFill="1" applyBorder="1" applyAlignment="1">
      <alignment horizontal="center"/>
    </xf>
    <xf numFmtId="49" fontId="0" fillId="0" borderId="19" xfId="0" applyNumberFormat="1" applyBorder="1" applyAlignment="1">
      <alignment horizontal="center"/>
    </xf>
    <xf numFmtId="49" fontId="15" fillId="0" borderId="0" xfId="0" applyNumberFormat="1" applyFont="1" applyAlignment="1">
      <alignment vertical="center" wrapText="1"/>
    </xf>
    <xf numFmtId="49" fontId="15" fillId="0" borderId="16" xfId="0" applyNumberFormat="1" applyFont="1" applyBorder="1" applyAlignment="1">
      <alignment vertical="center" wrapText="1"/>
    </xf>
    <xf numFmtId="49" fontId="15" fillId="0" borderId="10" xfId="0" applyNumberFormat="1" applyFont="1" applyBorder="1" applyAlignment="1">
      <alignment vertical="center"/>
    </xf>
    <xf numFmtId="49" fontId="0" fillId="0" borderId="11" xfId="0" applyNumberFormat="1" applyBorder="1" applyAlignment="1">
      <alignment horizontal="center"/>
    </xf>
    <xf numFmtId="49" fontId="15" fillId="0" borderId="12" xfId="0" applyNumberFormat="1" applyFont="1" applyBorder="1" applyAlignment="1">
      <alignment vertical="center" wrapText="1"/>
    </xf>
    <xf numFmtId="0" fontId="12" fillId="2" borderId="8" xfId="0" applyFont="1" applyFill="1" applyBorder="1" applyAlignment="1">
      <alignment horizontal="center"/>
    </xf>
    <xf numFmtId="0" fontId="12" fillId="0" borderId="8" xfId="0" applyFont="1" applyBorder="1" applyAlignment="1">
      <alignment horizontal="center"/>
    </xf>
    <xf numFmtId="0" fontId="12" fillId="2" borderId="18" xfId="0" applyFont="1" applyFill="1" applyBorder="1" applyAlignment="1">
      <alignment horizontal="center"/>
    </xf>
    <xf numFmtId="0" fontId="12" fillId="0" borderId="18" xfId="0" applyFont="1" applyBorder="1" applyAlignment="1">
      <alignment horizontal="center"/>
    </xf>
    <xf numFmtId="49" fontId="0" fillId="2" borderId="18" xfId="0" applyNumberFormat="1" applyFill="1" applyBorder="1" applyAlignment="1">
      <alignment horizontal="center"/>
    </xf>
    <xf numFmtId="49" fontId="0" fillId="0" borderId="18" xfId="0" applyNumberFormat="1" applyBorder="1" applyAlignment="1">
      <alignment horizontal="center"/>
    </xf>
    <xf numFmtId="2" fontId="0" fillId="0" borderId="0" xfId="0" applyNumberFormat="1"/>
    <xf numFmtId="0" fontId="0" fillId="9" borderId="0" xfId="0" applyFill="1"/>
    <xf numFmtId="49" fontId="15" fillId="0" borderId="14" xfId="0" applyNumberFormat="1" applyFont="1" applyBorder="1" applyAlignment="1">
      <alignment vertical="center" wrapText="1"/>
    </xf>
    <xf numFmtId="49" fontId="15" fillId="0" borderId="10" xfId="0" applyNumberFormat="1" applyFont="1" applyBorder="1" applyAlignment="1">
      <alignment horizontal="center"/>
    </xf>
    <xf numFmtId="49" fontId="0" fillId="4" borderId="20" xfId="0" applyNumberFormat="1" applyFill="1" applyBorder="1"/>
    <xf numFmtId="49" fontId="0" fillId="4" borderId="21" xfId="0" applyNumberFormat="1" applyFill="1" applyBorder="1"/>
    <xf numFmtId="49" fontId="15" fillId="0" borderId="0" xfId="0" applyNumberFormat="1" applyFont="1" applyAlignment="1">
      <alignment horizontal="center"/>
    </xf>
    <xf numFmtId="49" fontId="15" fillId="0" borderId="22" xfId="0" applyNumberFormat="1" applyFont="1" applyBorder="1" applyAlignment="1">
      <alignment horizontal="center"/>
    </xf>
    <xf numFmtId="49" fontId="15" fillId="0" borderId="14" xfId="0" applyNumberFormat="1" applyFont="1" applyBorder="1" applyAlignment="1">
      <alignment horizontal="center" vertical="center" wrapText="1"/>
    </xf>
    <xf numFmtId="49" fontId="15" fillId="0" borderId="15" xfId="0" applyNumberFormat="1" applyFont="1" applyBorder="1" applyAlignment="1">
      <alignment horizontal="center" vertical="center" wrapText="1"/>
    </xf>
    <xf numFmtId="49" fontId="15" fillId="0" borderId="0" xfId="0" applyNumberFormat="1" applyFont="1" applyAlignment="1">
      <alignment horizontal="center" vertical="center" wrapText="1"/>
    </xf>
    <xf numFmtId="49" fontId="15" fillId="0" borderId="13" xfId="0" applyNumberFormat="1" applyFont="1" applyBorder="1" applyAlignment="1">
      <alignment horizontal="center" vertical="center" wrapText="1"/>
    </xf>
    <xf numFmtId="49" fontId="15" fillId="0" borderId="17" xfId="0" applyNumberFormat="1" applyFont="1" applyBorder="1" applyAlignment="1">
      <alignment horizontal="center" vertical="center" wrapText="1"/>
    </xf>
    <xf numFmtId="49" fontId="3" fillId="0" borderId="0" xfId="0" applyNumberFormat="1" applyFont="1" applyAlignment="1">
      <alignment horizontal="center" vertical="center"/>
    </xf>
    <xf numFmtId="49" fontId="1" fillId="5" borderId="0" xfId="0" applyNumberFormat="1" applyFont="1" applyFill="1" applyAlignment="1">
      <alignment horizontal="center" vertical="center" textRotation="180" wrapText="1"/>
    </xf>
    <xf numFmtId="49" fontId="4" fillId="5" borderId="0" xfId="0" applyNumberFormat="1" applyFont="1" applyFill="1" applyAlignment="1">
      <alignment horizontal="center" vertical="center" wrapText="1"/>
    </xf>
    <xf numFmtId="49" fontId="2" fillId="5" borderId="0" xfId="0" applyNumberFormat="1" applyFont="1" applyFill="1" applyAlignment="1">
      <alignment horizontal="center" vertical="center"/>
    </xf>
    <xf numFmtId="49" fontId="6" fillId="4" borderId="0" xfId="0" applyNumberFormat="1" applyFont="1" applyFill="1" applyAlignment="1">
      <alignment horizontal="center" vertical="center"/>
    </xf>
    <xf numFmtId="44" fontId="15" fillId="4" borderId="0" xfId="2" applyFont="1" applyFill="1" applyAlignment="1">
      <alignment horizontal="center"/>
    </xf>
    <xf numFmtId="44" fontId="15" fillId="4" borderId="0" xfId="0" applyNumberFormat="1" applyFont="1" applyFill="1" applyAlignment="1">
      <alignment horizontal="center"/>
    </xf>
    <xf numFmtId="0" fontId="15" fillId="4" borderId="0" xfId="0" applyFont="1" applyFill="1" applyAlignment="1">
      <alignment horizontal="center"/>
    </xf>
    <xf numFmtId="44" fontId="17" fillId="4" borderId="0" xfId="0" applyNumberFormat="1" applyFont="1" applyFill="1" applyAlignment="1">
      <alignment horizontal="center"/>
    </xf>
    <xf numFmtId="0" fontId="17" fillId="4" borderId="0" xfId="0" applyFont="1" applyFill="1" applyAlignment="1">
      <alignment horizontal="center"/>
    </xf>
    <xf numFmtId="44" fontId="16" fillId="4" borderId="0" xfId="2" applyFont="1" applyFill="1" applyAlignment="1">
      <alignment horizontal="center"/>
    </xf>
    <xf numFmtId="44" fontId="16" fillId="0" borderId="0" xfId="2" applyFont="1" applyAlignment="1">
      <alignment horizontal="center"/>
    </xf>
    <xf numFmtId="44" fontId="16" fillId="0" borderId="0" xfId="0" applyNumberFormat="1" applyFont="1" applyAlignment="1">
      <alignment horizontal="center"/>
    </xf>
    <xf numFmtId="0" fontId="16" fillId="0" borderId="0" xfId="0" applyFont="1" applyAlignment="1">
      <alignment horizontal="center"/>
    </xf>
    <xf numFmtId="0" fontId="13" fillId="4" borderId="0" xfId="0" applyFont="1" applyFill="1" applyAlignment="1">
      <alignment horizontal="center"/>
    </xf>
    <xf numFmtId="0" fontId="13" fillId="4" borderId="0" xfId="0" applyFont="1" applyFill="1" applyAlignment="1">
      <alignment horizontal="center" vertical="center"/>
    </xf>
    <xf numFmtId="49" fontId="7" fillId="4" borderId="0" xfId="0" applyNumberFormat="1" applyFont="1" applyFill="1" applyAlignment="1">
      <alignment horizontal="center" vertical="center"/>
    </xf>
    <xf numFmtId="44" fontId="15" fillId="0" borderId="0" xfId="2" applyFont="1" applyAlignment="1">
      <alignment horizontal="center"/>
    </xf>
    <xf numFmtId="44" fontId="0" fillId="0" borderId="0" xfId="0" applyNumberFormat="1" applyAlignment="1">
      <alignment horizontal="center"/>
    </xf>
    <xf numFmtId="0" fontId="0" fillId="0" borderId="0" xfId="0" applyAlignment="1">
      <alignment horizontal="center"/>
    </xf>
    <xf numFmtId="44" fontId="5" fillId="0" borderId="0" xfId="2" applyFont="1" applyAlignment="1">
      <alignment horizontal="center"/>
    </xf>
    <xf numFmtId="44" fontId="5" fillId="0" borderId="0" xfId="0" applyNumberFormat="1" applyFont="1" applyAlignment="1">
      <alignment horizontal="center"/>
    </xf>
    <xf numFmtId="0" fontId="2" fillId="0" borderId="0" xfId="0" applyFont="1" applyAlignment="1">
      <alignment horizontal="center"/>
    </xf>
    <xf numFmtId="0" fontId="7" fillId="0" borderId="0" xfId="0" applyFont="1" applyAlignment="1">
      <alignment horizontal="center"/>
    </xf>
    <xf numFmtId="44" fontId="0" fillId="0" borderId="0" xfId="2" applyFont="1" applyAlignment="1">
      <alignment horizontal="center"/>
    </xf>
    <xf numFmtId="1" fontId="9" fillId="0" borderId="2" xfId="0" applyNumberFormat="1" applyFont="1" applyBorder="1" applyAlignment="1">
      <alignment horizontal="center" vertical="center"/>
    </xf>
    <xf numFmtId="1" fontId="9" fillId="0" borderId="5" xfId="0" applyNumberFormat="1" applyFont="1" applyBorder="1" applyAlignment="1">
      <alignment horizontal="center" vertical="center"/>
    </xf>
    <xf numFmtId="49" fontId="0" fillId="3" borderId="1" xfId="0" applyNumberFormat="1" applyFill="1" applyBorder="1" applyAlignment="1">
      <alignment horizontal="center" vertical="center"/>
    </xf>
    <xf numFmtId="49" fontId="0" fillId="3" borderId="9" xfId="0" applyNumberFormat="1" applyFill="1" applyBorder="1" applyAlignment="1">
      <alignment horizontal="center" vertical="center"/>
    </xf>
    <xf numFmtId="49" fontId="0" fillId="3" borderId="8" xfId="0" applyNumberFormat="1" applyFill="1" applyBorder="1" applyAlignment="1">
      <alignment horizontal="center" vertical="center"/>
    </xf>
    <xf numFmtId="1" fontId="0" fillId="0" borderId="2" xfId="0" applyNumberFormat="1" applyBorder="1" applyAlignment="1">
      <alignment horizontal="center" vertical="center"/>
    </xf>
    <xf numFmtId="1" fontId="0" fillId="0" borderId="5" xfId="0" applyNumberFormat="1" applyBorder="1" applyAlignment="1">
      <alignment horizontal="center" vertical="center"/>
    </xf>
    <xf numFmtId="49" fontId="13" fillId="4" borderId="0" xfId="0" applyNumberFormat="1" applyFont="1" applyFill="1" applyAlignment="1">
      <alignment horizontal="center"/>
    </xf>
    <xf numFmtId="49" fontId="0" fillId="0" borderId="0" xfId="0" applyNumberFormat="1" applyAlignment="1">
      <alignment horizontal="center" vertical="center"/>
    </xf>
    <xf numFmtId="49" fontId="0" fillId="0" borderId="2" xfId="0" applyNumberFormat="1" applyBorder="1" applyAlignment="1">
      <alignment horizontal="center" vertical="center"/>
    </xf>
    <xf numFmtId="49" fontId="0" fillId="0" borderId="5" xfId="0" applyNumberFormat="1" applyBorder="1" applyAlignment="1">
      <alignment horizontal="center" vertical="center"/>
    </xf>
    <xf numFmtId="49" fontId="0" fillId="0" borderId="3" xfId="0" applyNumberFormat="1" applyBorder="1" applyAlignment="1">
      <alignment horizontal="center" vertical="center"/>
    </xf>
  </cellXfs>
  <cellStyles count="3">
    <cellStyle name="Millares" xfId="1" builtinId="3"/>
    <cellStyle name="Moneda" xfId="2" builtinId="4"/>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pageSetUpPr fitToPage="1"/>
  </sheetPr>
  <dimension ref="A1:AM129"/>
  <sheetViews>
    <sheetView showGridLines="0" tabSelected="1" topLeftCell="A3" zoomScaleNormal="100" workbookViewId="0">
      <selection activeCell="C5" sqref="C5"/>
    </sheetView>
  </sheetViews>
  <sheetFormatPr baseColWidth="10" defaultColWidth="11.42578125" defaultRowHeight="15" x14ac:dyDescent="0.25"/>
  <cols>
    <col min="1" max="1" width="11.42578125" style="1"/>
    <col min="2" max="2" width="5.28515625" style="1" bestFit="1" customWidth="1"/>
    <col min="3" max="3" width="4.5703125" style="1" bestFit="1" customWidth="1"/>
    <col min="4" max="4" width="5.28515625" style="1" bestFit="1" customWidth="1"/>
    <col min="5" max="5" width="5.85546875" style="1" customWidth="1"/>
    <col min="6" max="9" width="5.28515625" style="1" bestFit="1" customWidth="1"/>
    <col min="10" max="10" width="5.7109375" style="1" customWidth="1"/>
    <col min="11" max="15" width="5.28515625" style="1" bestFit="1" customWidth="1"/>
    <col min="16" max="19" width="5.28515625" style="1" customWidth="1"/>
    <col min="20" max="20" width="1.28515625" style="1" customWidth="1"/>
    <col min="21" max="21" width="11.42578125" style="1"/>
    <col min="22" max="22" width="5.85546875" style="1" bestFit="1" customWidth="1"/>
    <col min="23" max="23" width="4.5703125" style="1" bestFit="1" customWidth="1"/>
    <col min="24" max="39" width="5.28515625" style="1" bestFit="1" customWidth="1"/>
    <col min="40" max="16384" width="11.42578125" style="1"/>
  </cols>
  <sheetData>
    <row r="1" spans="1:39" ht="23.25" x14ac:dyDescent="0.25">
      <c r="A1" s="4"/>
      <c r="B1" s="4"/>
      <c r="C1" s="95" t="s">
        <v>28</v>
      </c>
      <c r="D1" s="95"/>
      <c r="E1" s="95"/>
      <c r="F1" s="95"/>
      <c r="G1" s="95"/>
      <c r="H1" s="95"/>
      <c r="I1" s="95"/>
      <c r="J1" s="95"/>
      <c r="K1" s="95"/>
      <c r="L1" s="95"/>
      <c r="M1" s="95"/>
      <c r="N1" s="95"/>
      <c r="O1" s="95"/>
      <c r="P1" s="95"/>
      <c r="Q1" s="95"/>
      <c r="R1" s="95"/>
      <c r="S1" s="95"/>
      <c r="T1" s="95"/>
      <c r="U1" s="95"/>
      <c r="V1" s="95"/>
      <c r="W1" s="95"/>
      <c r="X1" s="95"/>
      <c r="Y1" s="95"/>
      <c r="Z1" s="95"/>
      <c r="AA1" s="95"/>
      <c r="AB1" s="95"/>
      <c r="AC1" s="95"/>
      <c r="AD1" s="95"/>
      <c r="AE1" s="95"/>
      <c r="AF1" s="95"/>
      <c r="AG1" s="95"/>
      <c r="AH1" s="95"/>
      <c r="AI1" s="95"/>
      <c r="AJ1" s="95"/>
    </row>
    <row r="2" spans="1:39" x14ac:dyDescent="0.25">
      <c r="A2" s="4"/>
      <c r="B2" s="4"/>
      <c r="C2" s="4"/>
      <c r="D2" s="4"/>
      <c r="E2" s="4"/>
      <c r="F2" s="4"/>
      <c r="G2" s="4"/>
      <c r="H2" s="4"/>
      <c r="I2" s="4"/>
      <c r="J2" s="4"/>
      <c r="K2" s="4"/>
      <c r="L2" s="4"/>
      <c r="M2" s="4"/>
      <c r="N2" s="4"/>
      <c r="O2" s="4"/>
      <c r="P2" s="4"/>
      <c r="Q2" s="4"/>
      <c r="R2" s="4"/>
      <c r="S2" s="4"/>
      <c r="T2" s="4"/>
      <c r="U2" s="4"/>
      <c r="V2" s="4"/>
      <c r="W2" s="4"/>
      <c r="X2" s="4"/>
      <c r="Y2" s="4"/>
      <c r="Z2" s="4"/>
      <c r="AA2" s="4"/>
      <c r="AB2" s="4"/>
      <c r="AC2" s="4"/>
      <c r="AD2" s="4"/>
      <c r="AE2" s="4"/>
      <c r="AF2" s="4"/>
      <c r="AG2" s="4"/>
      <c r="AH2" s="4"/>
      <c r="AI2" s="4"/>
      <c r="AJ2" s="4"/>
    </row>
    <row r="3" spans="1:39" ht="36" customHeight="1" x14ac:dyDescent="0.25">
      <c r="A3" s="4"/>
      <c r="B3" s="5"/>
      <c r="C3" s="97" t="s">
        <v>1</v>
      </c>
      <c r="D3" s="97"/>
      <c r="E3" s="97"/>
      <c r="F3" s="97"/>
      <c r="G3" s="97"/>
      <c r="H3" s="97"/>
      <c r="I3" s="97"/>
      <c r="J3" s="97"/>
      <c r="K3" s="97"/>
      <c r="L3" s="97"/>
      <c r="M3" s="97"/>
      <c r="N3" s="97"/>
      <c r="O3" s="97"/>
      <c r="P3" s="97"/>
      <c r="Q3" s="97"/>
      <c r="R3" s="97"/>
      <c r="S3" s="97"/>
      <c r="T3" s="4"/>
      <c r="U3" s="4"/>
      <c r="V3" s="4"/>
      <c r="W3" s="97" t="s">
        <v>1</v>
      </c>
      <c r="X3" s="97"/>
      <c r="Y3" s="97"/>
      <c r="Z3" s="97"/>
      <c r="AA3" s="97"/>
      <c r="AB3" s="97"/>
      <c r="AC3" s="97"/>
      <c r="AD3" s="97"/>
      <c r="AE3" s="97"/>
      <c r="AF3" s="97"/>
      <c r="AG3" s="97"/>
      <c r="AH3" s="97"/>
      <c r="AI3" s="97"/>
      <c r="AJ3" s="97"/>
      <c r="AK3" s="97"/>
      <c r="AL3" s="97"/>
      <c r="AM3" s="97"/>
    </row>
    <row r="4" spans="1:39" ht="15.75" x14ac:dyDescent="0.25">
      <c r="A4" s="4"/>
      <c r="B4" s="5"/>
      <c r="C4" s="98" t="s">
        <v>52</v>
      </c>
      <c r="D4" s="98"/>
      <c r="E4" s="98"/>
      <c r="F4" s="98"/>
      <c r="G4" s="98"/>
      <c r="H4" s="98"/>
      <c r="I4" s="98"/>
      <c r="J4" s="98"/>
      <c r="K4" s="98"/>
      <c r="L4" s="98"/>
      <c r="M4" s="98"/>
      <c r="N4" s="98"/>
      <c r="O4" s="98"/>
      <c r="P4" s="98"/>
      <c r="Q4" s="98"/>
      <c r="R4" s="98"/>
      <c r="S4" s="98"/>
      <c r="T4" s="4"/>
      <c r="U4" s="4"/>
      <c r="V4" s="4"/>
      <c r="W4" s="98" t="s">
        <v>52</v>
      </c>
      <c r="X4" s="98"/>
      <c r="Y4" s="98"/>
      <c r="Z4" s="98"/>
      <c r="AA4" s="98"/>
      <c r="AB4" s="98"/>
      <c r="AC4" s="98"/>
      <c r="AD4" s="98"/>
      <c r="AE4" s="98"/>
      <c r="AF4" s="98"/>
      <c r="AG4" s="98"/>
      <c r="AH4" s="98"/>
      <c r="AI4" s="98"/>
      <c r="AJ4" s="98"/>
      <c r="AK4" s="98"/>
      <c r="AL4" s="98"/>
      <c r="AM4" s="98"/>
    </row>
    <row r="5" spans="1:39" ht="15.75" x14ac:dyDescent="0.25">
      <c r="A5" s="6" t="s">
        <v>52</v>
      </c>
      <c r="B5" s="28"/>
      <c r="C5" s="3" t="s">
        <v>2</v>
      </c>
      <c r="D5" s="3" t="s">
        <v>3</v>
      </c>
      <c r="E5" s="3" t="s">
        <v>4</v>
      </c>
      <c r="F5" s="3" t="s">
        <v>5</v>
      </c>
      <c r="G5" s="3" t="s">
        <v>6</v>
      </c>
      <c r="H5" s="3" t="s">
        <v>7</v>
      </c>
      <c r="I5" s="3" t="s">
        <v>8</v>
      </c>
      <c r="J5" s="3" t="s">
        <v>9</v>
      </c>
      <c r="K5" s="3" t="s">
        <v>10</v>
      </c>
      <c r="L5" s="3" t="s">
        <v>11</v>
      </c>
      <c r="M5" s="3" t="s">
        <v>25</v>
      </c>
      <c r="N5" s="3" t="s">
        <v>26</v>
      </c>
      <c r="O5" s="3" t="s">
        <v>12</v>
      </c>
      <c r="P5" s="3" t="s">
        <v>13</v>
      </c>
      <c r="Q5" s="3" t="s">
        <v>14</v>
      </c>
      <c r="R5" s="3" t="s">
        <v>15</v>
      </c>
      <c r="S5" s="3" t="s">
        <v>16</v>
      </c>
      <c r="T5" s="4"/>
      <c r="U5" s="6" t="s">
        <v>51</v>
      </c>
      <c r="V5" s="28"/>
      <c r="W5" s="3" t="s">
        <v>2</v>
      </c>
      <c r="X5" s="3" t="s">
        <v>3</v>
      </c>
      <c r="Y5" s="3" t="s">
        <v>4</v>
      </c>
      <c r="Z5" s="3" t="s">
        <v>5</v>
      </c>
      <c r="AA5" s="3" t="s">
        <v>6</v>
      </c>
      <c r="AB5" s="3" t="s">
        <v>7</v>
      </c>
      <c r="AC5" s="3" t="s">
        <v>8</v>
      </c>
      <c r="AD5" s="3" t="s">
        <v>9</v>
      </c>
      <c r="AE5" s="3" t="s">
        <v>10</v>
      </c>
      <c r="AF5" s="3" t="s">
        <v>11</v>
      </c>
      <c r="AG5" s="3" t="s">
        <v>25</v>
      </c>
      <c r="AH5" s="3" t="s">
        <v>26</v>
      </c>
      <c r="AI5" s="3" t="s">
        <v>12</v>
      </c>
      <c r="AJ5" s="3" t="s">
        <v>13</v>
      </c>
      <c r="AK5" s="3" t="s">
        <v>14</v>
      </c>
      <c r="AL5" s="3" t="s">
        <v>15</v>
      </c>
      <c r="AM5" s="3" t="s">
        <v>16</v>
      </c>
    </row>
    <row r="6" spans="1:39" x14ac:dyDescent="0.25">
      <c r="A6" s="96" t="s">
        <v>71</v>
      </c>
      <c r="B6" s="3" t="s">
        <v>2</v>
      </c>
      <c r="C6" s="23">
        <v>11</v>
      </c>
      <c r="D6" s="23">
        <v>10</v>
      </c>
      <c r="E6" s="27">
        <v>5</v>
      </c>
      <c r="F6" s="23">
        <v>4</v>
      </c>
      <c r="G6" s="23">
        <v>10</v>
      </c>
      <c r="H6" s="23">
        <v>6</v>
      </c>
      <c r="I6" s="23">
        <v>10</v>
      </c>
      <c r="J6" s="23">
        <v>11</v>
      </c>
      <c r="K6" s="61">
        <v>11</v>
      </c>
      <c r="L6" s="59">
        <v>10</v>
      </c>
      <c r="M6" s="23">
        <v>10</v>
      </c>
      <c r="N6" s="23">
        <v>10</v>
      </c>
      <c r="O6" s="23">
        <v>10</v>
      </c>
      <c r="P6" s="23">
        <v>10</v>
      </c>
      <c r="Q6" s="23">
        <v>10</v>
      </c>
      <c r="R6" s="23">
        <v>10</v>
      </c>
      <c r="S6" s="23">
        <v>10</v>
      </c>
      <c r="T6" s="4"/>
      <c r="U6" s="96" t="s">
        <v>72</v>
      </c>
      <c r="V6" s="3" t="s">
        <v>29</v>
      </c>
      <c r="W6" s="23">
        <v>10</v>
      </c>
      <c r="X6" s="23">
        <v>8</v>
      </c>
      <c r="Y6" s="23">
        <v>8</v>
      </c>
      <c r="Z6" s="23">
        <v>8</v>
      </c>
      <c r="AA6" s="23">
        <v>8</v>
      </c>
      <c r="AB6" s="23">
        <v>8</v>
      </c>
      <c r="AC6" s="23">
        <v>8</v>
      </c>
      <c r="AD6" s="23">
        <v>8</v>
      </c>
      <c r="AE6" s="61">
        <v>8</v>
      </c>
      <c r="AF6" s="59">
        <v>3</v>
      </c>
      <c r="AG6" s="23">
        <v>2</v>
      </c>
      <c r="AH6" s="23">
        <v>3</v>
      </c>
      <c r="AI6" s="23">
        <v>3</v>
      </c>
      <c r="AJ6" s="23">
        <v>3</v>
      </c>
      <c r="AK6" s="23">
        <v>3</v>
      </c>
      <c r="AL6" s="23">
        <v>3</v>
      </c>
      <c r="AM6" s="23">
        <v>3</v>
      </c>
    </row>
    <row r="7" spans="1:39" x14ac:dyDescent="0.25">
      <c r="A7" s="96"/>
      <c r="B7" s="3" t="s">
        <v>3</v>
      </c>
      <c r="C7" s="2">
        <v>8</v>
      </c>
      <c r="D7" s="2">
        <v>9</v>
      </c>
      <c r="E7" s="2">
        <v>5</v>
      </c>
      <c r="F7" s="2">
        <v>8</v>
      </c>
      <c r="G7" s="2">
        <v>7</v>
      </c>
      <c r="H7" s="2">
        <v>8</v>
      </c>
      <c r="I7" s="2">
        <v>8</v>
      </c>
      <c r="J7" s="2">
        <v>9</v>
      </c>
      <c r="K7" s="62">
        <v>8</v>
      </c>
      <c r="L7" s="60">
        <v>4</v>
      </c>
      <c r="M7" s="2">
        <v>3</v>
      </c>
      <c r="N7" s="2">
        <v>3</v>
      </c>
      <c r="O7" s="2">
        <v>3</v>
      </c>
      <c r="P7" s="2">
        <v>3</v>
      </c>
      <c r="Q7" s="2">
        <v>6</v>
      </c>
      <c r="R7" s="2">
        <v>3</v>
      </c>
      <c r="S7" s="2">
        <v>3</v>
      </c>
      <c r="T7" s="4"/>
      <c r="U7" s="96"/>
      <c r="V7" s="3" t="s">
        <v>30</v>
      </c>
      <c r="W7" s="2">
        <v>10</v>
      </c>
      <c r="X7" s="2">
        <v>8</v>
      </c>
      <c r="Y7" s="2">
        <v>6</v>
      </c>
      <c r="Z7" s="2">
        <v>8</v>
      </c>
      <c r="AA7" s="2">
        <v>8</v>
      </c>
      <c r="AB7" s="2">
        <v>9</v>
      </c>
      <c r="AC7" s="2">
        <v>8</v>
      </c>
      <c r="AD7" s="2">
        <v>8</v>
      </c>
      <c r="AE7" s="62">
        <v>10</v>
      </c>
      <c r="AF7" s="60">
        <v>3</v>
      </c>
      <c r="AG7" s="2">
        <v>2</v>
      </c>
      <c r="AH7" s="2">
        <v>3</v>
      </c>
      <c r="AI7" s="2">
        <v>3</v>
      </c>
      <c r="AJ7" s="2">
        <v>3</v>
      </c>
      <c r="AK7" s="2">
        <v>3</v>
      </c>
      <c r="AL7" s="2">
        <v>3</v>
      </c>
      <c r="AM7" s="2">
        <v>3</v>
      </c>
    </row>
    <row r="8" spans="1:39" x14ac:dyDescent="0.25">
      <c r="A8" s="96"/>
      <c r="B8" s="3" t="s">
        <v>4</v>
      </c>
      <c r="C8" s="23">
        <v>8</v>
      </c>
      <c r="D8" s="23">
        <v>8</v>
      </c>
      <c r="E8" s="23">
        <v>7</v>
      </c>
      <c r="F8" s="23">
        <v>8</v>
      </c>
      <c r="G8" s="23">
        <v>7</v>
      </c>
      <c r="H8" s="23">
        <v>8</v>
      </c>
      <c r="I8" s="23">
        <v>8</v>
      </c>
      <c r="J8" s="23">
        <v>8</v>
      </c>
      <c r="K8" s="61">
        <v>8</v>
      </c>
      <c r="L8" s="59">
        <v>3</v>
      </c>
      <c r="M8" s="23">
        <v>3</v>
      </c>
      <c r="N8" s="23">
        <v>3</v>
      </c>
      <c r="O8" s="23">
        <v>3</v>
      </c>
      <c r="P8" s="23">
        <v>3</v>
      </c>
      <c r="Q8" s="23">
        <v>5</v>
      </c>
      <c r="R8" s="23">
        <v>3</v>
      </c>
      <c r="S8" s="23">
        <v>3</v>
      </c>
      <c r="T8" s="4"/>
      <c r="U8" s="96"/>
      <c r="V8" s="3" t="s">
        <v>31</v>
      </c>
      <c r="W8" s="23">
        <v>10</v>
      </c>
      <c r="X8" s="23">
        <v>8</v>
      </c>
      <c r="Y8" s="23">
        <v>9</v>
      </c>
      <c r="Z8" s="23">
        <v>9</v>
      </c>
      <c r="AA8" s="23">
        <v>7</v>
      </c>
      <c r="AB8" s="23">
        <v>9</v>
      </c>
      <c r="AC8" s="23">
        <v>8</v>
      </c>
      <c r="AD8" s="23">
        <v>8</v>
      </c>
      <c r="AE8" s="61">
        <v>8</v>
      </c>
      <c r="AF8" s="59">
        <v>3</v>
      </c>
      <c r="AG8" s="23">
        <v>3</v>
      </c>
      <c r="AH8" s="23">
        <v>3</v>
      </c>
      <c r="AI8" s="23">
        <v>3</v>
      </c>
      <c r="AJ8" s="23">
        <v>3</v>
      </c>
      <c r="AK8" s="23">
        <v>3</v>
      </c>
      <c r="AL8" s="23">
        <v>3</v>
      </c>
      <c r="AM8" s="23">
        <v>3</v>
      </c>
    </row>
    <row r="9" spans="1:39" x14ac:dyDescent="0.25">
      <c r="A9" s="96"/>
      <c r="B9" s="3" t="s">
        <v>5</v>
      </c>
      <c r="C9" s="2">
        <v>8</v>
      </c>
      <c r="D9" s="2">
        <v>8</v>
      </c>
      <c r="E9" s="2">
        <v>7</v>
      </c>
      <c r="F9" s="2">
        <v>8</v>
      </c>
      <c r="G9" s="2">
        <v>8</v>
      </c>
      <c r="H9" s="2">
        <v>8</v>
      </c>
      <c r="I9" s="2">
        <v>8</v>
      </c>
      <c r="J9" s="2">
        <v>8</v>
      </c>
      <c r="K9" s="62">
        <v>9</v>
      </c>
      <c r="L9" s="60">
        <v>3</v>
      </c>
      <c r="M9" s="2">
        <v>3</v>
      </c>
      <c r="N9" s="2">
        <v>3</v>
      </c>
      <c r="O9" s="2">
        <v>3</v>
      </c>
      <c r="P9" s="2">
        <v>4</v>
      </c>
      <c r="Q9" s="2">
        <v>3</v>
      </c>
      <c r="R9" s="2">
        <v>3</v>
      </c>
      <c r="S9" s="2">
        <v>3</v>
      </c>
      <c r="T9" s="4"/>
      <c r="U9" s="96"/>
      <c r="V9" s="3" t="s">
        <v>32</v>
      </c>
      <c r="W9" s="2">
        <v>8</v>
      </c>
      <c r="X9" s="2">
        <v>8</v>
      </c>
      <c r="Y9" s="2">
        <v>7</v>
      </c>
      <c r="Z9" s="2">
        <v>4</v>
      </c>
      <c r="AA9" s="2">
        <v>7</v>
      </c>
      <c r="AB9" s="2">
        <v>8</v>
      </c>
      <c r="AC9" s="2">
        <v>9</v>
      </c>
      <c r="AD9" s="2">
        <v>8</v>
      </c>
      <c r="AE9" s="62">
        <v>8</v>
      </c>
      <c r="AF9" s="60">
        <v>3</v>
      </c>
      <c r="AG9" s="2">
        <v>3</v>
      </c>
      <c r="AH9" s="2">
        <v>3</v>
      </c>
      <c r="AI9" s="2">
        <v>3</v>
      </c>
      <c r="AJ9" s="2">
        <v>2</v>
      </c>
      <c r="AK9" s="2">
        <v>3</v>
      </c>
      <c r="AL9" s="2">
        <v>3</v>
      </c>
      <c r="AM9" s="2">
        <v>3</v>
      </c>
    </row>
    <row r="10" spans="1:39" x14ac:dyDescent="0.25">
      <c r="A10" s="96"/>
      <c r="B10" s="3" t="s">
        <v>6</v>
      </c>
      <c r="C10" s="23">
        <v>7</v>
      </c>
      <c r="D10" s="23">
        <v>8</v>
      </c>
      <c r="E10" s="23">
        <v>8</v>
      </c>
      <c r="F10" s="23">
        <v>8</v>
      </c>
      <c r="G10" s="23">
        <v>8</v>
      </c>
      <c r="H10" s="23">
        <v>8</v>
      </c>
      <c r="I10" s="23">
        <v>8</v>
      </c>
      <c r="J10" s="23">
        <v>8</v>
      </c>
      <c r="K10" s="61">
        <v>10</v>
      </c>
      <c r="L10" s="59">
        <v>3</v>
      </c>
      <c r="M10" s="23">
        <v>3</v>
      </c>
      <c r="N10" s="23">
        <v>3</v>
      </c>
      <c r="O10" s="23">
        <v>3</v>
      </c>
      <c r="P10" s="23">
        <v>4</v>
      </c>
      <c r="Q10" s="23">
        <v>3</v>
      </c>
      <c r="R10" s="23">
        <v>3</v>
      </c>
      <c r="S10" s="23">
        <v>3</v>
      </c>
      <c r="T10" s="4"/>
      <c r="U10" s="96"/>
      <c r="V10" s="3" t="s">
        <v>33</v>
      </c>
      <c r="W10" s="23">
        <v>9</v>
      </c>
      <c r="X10" s="23">
        <v>8</v>
      </c>
      <c r="Y10" s="23">
        <v>8</v>
      </c>
      <c r="Z10" s="23">
        <v>8</v>
      </c>
      <c r="AA10" s="23">
        <v>9</v>
      </c>
      <c r="AB10" s="23">
        <v>8</v>
      </c>
      <c r="AC10" s="23">
        <v>8</v>
      </c>
      <c r="AD10" s="23">
        <v>8</v>
      </c>
      <c r="AE10" s="61">
        <v>7</v>
      </c>
      <c r="AF10" s="59">
        <v>3</v>
      </c>
      <c r="AG10" s="23">
        <v>3</v>
      </c>
      <c r="AH10" s="23">
        <v>3</v>
      </c>
      <c r="AI10" s="23">
        <v>4</v>
      </c>
      <c r="AJ10" s="23">
        <v>6</v>
      </c>
      <c r="AK10" s="23">
        <v>3</v>
      </c>
      <c r="AL10" s="23">
        <v>4</v>
      </c>
      <c r="AM10" s="23">
        <v>3</v>
      </c>
    </row>
    <row r="11" spans="1:39" x14ac:dyDescent="0.25">
      <c r="A11" s="96"/>
      <c r="B11" s="3" t="s">
        <v>7</v>
      </c>
      <c r="C11" s="2">
        <v>6</v>
      </c>
      <c r="D11" s="2">
        <v>8</v>
      </c>
      <c r="E11" s="2">
        <v>8</v>
      </c>
      <c r="F11" s="2">
        <v>8</v>
      </c>
      <c r="G11" s="2">
        <v>8</v>
      </c>
      <c r="H11" s="2">
        <v>8</v>
      </c>
      <c r="I11" s="2">
        <v>8</v>
      </c>
      <c r="J11" s="2">
        <v>10</v>
      </c>
      <c r="K11" s="62">
        <v>8</v>
      </c>
      <c r="L11" s="60">
        <v>4</v>
      </c>
      <c r="M11" s="2">
        <v>4</v>
      </c>
      <c r="N11" s="2">
        <v>3</v>
      </c>
      <c r="O11" s="2">
        <v>3</v>
      </c>
      <c r="P11" s="2">
        <v>3</v>
      </c>
      <c r="Q11" s="2">
        <v>6</v>
      </c>
      <c r="R11" s="2">
        <v>3</v>
      </c>
      <c r="S11" s="2">
        <v>3</v>
      </c>
      <c r="T11" s="4"/>
      <c r="U11" s="96"/>
      <c r="V11" s="3" t="s">
        <v>34</v>
      </c>
      <c r="W11" s="2">
        <v>6</v>
      </c>
      <c r="X11" s="2">
        <v>8</v>
      </c>
      <c r="Y11" s="2">
        <v>8</v>
      </c>
      <c r="Z11" s="2">
        <v>7</v>
      </c>
      <c r="AA11" s="2">
        <v>8</v>
      </c>
      <c r="AB11" s="2">
        <v>8</v>
      </c>
      <c r="AC11" s="2">
        <v>8</v>
      </c>
      <c r="AD11" s="2">
        <v>7</v>
      </c>
      <c r="AE11" s="62">
        <v>10</v>
      </c>
      <c r="AF11" s="60">
        <v>3</v>
      </c>
      <c r="AG11" s="2">
        <v>3</v>
      </c>
      <c r="AH11" s="2">
        <v>3</v>
      </c>
      <c r="AI11" s="2">
        <v>3</v>
      </c>
      <c r="AJ11" s="2">
        <v>3</v>
      </c>
      <c r="AK11" s="2">
        <v>3</v>
      </c>
      <c r="AL11" s="2">
        <v>3</v>
      </c>
      <c r="AM11" s="2">
        <v>3</v>
      </c>
    </row>
    <row r="12" spans="1:39" x14ac:dyDescent="0.25">
      <c r="A12" s="96"/>
      <c r="B12" s="3" t="s">
        <v>8</v>
      </c>
      <c r="C12" s="23">
        <v>8</v>
      </c>
      <c r="D12" s="23">
        <v>8</v>
      </c>
      <c r="E12" s="23">
        <v>7</v>
      </c>
      <c r="F12" s="23">
        <v>8</v>
      </c>
      <c r="G12" s="23">
        <v>8</v>
      </c>
      <c r="H12" s="23">
        <v>7</v>
      </c>
      <c r="I12" s="23">
        <v>8</v>
      </c>
      <c r="J12" s="23">
        <v>8</v>
      </c>
      <c r="K12" s="61">
        <v>8</v>
      </c>
      <c r="L12" s="59">
        <v>3</v>
      </c>
      <c r="M12" s="23">
        <v>3</v>
      </c>
      <c r="N12" s="23">
        <v>3</v>
      </c>
      <c r="O12" s="23">
        <v>3</v>
      </c>
      <c r="P12" s="23">
        <v>3</v>
      </c>
      <c r="Q12" s="23">
        <v>3</v>
      </c>
      <c r="R12" s="23">
        <v>3</v>
      </c>
      <c r="S12" s="23">
        <v>3</v>
      </c>
      <c r="T12" s="4"/>
      <c r="U12" s="96"/>
      <c r="V12" s="3" t="s">
        <v>35</v>
      </c>
      <c r="W12" s="23">
        <v>10</v>
      </c>
      <c r="X12" s="23">
        <v>7</v>
      </c>
      <c r="Y12" s="23">
        <v>4</v>
      </c>
      <c r="Z12" s="23">
        <v>7</v>
      </c>
      <c r="AA12" s="23">
        <v>7</v>
      </c>
      <c r="AB12" s="23">
        <v>8</v>
      </c>
      <c r="AC12" s="23">
        <v>9</v>
      </c>
      <c r="AD12" s="23">
        <v>8</v>
      </c>
      <c r="AE12" s="61">
        <v>8</v>
      </c>
      <c r="AF12" s="59">
        <v>3</v>
      </c>
      <c r="AG12" s="23">
        <v>4</v>
      </c>
      <c r="AH12" s="23">
        <v>3</v>
      </c>
      <c r="AI12" s="23">
        <v>3</v>
      </c>
      <c r="AJ12" s="23">
        <v>3</v>
      </c>
      <c r="AK12" s="23">
        <v>3</v>
      </c>
      <c r="AL12" s="23">
        <v>3</v>
      </c>
      <c r="AM12" s="23">
        <v>5</v>
      </c>
    </row>
    <row r="13" spans="1:39" x14ac:dyDescent="0.25">
      <c r="A13" s="96"/>
      <c r="B13" s="3" t="s">
        <v>9</v>
      </c>
      <c r="C13" s="2">
        <v>7</v>
      </c>
      <c r="D13" s="2">
        <v>8</v>
      </c>
      <c r="E13" s="2">
        <v>8</v>
      </c>
      <c r="F13" s="2">
        <v>8</v>
      </c>
      <c r="G13" s="2">
        <v>8</v>
      </c>
      <c r="H13" s="2">
        <v>8</v>
      </c>
      <c r="I13" s="2">
        <v>8</v>
      </c>
      <c r="J13" s="2">
        <v>8</v>
      </c>
      <c r="K13" s="62">
        <v>8</v>
      </c>
      <c r="L13" s="60">
        <v>3</v>
      </c>
      <c r="M13" s="2">
        <v>3</v>
      </c>
      <c r="N13" s="2">
        <v>3</v>
      </c>
      <c r="O13" s="2">
        <v>3</v>
      </c>
      <c r="P13" s="2">
        <v>3</v>
      </c>
      <c r="Q13" s="2">
        <v>3</v>
      </c>
      <c r="R13" s="2">
        <v>3</v>
      </c>
      <c r="S13" s="2">
        <v>3</v>
      </c>
      <c r="T13" s="4"/>
      <c r="U13" s="96"/>
      <c r="V13" s="3" t="s">
        <v>36</v>
      </c>
      <c r="W13" s="2">
        <v>8</v>
      </c>
      <c r="X13" s="2">
        <v>8</v>
      </c>
      <c r="Y13" s="2">
        <v>7</v>
      </c>
      <c r="Z13" s="2">
        <v>8</v>
      </c>
      <c r="AA13" s="2">
        <v>7</v>
      </c>
      <c r="AB13" s="2">
        <v>8</v>
      </c>
      <c r="AC13" s="2">
        <v>8</v>
      </c>
      <c r="AD13" s="2">
        <v>7</v>
      </c>
      <c r="AE13" s="62">
        <v>8</v>
      </c>
      <c r="AF13" s="60">
        <v>3</v>
      </c>
      <c r="AG13" s="2">
        <v>3</v>
      </c>
      <c r="AH13" s="2">
        <v>3</v>
      </c>
      <c r="AI13" s="2">
        <v>3</v>
      </c>
      <c r="AJ13" s="2">
        <v>2</v>
      </c>
      <c r="AK13" s="2"/>
      <c r="AL13" s="2">
        <v>3</v>
      </c>
      <c r="AM13" s="2">
        <v>3</v>
      </c>
    </row>
    <row r="14" spans="1:39" x14ac:dyDescent="0.25">
      <c r="A14" s="96"/>
      <c r="B14" s="3" t="s">
        <v>10</v>
      </c>
      <c r="C14" s="23">
        <v>6</v>
      </c>
      <c r="D14" s="23">
        <v>8</v>
      </c>
      <c r="E14" s="23">
        <v>6</v>
      </c>
      <c r="F14" s="23">
        <v>7</v>
      </c>
      <c r="G14" s="23">
        <v>8</v>
      </c>
      <c r="H14" s="23">
        <v>8</v>
      </c>
      <c r="I14" s="23">
        <v>7</v>
      </c>
      <c r="J14" s="23">
        <v>7</v>
      </c>
      <c r="K14" s="61">
        <v>9</v>
      </c>
      <c r="L14" s="59">
        <v>3</v>
      </c>
      <c r="M14" s="23">
        <v>3</v>
      </c>
      <c r="N14" s="23">
        <v>3</v>
      </c>
      <c r="O14" s="23">
        <v>3</v>
      </c>
      <c r="P14" s="23">
        <v>3</v>
      </c>
      <c r="Q14" s="23">
        <v>3</v>
      </c>
      <c r="R14" s="23">
        <v>3</v>
      </c>
      <c r="S14" s="23">
        <v>3</v>
      </c>
      <c r="T14" s="4"/>
      <c r="U14" s="96"/>
      <c r="V14" s="3" t="s">
        <v>37</v>
      </c>
      <c r="W14" s="23">
        <v>10</v>
      </c>
      <c r="X14" s="23">
        <v>9</v>
      </c>
      <c r="Y14" s="23">
        <v>8</v>
      </c>
      <c r="Z14" s="23">
        <v>8</v>
      </c>
      <c r="AA14" s="23">
        <v>7</v>
      </c>
      <c r="AB14" s="23">
        <v>9</v>
      </c>
      <c r="AC14" s="23">
        <v>8</v>
      </c>
      <c r="AD14" s="23">
        <v>8</v>
      </c>
      <c r="AE14" s="61">
        <v>8</v>
      </c>
      <c r="AF14" s="59">
        <v>3</v>
      </c>
      <c r="AG14" s="23">
        <v>3</v>
      </c>
      <c r="AH14" s="23">
        <v>3</v>
      </c>
      <c r="AI14" s="23">
        <v>3</v>
      </c>
      <c r="AJ14" s="23">
        <v>3</v>
      </c>
      <c r="AK14" s="23">
        <v>3</v>
      </c>
      <c r="AL14" s="23">
        <v>3</v>
      </c>
      <c r="AM14" s="23">
        <v>3</v>
      </c>
    </row>
    <row r="15" spans="1:39" x14ac:dyDescent="0.25">
      <c r="A15" s="96"/>
      <c r="B15" s="3" t="s">
        <v>11</v>
      </c>
      <c r="C15" s="2">
        <v>8</v>
      </c>
      <c r="D15" s="2">
        <v>9</v>
      </c>
      <c r="E15" s="2">
        <v>7</v>
      </c>
      <c r="F15" s="2">
        <v>8</v>
      </c>
      <c r="G15" s="2">
        <v>9</v>
      </c>
      <c r="H15" s="2">
        <v>8</v>
      </c>
      <c r="I15" s="2">
        <v>8</v>
      </c>
      <c r="J15" s="2">
        <v>8</v>
      </c>
      <c r="K15" s="62">
        <v>8</v>
      </c>
      <c r="L15" s="60">
        <v>3</v>
      </c>
      <c r="M15" s="2">
        <v>3</v>
      </c>
      <c r="N15" s="2">
        <v>3</v>
      </c>
      <c r="O15" s="2">
        <v>3</v>
      </c>
      <c r="P15" s="2">
        <v>3</v>
      </c>
      <c r="Q15" s="2">
        <v>3</v>
      </c>
      <c r="R15" s="2">
        <v>3</v>
      </c>
      <c r="S15" s="2">
        <v>3</v>
      </c>
      <c r="T15" s="4"/>
      <c r="U15" s="96"/>
      <c r="V15" s="3" t="s">
        <v>54</v>
      </c>
      <c r="W15" s="2">
        <v>8</v>
      </c>
      <c r="X15" s="2">
        <v>2</v>
      </c>
      <c r="Y15" s="2">
        <v>8</v>
      </c>
      <c r="Z15" s="2">
        <v>8</v>
      </c>
      <c r="AA15" s="2">
        <v>7</v>
      </c>
      <c r="AB15" s="2">
        <v>8</v>
      </c>
      <c r="AC15" s="2">
        <v>8</v>
      </c>
      <c r="AD15" s="2">
        <v>8</v>
      </c>
      <c r="AE15" s="62">
        <v>8</v>
      </c>
      <c r="AF15" s="60">
        <v>3</v>
      </c>
      <c r="AG15" s="2">
        <v>5</v>
      </c>
      <c r="AH15" s="2">
        <v>3</v>
      </c>
      <c r="AI15" s="2">
        <v>3</v>
      </c>
      <c r="AJ15" s="2">
        <v>3</v>
      </c>
      <c r="AK15" s="2">
        <v>2</v>
      </c>
      <c r="AL15" s="2">
        <v>3</v>
      </c>
      <c r="AM15" s="2">
        <v>3</v>
      </c>
    </row>
    <row r="16" spans="1:39" x14ac:dyDescent="0.25">
      <c r="A16" s="96"/>
      <c r="B16" s="3" t="s">
        <v>25</v>
      </c>
      <c r="C16" s="23">
        <v>8</v>
      </c>
      <c r="D16" s="23">
        <v>8</v>
      </c>
      <c r="E16" s="23">
        <v>9</v>
      </c>
      <c r="F16" s="23">
        <v>8</v>
      </c>
      <c r="G16" s="23">
        <v>8</v>
      </c>
      <c r="H16" s="23">
        <v>8</v>
      </c>
      <c r="I16" s="23">
        <v>9</v>
      </c>
      <c r="J16" s="23">
        <v>8</v>
      </c>
      <c r="K16" s="61">
        <v>8</v>
      </c>
      <c r="L16" s="59">
        <v>3</v>
      </c>
      <c r="M16" s="23">
        <v>4</v>
      </c>
      <c r="N16" s="23">
        <v>3</v>
      </c>
      <c r="O16" s="23">
        <v>3</v>
      </c>
      <c r="P16" s="23">
        <v>3</v>
      </c>
      <c r="Q16" s="23">
        <v>3</v>
      </c>
      <c r="R16" s="23">
        <v>3</v>
      </c>
      <c r="S16" s="23">
        <v>3</v>
      </c>
      <c r="T16" s="4"/>
      <c r="U16" s="96"/>
      <c r="V16" s="3" t="s">
        <v>55</v>
      </c>
      <c r="W16" s="23">
        <v>7</v>
      </c>
      <c r="X16" s="23">
        <v>6</v>
      </c>
      <c r="Y16" s="23">
        <v>7</v>
      </c>
      <c r="Z16" s="23">
        <v>7</v>
      </c>
      <c r="AA16" s="23">
        <v>8</v>
      </c>
      <c r="AB16" s="23">
        <v>8</v>
      </c>
      <c r="AC16" s="23">
        <v>8</v>
      </c>
      <c r="AD16" s="23">
        <v>8</v>
      </c>
      <c r="AE16" s="61">
        <v>8</v>
      </c>
      <c r="AF16" s="59">
        <v>3</v>
      </c>
      <c r="AG16" s="23">
        <v>3</v>
      </c>
      <c r="AH16" s="23">
        <v>3</v>
      </c>
      <c r="AI16" s="23">
        <v>3</v>
      </c>
      <c r="AJ16" s="23">
        <v>3</v>
      </c>
      <c r="AK16" s="23">
        <v>3</v>
      </c>
      <c r="AL16" s="23">
        <v>3</v>
      </c>
      <c r="AM16" s="23">
        <v>3</v>
      </c>
    </row>
    <row r="17" spans="1:39" x14ac:dyDescent="0.25">
      <c r="A17" s="96"/>
      <c r="B17" s="3" t="s">
        <v>26</v>
      </c>
      <c r="C17" s="2">
        <v>8</v>
      </c>
      <c r="D17" s="2">
        <v>5</v>
      </c>
      <c r="E17" s="2">
        <v>7</v>
      </c>
      <c r="F17" s="2">
        <v>8</v>
      </c>
      <c r="G17" s="2">
        <v>7</v>
      </c>
      <c r="H17" s="2">
        <v>6</v>
      </c>
      <c r="I17" s="2">
        <v>7</v>
      </c>
      <c r="J17" s="2">
        <v>8</v>
      </c>
      <c r="K17" s="62">
        <v>7</v>
      </c>
      <c r="L17" s="60">
        <v>3</v>
      </c>
      <c r="M17" s="2">
        <v>3</v>
      </c>
      <c r="N17" s="2">
        <v>3</v>
      </c>
      <c r="O17" s="2">
        <v>3</v>
      </c>
      <c r="P17" s="2">
        <v>3</v>
      </c>
      <c r="Q17" s="2">
        <v>3</v>
      </c>
      <c r="R17" s="2">
        <v>3</v>
      </c>
      <c r="S17" s="2">
        <v>3</v>
      </c>
      <c r="T17" s="4"/>
      <c r="U17" s="96"/>
      <c r="V17" s="3" t="s">
        <v>38</v>
      </c>
      <c r="W17" s="2">
        <v>8</v>
      </c>
      <c r="X17" s="2">
        <v>7</v>
      </c>
      <c r="Y17" s="2">
        <v>7</v>
      </c>
      <c r="Z17" s="2">
        <v>8</v>
      </c>
      <c r="AA17" s="2">
        <v>8</v>
      </c>
      <c r="AB17" s="2">
        <v>8</v>
      </c>
      <c r="AC17" s="2">
        <v>8</v>
      </c>
      <c r="AD17" s="2">
        <v>8</v>
      </c>
      <c r="AE17" s="62">
        <v>8</v>
      </c>
      <c r="AF17" s="60">
        <v>3</v>
      </c>
      <c r="AG17" s="2">
        <v>3</v>
      </c>
      <c r="AH17" s="2">
        <v>3</v>
      </c>
      <c r="AI17" s="2">
        <v>3</v>
      </c>
      <c r="AJ17" s="2">
        <v>3</v>
      </c>
      <c r="AK17" s="2">
        <v>3</v>
      </c>
      <c r="AL17" s="2">
        <v>3</v>
      </c>
      <c r="AM17" s="2">
        <v>3</v>
      </c>
    </row>
    <row r="18" spans="1:39" x14ac:dyDescent="0.25">
      <c r="A18" s="96"/>
      <c r="B18" s="3" t="s">
        <v>12</v>
      </c>
      <c r="C18" s="23">
        <v>8</v>
      </c>
      <c r="D18" s="23">
        <v>5</v>
      </c>
      <c r="E18" s="23">
        <v>5</v>
      </c>
      <c r="F18" s="23">
        <v>7</v>
      </c>
      <c r="G18" s="23">
        <v>5</v>
      </c>
      <c r="H18" s="23">
        <v>6</v>
      </c>
      <c r="I18" s="23">
        <v>5</v>
      </c>
      <c r="J18" s="23">
        <v>6</v>
      </c>
      <c r="K18" s="61">
        <v>4</v>
      </c>
      <c r="L18" s="59">
        <v>3</v>
      </c>
      <c r="M18" s="23">
        <v>3</v>
      </c>
      <c r="N18" s="23">
        <v>3</v>
      </c>
      <c r="O18" s="23">
        <v>3</v>
      </c>
      <c r="P18" s="23">
        <v>3</v>
      </c>
      <c r="Q18" s="23">
        <v>3</v>
      </c>
      <c r="R18" s="23">
        <v>3</v>
      </c>
      <c r="S18" s="23">
        <v>3</v>
      </c>
      <c r="T18" s="4"/>
      <c r="U18" s="96"/>
      <c r="V18" s="3" t="s">
        <v>39</v>
      </c>
      <c r="W18" s="23">
        <v>10</v>
      </c>
      <c r="X18" s="23">
        <v>2</v>
      </c>
      <c r="Y18" s="23">
        <v>3</v>
      </c>
      <c r="Z18" s="23">
        <v>3</v>
      </c>
      <c r="AA18" s="23">
        <v>3</v>
      </c>
      <c r="AB18" s="23">
        <v>3</v>
      </c>
      <c r="AC18" s="23">
        <v>3</v>
      </c>
      <c r="AD18" s="23">
        <v>3</v>
      </c>
      <c r="AE18" s="61">
        <v>3</v>
      </c>
      <c r="AF18" s="59">
        <v>3</v>
      </c>
      <c r="AG18" s="23">
        <v>3</v>
      </c>
      <c r="AH18" s="23">
        <v>3</v>
      </c>
      <c r="AI18" s="23">
        <v>3</v>
      </c>
      <c r="AJ18" s="23">
        <v>3</v>
      </c>
      <c r="AK18" s="23">
        <v>3</v>
      </c>
      <c r="AL18" s="23">
        <v>3</v>
      </c>
      <c r="AM18" s="23">
        <v>3</v>
      </c>
    </row>
    <row r="19" spans="1:39" x14ac:dyDescent="0.25">
      <c r="A19" s="96"/>
      <c r="B19" s="3" t="s">
        <v>13</v>
      </c>
      <c r="C19" s="2">
        <v>8</v>
      </c>
      <c r="D19" s="2">
        <v>3</v>
      </c>
      <c r="E19" s="2">
        <v>3</v>
      </c>
      <c r="F19" s="2">
        <v>3</v>
      </c>
      <c r="G19" s="2">
        <v>3</v>
      </c>
      <c r="H19" s="2">
        <v>3</v>
      </c>
      <c r="I19" s="2">
        <v>3</v>
      </c>
      <c r="J19" s="2">
        <v>3</v>
      </c>
      <c r="K19" s="62">
        <v>3</v>
      </c>
      <c r="L19" s="60">
        <v>3</v>
      </c>
      <c r="M19" s="2">
        <v>3</v>
      </c>
      <c r="N19" s="2">
        <v>3</v>
      </c>
      <c r="O19" s="2">
        <v>3</v>
      </c>
      <c r="P19" s="2">
        <v>3</v>
      </c>
      <c r="Q19" s="2">
        <v>3</v>
      </c>
      <c r="R19" s="2">
        <v>3</v>
      </c>
      <c r="S19" s="2">
        <v>3</v>
      </c>
      <c r="T19" s="4"/>
      <c r="U19" s="96"/>
      <c r="V19" s="3" t="s">
        <v>40</v>
      </c>
      <c r="W19" s="2">
        <v>10</v>
      </c>
      <c r="X19" s="2">
        <v>2</v>
      </c>
      <c r="Y19" s="2">
        <v>2</v>
      </c>
      <c r="Z19" s="2">
        <v>3</v>
      </c>
      <c r="AA19" s="2">
        <v>3</v>
      </c>
      <c r="AB19" s="2">
        <v>3</v>
      </c>
      <c r="AC19" s="2">
        <v>3</v>
      </c>
      <c r="AD19" s="2">
        <v>3</v>
      </c>
      <c r="AE19" s="62">
        <v>3</v>
      </c>
      <c r="AF19" s="60">
        <v>3</v>
      </c>
      <c r="AG19" s="2">
        <v>3</v>
      </c>
      <c r="AH19" s="2">
        <v>3</v>
      </c>
      <c r="AI19" s="2">
        <v>3</v>
      </c>
      <c r="AJ19" s="2">
        <v>3</v>
      </c>
      <c r="AK19" s="2">
        <v>3</v>
      </c>
      <c r="AL19" s="2">
        <v>3</v>
      </c>
      <c r="AM19" s="2">
        <v>3</v>
      </c>
    </row>
    <row r="20" spans="1:39" x14ac:dyDescent="0.25">
      <c r="A20" s="96"/>
      <c r="B20" s="3" t="s">
        <v>14</v>
      </c>
      <c r="C20" s="23">
        <v>8</v>
      </c>
      <c r="D20" s="23">
        <v>3</v>
      </c>
      <c r="E20" s="23">
        <v>3</v>
      </c>
      <c r="F20" s="23">
        <v>3</v>
      </c>
      <c r="G20" s="23">
        <v>3</v>
      </c>
      <c r="H20" s="23">
        <v>3</v>
      </c>
      <c r="I20" s="23">
        <v>3</v>
      </c>
      <c r="J20" s="23">
        <v>3</v>
      </c>
      <c r="K20" s="61">
        <v>3</v>
      </c>
      <c r="L20" s="59">
        <v>3</v>
      </c>
      <c r="M20" s="23">
        <v>3</v>
      </c>
      <c r="N20" s="23">
        <v>3</v>
      </c>
      <c r="O20" s="23">
        <v>3</v>
      </c>
      <c r="P20" s="23">
        <v>3</v>
      </c>
      <c r="Q20" s="23">
        <v>3</v>
      </c>
      <c r="R20" s="23">
        <v>3</v>
      </c>
      <c r="S20" s="23">
        <v>3</v>
      </c>
      <c r="T20" s="4"/>
      <c r="U20" s="96"/>
      <c r="V20" s="3" t="s">
        <v>41</v>
      </c>
      <c r="W20" s="23">
        <v>8</v>
      </c>
      <c r="X20" s="23">
        <v>2</v>
      </c>
      <c r="Y20" s="23">
        <v>2</v>
      </c>
      <c r="Z20" s="23">
        <v>3</v>
      </c>
      <c r="AA20" s="23">
        <v>3</v>
      </c>
      <c r="AB20" s="23">
        <v>3</v>
      </c>
      <c r="AC20" s="23">
        <v>3</v>
      </c>
      <c r="AD20" s="23">
        <v>3</v>
      </c>
      <c r="AE20" s="61">
        <v>3</v>
      </c>
      <c r="AF20" s="59">
        <v>3</v>
      </c>
      <c r="AG20" s="23">
        <v>3</v>
      </c>
      <c r="AH20" s="23">
        <v>3</v>
      </c>
      <c r="AI20" s="23">
        <v>3</v>
      </c>
      <c r="AJ20" s="23">
        <v>3</v>
      </c>
      <c r="AK20" s="23">
        <v>3</v>
      </c>
      <c r="AL20" s="23">
        <v>3</v>
      </c>
      <c r="AM20" s="23">
        <v>3</v>
      </c>
    </row>
    <row r="21" spans="1:39" x14ac:dyDescent="0.25">
      <c r="A21" s="96"/>
      <c r="B21" s="3" t="s">
        <v>15</v>
      </c>
      <c r="C21" s="2">
        <v>8</v>
      </c>
      <c r="D21" s="2">
        <v>3</v>
      </c>
      <c r="E21" s="2">
        <v>3</v>
      </c>
      <c r="F21" s="2">
        <v>3</v>
      </c>
      <c r="G21" s="2">
        <v>3</v>
      </c>
      <c r="H21" s="2">
        <v>3</v>
      </c>
      <c r="I21" s="2">
        <v>3</v>
      </c>
      <c r="J21" s="2">
        <v>3</v>
      </c>
      <c r="K21" s="62">
        <v>3</v>
      </c>
      <c r="L21" s="60">
        <v>3</v>
      </c>
      <c r="M21" s="2">
        <v>3</v>
      </c>
      <c r="N21" s="2">
        <v>3</v>
      </c>
      <c r="O21" s="2">
        <v>3</v>
      </c>
      <c r="P21" s="2">
        <v>3</v>
      </c>
      <c r="Q21" s="2">
        <v>3</v>
      </c>
      <c r="R21" s="2">
        <v>3</v>
      </c>
      <c r="S21" s="2">
        <v>3</v>
      </c>
      <c r="T21" s="4"/>
      <c r="U21" s="96"/>
      <c r="V21" s="3" t="s">
        <v>42</v>
      </c>
      <c r="W21" s="2">
        <v>6</v>
      </c>
      <c r="X21" s="2">
        <v>2</v>
      </c>
      <c r="Y21" s="2">
        <v>3</v>
      </c>
      <c r="Z21" s="2">
        <v>3</v>
      </c>
      <c r="AA21" s="2">
        <v>3</v>
      </c>
      <c r="AB21" s="2">
        <v>3</v>
      </c>
      <c r="AC21" s="2">
        <v>3</v>
      </c>
      <c r="AD21" s="2">
        <v>3</v>
      </c>
      <c r="AE21" s="62">
        <v>3</v>
      </c>
      <c r="AF21" s="60">
        <v>3</v>
      </c>
      <c r="AG21" s="2">
        <v>3</v>
      </c>
      <c r="AH21" s="2">
        <v>3</v>
      </c>
      <c r="AI21" s="2">
        <v>3</v>
      </c>
      <c r="AJ21" s="2">
        <v>3</v>
      </c>
      <c r="AK21" s="2">
        <v>3</v>
      </c>
      <c r="AL21" s="2">
        <v>3</v>
      </c>
      <c r="AM21" s="2">
        <v>3</v>
      </c>
    </row>
    <row r="22" spans="1:39" x14ac:dyDescent="0.25">
      <c r="A22" s="96"/>
      <c r="B22" s="3" t="s">
        <v>16</v>
      </c>
      <c r="C22" s="23">
        <v>8</v>
      </c>
      <c r="D22" s="23">
        <v>3</v>
      </c>
      <c r="E22" s="23">
        <v>3</v>
      </c>
      <c r="F22" s="23">
        <v>3</v>
      </c>
      <c r="G22" s="23">
        <v>3</v>
      </c>
      <c r="H22" s="23">
        <v>3</v>
      </c>
      <c r="I22" s="23">
        <v>3</v>
      </c>
      <c r="J22" s="23">
        <v>3</v>
      </c>
      <c r="K22" s="61">
        <v>3</v>
      </c>
      <c r="L22" s="59">
        <v>3</v>
      </c>
      <c r="M22" s="23">
        <v>3</v>
      </c>
      <c r="N22" s="23">
        <v>3</v>
      </c>
      <c r="O22" s="23">
        <v>3</v>
      </c>
      <c r="P22" s="23">
        <v>3</v>
      </c>
      <c r="Q22" s="23">
        <v>3</v>
      </c>
      <c r="R22" s="23">
        <v>3</v>
      </c>
      <c r="S22" s="23">
        <v>3</v>
      </c>
      <c r="T22" s="4"/>
      <c r="U22" s="96"/>
      <c r="V22" s="3" t="s">
        <v>43</v>
      </c>
      <c r="W22" s="23"/>
      <c r="X22" s="23"/>
      <c r="Y22" s="23"/>
      <c r="Z22" s="23"/>
      <c r="AA22" s="23"/>
      <c r="AB22" s="23"/>
      <c r="AC22" s="23"/>
      <c r="AD22" s="23"/>
      <c r="AE22" s="61"/>
      <c r="AF22" s="59"/>
      <c r="AG22" s="23"/>
      <c r="AH22" s="23"/>
      <c r="AI22" s="23"/>
      <c r="AJ22" s="23"/>
      <c r="AK22" s="23"/>
      <c r="AL22" s="23"/>
      <c r="AM22" s="23"/>
    </row>
    <row r="23" spans="1:39" x14ac:dyDescent="0.25">
      <c r="A23" s="96"/>
      <c r="B23" s="3" t="s">
        <v>17</v>
      </c>
      <c r="C23" s="2"/>
      <c r="D23" s="2"/>
      <c r="E23" s="2"/>
      <c r="F23" s="2"/>
      <c r="G23" s="2"/>
      <c r="H23" s="2"/>
      <c r="I23" s="2"/>
      <c r="J23" s="2"/>
      <c r="K23" s="62"/>
      <c r="L23" s="60"/>
      <c r="M23" s="2"/>
      <c r="N23" s="2"/>
      <c r="O23" s="2"/>
      <c r="P23" s="2"/>
      <c r="Q23" s="2"/>
      <c r="R23" s="2"/>
      <c r="S23" s="2"/>
      <c r="T23" s="4"/>
      <c r="U23" s="96"/>
      <c r="V23" s="3" t="s">
        <v>44</v>
      </c>
      <c r="W23" s="2"/>
      <c r="X23" s="2"/>
      <c r="Y23" s="2"/>
      <c r="Z23" s="2"/>
      <c r="AA23" s="2"/>
      <c r="AB23" s="2"/>
      <c r="AC23" s="2"/>
      <c r="AD23" s="2"/>
      <c r="AE23" s="62"/>
      <c r="AF23" s="60"/>
      <c r="AG23" s="2"/>
      <c r="AH23" s="2"/>
      <c r="AI23" s="2"/>
      <c r="AJ23" s="2"/>
      <c r="AK23" s="2"/>
      <c r="AL23" s="2"/>
      <c r="AM23" s="2"/>
    </row>
    <row r="24" spans="1:39" x14ac:dyDescent="0.25">
      <c r="A24" s="96"/>
      <c r="B24" s="3" t="s">
        <v>18</v>
      </c>
      <c r="C24" s="23"/>
      <c r="D24" s="23"/>
      <c r="E24" s="23"/>
      <c r="F24" s="23"/>
      <c r="G24" s="23"/>
      <c r="H24" s="23"/>
      <c r="I24" s="23"/>
      <c r="J24" s="23"/>
      <c r="K24" s="61"/>
      <c r="L24" s="59"/>
      <c r="M24" s="23"/>
      <c r="N24" s="23"/>
      <c r="O24" s="23"/>
      <c r="P24" s="23"/>
      <c r="Q24" s="23"/>
      <c r="R24" s="23"/>
      <c r="S24" s="23"/>
      <c r="T24" s="4"/>
      <c r="U24" s="96"/>
      <c r="V24" s="3" t="s">
        <v>45</v>
      </c>
      <c r="W24" s="23"/>
      <c r="X24" s="23"/>
      <c r="Y24" s="23"/>
      <c r="Z24" s="23"/>
      <c r="AA24" s="23"/>
      <c r="AB24" s="23"/>
      <c r="AC24" s="23"/>
      <c r="AD24" s="23"/>
      <c r="AE24" s="61"/>
      <c r="AF24" s="59"/>
      <c r="AG24" s="23"/>
      <c r="AH24" s="23"/>
      <c r="AI24" s="23"/>
      <c r="AJ24" s="23"/>
      <c r="AK24" s="23"/>
      <c r="AL24" s="23"/>
      <c r="AM24" s="23"/>
    </row>
    <row r="25" spans="1:39" x14ac:dyDescent="0.25">
      <c r="A25" s="96"/>
      <c r="B25" s="3" t="s">
        <v>19</v>
      </c>
      <c r="C25" s="2"/>
      <c r="D25" s="2"/>
      <c r="E25" s="2"/>
      <c r="F25" s="2"/>
      <c r="G25" s="2"/>
      <c r="H25" s="2"/>
      <c r="I25" s="2"/>
      <c r="J25" s="2"/>
      <c r="K25" s="62"/>
      <c r="L25" s="60"/>
      <c r="M25" s="2"/>
      <c r="N25" s="2"/>
      <c r="O25" s="2"/>
      <c r="P25" s="2"/>
      <c r="Q25" s="2"/>
      <c r="R25" s="2"/>
      <c r="S25" s="2"/>
      <c r="T25" s="4"/>
      <c r="U25" s="96"/>
      <c r="V25" s="3" t="s">
        <v>46</v>
      </c>
      <c r="W25" s="2"/>
      <c r="X25" s="2"/>
      <c r="Y25" s="2"/>
      <c r="Z25" s="2"/>
      <c r="AA25" s="2"/>
      <c r="AB25" s="2"/>
      <c r="AC25" s="2"/>
      <c r="AD25" s="2"/>
      <c r="AE25" s="62"/>
      <c r="AF25" s="60"/>
      <c r="AG25" s="2"/>
      <c r="AH25" s="2"/>
      <c r="AI25" s="2"/>
      <c r="AJ25" s="2"/>
      <c r="AK25" s="2"/>
      <c r="AL25" s="2"/>
      <c r="AM25" s="2"/>
    </row>
    <row r="26" spans="1:39" x14ac:dyDescent="0.25">
      <c r="A26" s="96"/>
      <c r="B26" s="3" t="s">
        <v>20</v>
      </c>
      <c r="C26" s="23"/>
      <c r="D26" s="23"/>
      <c r="E26" s="23"/>
      <c r="F26" s="23"/>
      <c r="G26" s="23"/>
      <c r="H26" s="23"/>
      <c r="I26" s="23"/>
      <c r="J26" s="23"/>
      <c r="K26" s="61"/>
      <c r="L26" s="59"/>
      <c r="M26" s="23"/>
      <c r="N26" s="23"/>
      <c r="O26" s="23"/>
      <c r="P26" s="23"/>
      <c r="Q26" s="23"/>
      <c r="R26" s="23"/>
      <c r="S26" s="23"/>
      <c r="T26" s="4"/>
      <c r="U26" s="96"/>
      <c r="V26" s="3" t="s">
        <v>47</v>
      </c>
      <c r="W26" s="23"/>
      <c r="X26" s="23"/>
      <c r="Y26" s="23"/>
      <c r="Z26" s="23"/>
      <c r="AA26" s="23"/>
      <c r="AB26" s="23"/>
      <c r="AC26" s="23"/>
      <c r="AD26" s="23"/>
      <c r="AE26" s="61"/>
      <c r="AF26" s="59"/>
      <c r="AG26" s="23"/>
      <c r="AH26" s="23"/>
      <c r="AI26" s="23"/>
      <c r="AJ26" s="23"/>
      <c r="AK26" s="23"/>
      <c r="AL26" s="23"/>
      <c r="AM26" s="23"/>
    </row>
    <row r="27" spans="1:39" x14ac:dyDescent="0.25">
      <c r="A27" s="96"/>
      <c r="B27" s="3" t="s">
        <v>21</v>
      </c>
      <c r="C27" s="2"/>
      <c r="D27" s="2"/>
      <c r="E27" s="2"/>
      <c r="F27" s="2"/>
      <c r="G27" s="2"/>
      <c r="H27" s="2"/>
      <c r="I27" s="2"/>
      <c r="J27" s="2"/>
      <c r="K27" s="62"/>
      <c r="L27" s="60"/>
      <c r="M27" s="2"/>
      <c r="N27" s="2"/>
      <c r="O27" s="2"/>
      <c r="P27" s="2"/>
      <c r="Q27" s="2"/>
      <c r="R27" s="2"/>
      <c r="S27" s="2"/>
      <c r="T27" s="4"/>
      <c r="U27" s="96"/>
      <c r="V27" s="3" t="s">
        <v>48</v>
      </c>
      <c r="W27" s="2"/>
      <c r="X27" s="2"/>
      <c r="Y27" s="2"/>
      <c r="Z27" s="2"/>
      <c r="AA27" s="2"/>
      <c r="AB27" s="2"/>
      <c r="AC27" s="2"/>
      <c r="AD27" s="2"/>
      <c r="AE27" s="62"/>
      <c r="AF27" s="60"/>
      <c r="AG27" s="2"/>
      <c r="AH27" s="2"/>
      <c r="AI27" s="2"/>
      <c r="AJ27" s="2"/>
      <c r="AK27" s="2"/>
      <c r="AL27" s="2"/>
      <c r="AM27" s="2"/>
    </row>
    <row r="28" spans="1:39" x14ac:dyDescent="0.25">
      <c r="A28" s="96"/>
      <c r="B28" s="3" t="s">
        <v>22</v>
      </c>
      <c r="C28" s="23"/>
      <c r="D28" s="23"/>
      <c r="E28" s="23"/>
      <c r="F28" s="23"/>
      <c r="G28" s="23"/>
      <c r="H28" s="23"/>
      <c r="I28" s="23"/>
      <c r="J28" s="23"/>
      <c r="K28" s="61"/>
      <c r="L28" s="59"/>
      <c r="M28" s="23"/>
      <c r="N28" s="23"/>
      <c r="O28" s="23"/>
      <c r="P28" s="23"/>
      <c r="Q28" s="23"/>
      <c r="R28" s="23"/>
      <c r="S28" s="23"/>
      <c r="T28" s="4"/>
      <c r="U28" s="96"/>
      <c r="V28" s="3" t="s">
        <v>49</v>
      </c>
      <c r="W28" s="23"/>
      <c r="X28" s="23"/>
      <c r="Y28" s="23"/>
      <c r="Z28" s="23"/>
      <c r="AA28" s="23"/>
      <c r="AB28" s="23"/>
      <c r="AC28" s="23"/>
      <c r="AD28" s="23"/>
      <c r="AE28" s="61"/>
      <c r="AF28" s="59"/>
      <c r="AG28" s="23"/>
      <c r="AH28" s="23"/>
      <c r="AI28" s="23"/>
      <c r="AJ28" s="23"/>
      <c r="AK28" s="23"/>
      <c r="AL28" s="23"/>
      <c r="AM28" s="23"/>
    </row>
    <row r="29" spans="1:39" x14ac:dyDescent="0.25">
      <c r="A29" s="96"/>
      <c r="B29" s="3" t="s">
        <v>23</v>
      </c>
      <c r="C29" s="2"/>
      <c r="D29" s="2"/>
      <c r="E29" s="2"/>
      <c r="F29" s="2"/>
      <c r="G29" s="2"/>
      <c r="H29" s="2"/>
      <c r="I29" s="2"/>
      <c r="J29" s="2"/>
      <c r="K29" s="62"/>
      <c r="L29" s="60"/>
      <c r="M29" s="2"/>
      <c r="N29" s="2"/>
      <c r="O29" s="2"/>
      <c r="P29" s="2"/>
      <c r="Q29" s="2"/>
      <c r="R29" s="2"/>
      <c r="S29" s="2"/>
      <c r="T29" s="4"/>
      <c r="U29" s="96"/>
      <c r="V29" s="3" t="s">
        <v>50</v>
      </c>
      <c r="W29" s="2"/>
      <c r="X29" s="2"/>
      <c r="Y29" s="2"/>
      <c r="Z29" s="2"/>
      <c r="AA29" s="2"/>
      <c r="AB29" s="2"/>
      <c r="AC29" s="2"/>
      <c r="AD29" s="2"/>
      <c r="AE29" s="62"/>
      <c r="AF29" s="60"/>
      <c r="AG29" s="2"/>
      <c r="AH29" s="2"/>
      <c r="AI29" s="2"/>
      <c r="AJ29" s="2"/>
      <c r="AK29" s="2"/>
      <c r="AL29" s="2"/>
      <c r="AM29" s="2"/>
    </row>
    <row r="30" spans="1:39" x14ac:dyDescent="0.25">
      <c r="A30" s="96"/>
      <c r="B30" s="3" t="s">
        <v>24</v>
      </c>
      <c r="C30" s="23"/>
      <c r="D30" s="23"/>
      <c r="E30" s="23"/>
      <c r="F30" s="23"/>
      <c r="G30" s="23"/>
      <c r="H30" s="23"/>
      <c r="I30" s="23"/>
      <c r="J30" s="23"/>
      <c r="K30" s="61"/>
      <c r="L30" s="59"/>
      <c r="M30" s="23"/>
      <c r="N30" s="23"/>
      <c r="O30" s="23"/>
      <c r="P30" s="23"/>
      <c r="Q30" s="23"/>
      <c r="R30" s="23"/>
      <c r="S30" s="23"/>
      <c r="T30" s="4"/>
      <c r="U30" s="96"/>
      <c r="V30" s="4"/>
      <c r="W30" s="4"/>
      <c r="X30" s="4"/>
      <c r="Y30" s="4"/>
      <c r="Z30" s="4"/>
      <c r="AA30" s="4"/>
      <c r="AB30" s="4"/>
      <c r="AC30" s="4"/>
      <c r="AD30" s="4"/>
      <c r="AE30" s="4"/>
      <c r="AF30" s="4"/>
      <c r="AG30" s="4"/>
      <c r="AH30" s="4"/>
      <c r="AI30" s="4"/>
      <c r="AJ30" s="4"/>
    </row>
    <row r="31" spans="1:39" x14ac:dyDescent="0.25">
      <c r="A31" s="4"/>
      <c r="B31" s="4"/>
      <c r="C31" s="4"/>
      <c r="D31" s="4"/>
      <c r="E31" s="4"/>
      <c r="F31" s="4"/>
      <c r="G31" s="4"/>
      <c r="H31" s="4"/>
      <c r="I31" s="4"/>
      <c r="J31" s="4"/>
      <c r="K31" s="4"/>
      <c r="L31" s="4"/>
      <c r="M31" s="4"/>
      <c r="N31" s="4"/>
      <c r="O31" s="4"/>
      <c r="P31" s="4"/>
      <c r="Q31" s="4"/>
      <c r="R31" s="4"/>
      <c r="S31" s="4"/>
      <c r="T31" s="4"/>
      <c r="U31" s="4"/>
      <c r="V31" s="4"/>
      <c r="W31" s="4"/>
      <c r="X31" s="4"/>
      <c r="Y31" s="4"/>
      <c r="Z31" s="4"/>
      <c r="AA31" s="4"/>
      <c r="AB31" s="4"/>
      <c r="AC31" s="4"/>
      <c r="AD31" s="4"/>
      <c r="AE31" s="4"/>
      <c r="AF31" s="4"/>
      <c r="AG31" s="4"/>
      <c r="AH31" s="4"/>
      <c r="AI31" s="4"/>
      <c r="AJ31" s="4"/>
    </row>
    <row r="32" spans="1:39" x14ac:dyDescent="0.25">
      <c r="A32" s="4"/>
      <c r="B32" s="4"/>
      <c r="C32" s="4"/>
      <c r="D32" s="4"/>
      <c r="E32" s="4"/>
      <c r="F32" s="4"/>
      <c r="G32" s="4"/>
      <c r="H32" s="4"/>
      <c r="I32" s="4"/>
      <c r="J32" s="4"/>
      <c r="K32" s="4"/>
      <c r="L32" s="4"/>
      <c r="M32" s="4"/>
      <c r="N32" s="4"/>
      <c r="O32" s="4"/>
      <c r="P32" s="4"/>
      <c r="Q32" s="4"/>
      <c r="R32" s="4"/>
      <c r="S32" s="4"/>
      <c r="T32" s="4"/>
      <c r="U32" s="4"/>
      <c r="V32" s="4"/>
      <c r="W32" s="4"/>
      <c r="X32" s="4"/>
      <c r="Y32" s="4"/>
      <c r="Z32" s="4"/>
      <c r="AA32" s="4"/>
      <c r="AB32" s="4"/>
      <c r="AC32" s="4"/>
      <c r="AD32" s="4"/>
      <c r="AE32" s="4"/>
      <c r="AF32" s="4"/>
      <c r="AG32" s="4"/>
      <c r="AH32" s="4"/>
      <c r="AI32" s="4"/>
      <c r="AJ32" s="4"/>
    </row>
    <row r="33" spans="1:39" x14ac:dyDescent="0.25">
      <c r="A33" s="4"/>
      <c r="B33" s="4"/>
      <c r="C33" s="4"/>
      <c r="D33" s="4"/>
      <c r="E33" s="4"/>
      <c r="F33" s="4"/>
      <c r="G33" s="4"/>
      <c r="H33" s="4"/>
      <c r="I33" s="4"/>
      <c r="J33" s="4"/>
      <c r="K33" s="4"/>
      <c r="L33" s="4"/>
      <c r="M33" s="4"/>
      <c r="N33" s="4"/>
      <c r="O33" s="4"/>
      <c r="P33" s="4"/>
      <c r="Q33" s="4"/>
      <c r="R33" s="4"/>
      <c r="S33" s="4"/>
      <c r="T33" s="4"/>
      <c r="U33" s="4"/>
      <c r="V33" s="4"/>
      <c r="W33" s="4"/>
      <c r="X33" s="4"/>
      <c r="Y33" s="4"/>
      <c r="Z33" s="4"/>
      <c r="AA33" s="4"/>
      <c r="AB33" s="4"/>
      <c r="AC33" s="4"/>
      <c r="AD33" s="4"/>
      <c r="AE33" s="4"/>
      <c r="AF33" s="4"/>
      <c r="AG33" s="4"/>
      <c r="AH33" s="4"/>
      <c r="AI33" s="4"/>
      <c r="AJ33" s="4"/>
    </row>
    <row r="34" spans="1:39" x14ac:dyDescent="0.25">
      <c r="A34" s="4"/>
      <c r="B34" s="4"/>
      <c r="C34" s="4"/>
      <c r="D34" s="4"/>
      <c r="E34" s="4"/>
      <c r="F34" s="4"/>
      <c r="G34" s="4"/>
      <c r="H34" s="4"/>
      <c r="I34" s="4"/>
      <c r="J34" s="4"/>
      <c r="K34" s="4"/>
      <c r="L34" s="4"/>
      <c r="M34" s="4"/>
      <c r="N34" s="4"/>
      <c r="O34" s="4"/>
      <c r="P34" s="4"/>
      <c r="Q34" s="4"/>
      <c r="R34" s="4"/>
      <c r="S34" s="4"/>
      <c r="T34" s="4"/>
      <c r="U34" s="4"/>
      <c r="V34" s="4"/>
      <c r="W34" s="4"/>
      <c r="X34" s="4"/>
      <c r="Y34" s="4"/>
      <c r="Z34" s="4"/>
      <c r="AA34" s="4"/>
      <c r="AB34" s="4"/>
      <c r="AC34" s="4"/>
      <c r="AD34" s="4"/>
      <c r="AE34" s="4"/>
      <c r="AF34" s="4"/>
      <c r="AG34" s="4"/>
      <c r="AH34" s="4"/>
      <c r="AI34" s="4"/>
      <c r="AJ34" s="4"/>
    </row>
    <row r="35" spans="1:39" ht="26.25" x14ac:dyDescent="0.25">
      <c r="A35" s="99" t="s">
        <v>73</v>
      </c>
      <c r="B35" s="99"/>
      <c r="C35" s="99"/>
      <c r="D35" s="99"/>
      <c r="E35" s="99"/>
      <c r="F35" s="99"/>
      <c r="G35" s="99"/>
      <c r="H35" s="99"/>
      <c r="I35" s="99"/>
      <c r="J35" s="99"/>
      <c r="K35" s="99"/>
      <c r="L35" s="99"/>
      <c r="M35" s="99"/>
      <c r="N35" s="99"/>
      <c r="O35" s="99"/>
      <c r="P35" s="99"/>
      <c r="Q35" s="99"/>
      <c r="R35" s="99"/>
      <c r="S35" s="99"/>
      <c r="T35" s="99"/>
      <c r="U35" s="99"/>
      <c r="V35" s="99"/>
      <c r="W35" s="99"/>
      <c r="X35" s="99"/>
      <c r="Y35" s="99"/>
      <c r="Z35" s="99"/>
      <c r="AA35" s="99"/>
      <c r="AB35" s="99"/>
      <c r="AC35" s="99"/>
      <c r="AD35" s="99"/>
      <c r="AE35" s="99"/>
      <c r="AF35" s="99"/>
      <c r="AG35" s="99"/>
      <c r="AH35" s="99"/>
      <c r="AI35" s="99"/>
      <c r="AJ35" s="4"/>
    </row>
    <row r="36" spans="1:39" x14ac:dyDescent="0.25">
      <c r="B36" s="4"/>
      <c r="C36" s="4"/>
      <c r="D36" s="4"/>
      <c r="E36" s="4"/>
      <c r="F36" s="4"/>
      <c r="G36" s="4"/>
      <c r="H36" s="4"/>
      <c r="I36" s="4"/>
      <c r="J36" s="4"/>
      <c r="K36" s="4"/>
      <c r="L36" s="4"/>
      <c r="M36" s="4"/>
      <c r="N36" s="4"/>
      <c r="O36" s="4"/>
      <c r="P36" s="4"/>
      <c r="Q36" s="4"/>
      <c r="R36" s="4"/>
      <c r="S36" s="4"/>
      <c r="T36" s="4"/>
      <c r="U36" s="4"/>
      <c r="V36" s="4"/>
      <c r="W36" s="4"/>
      <c r="X36" s="4"/>
      <c r="Y36" s="4"/>
      <c r="Z36" s="4"/>
      <c r="AA36" s="4"/>
      <c r="AB36" s="4"/>
      <c r="AC36" s="4"/>
      <c r="AD36" s="4"/>
      <c r="AE36" s="4"/>
      <c r="AF36" s="4"/>
      <c r="AG36" s="4"/>
      <c r="AH36" s="4"/>
      <c r="AI36" s="4"/>
    </row>
    <row r="37" spans="1:39" ht="36" customHeight="1" x14ac:dyDescent="0.25">
      <c r="A37" s="4"/>
      <c r="B37" s="5"/>
      <c r="C37" s="97" t="s">
        <v>1</v>
      </c>
      <c r="D37" s="97"/>
      <c r="E37" s="97"/>
      <c r="F37" s="97"/>
      <c r="G37" s="97"/>
      <c r="H37" s="97"/>
      <c r="I37" s="97"/>
      <c r="J37" s="97"/>
      <c r="K37" s="97"/>
      <c r="L37" s="97"/>
      <c r="M37" s="97"/>
      <c r="N37" s="97"/>
      <c r="O37" s="97"/>
      <c r="P37" s="97"/>
      <c r="Q37" s="97"/>
      <c r="R37" s="97"/>
      <c r="S37" s="97"/>
      <c r="T37" s="4"/>
      <c r="U37" s="4"/>
      <c r="V37" s="4"/>
      <c r="W37" s="97" t="s">
        <v>1</v>
      </c>
      <c r="X37" s="97"/>
      <c r="Y37" s="97"/>
      <c r="Z37" s="97"/>
      <c r="AA37" s="97"/>
      <c r="AB37" s="97"/>
      <c r="AC37" s="97"/>
      <c r="AD37" s="97"/>
      <c r="AE37" s="97"/>
      <c r="AF37" s="97"/>
      <c r="AG37" s="97"/>
      <c r="AH37" s="97"/>
      <c r="AI37" s="97"/>
      <c r="AJ37" s="97"/>
      <c r="AK37" s="97"/>
      <c r="AL37" s="97"/>
      <c r="AM37" s="97"/>
    </row>
    <row r="38" spans="1:39" ht="15.75" x14ac:dyDescent="0.25">
      <c r="A38" s="4"/>
      <c r="B38" s="5"/>
      <c r="C38" s="98" t="s">
        <v>52</v>
      </c>
      <c r="D38" s="98"/>
      <c r="E38" s="98"/>
      <c r="F38" s="98"/>
      <c r="G38" s="98"/>
      <c r="H38" s="98"/>
      <c r="I38" s="98"/>
      <c r="J38" s="98"/>
      <c r="K38" s="98"/>
      <c r="L38" s="98"/>
      <c r="M38" s="98"/>
      <c r="N38" s="98"/>
      <c r="O38" s="98"/>
      <c r="P38" s="98"/>
      <c r="Q38" s="98"/>
      <c r="R38" s="98"/>
      <c r="S38" s="98"/>
      <c r="T38" s="4"/>
      <c r="U38" s="4"/>
      <c r="V38" s="4"/>
      <c r="W38" s="98" t="s">
        <v>52</v>
      </c>
      <c r="X38" s="98"/>
      <c r="Y38" s="98"/>
      <c r="Z38" s="98"/>
      <c r="AA38" s="98"/>
      <c r="AB38" s="98"/>
      <c r="AC38" s="98"/>
      <c r="AD38" s="98"/>
      <c r="AE38" s="98"/>
      <c r="AF38" s="98"/>
      <c r="AG38" s="98"/>
      <c r="AH38" s="98"/>
      <c r="AI38" s="98"/>
      <c r="AJ38" s="98"/>
      <c r="AK38" s="98"/>
      <c r="AL38" s="98"/>
      <c r="AM38" s="98"/>
    </row>
    <row r="39" spans="1:39" ht="15.75" x14ac:dyDescent="0.25">
      <c r="A39" s="6" t="s">
        <v>52</v>
      </c>
      <c r="C39" s="3" t="s">
        <v>2</v>
      </c>
      <c r="D39" s="3" t="s">
        <v>3</v>
      </c>
      <c r="E39" s="3" t="s">
        <v>4</v>
      </c>
      <c r="F39" s="3" t="s">
        <v>5</v>
      </c>
      <c r="G39" s="3" t="s">
        <v>6</v>
      </c>
      <c r="H39" s="3" t="s">
        <v>7</v>
      </c>
      <c r="I39" s="3" t="s">
        <v>8</v>
      </c>
      <c r="J39" s="3" t="s">
        <v>9</v>
      </c>
      <c r="K39" s="3" t="s">
        <v>10</v>
      </c>
      <c r="L39" s="3" t="s">
        <v>11</v>
      </c>
      <c r="M39" s="3" t="s">
        <v>25</v>
      </c>
      <c r="N39" s="3" t="s">
        <v>26</v>
      </c>
      <c r="O39" s="3" t="s">
        <v>12</v>
      </c>
      <c r="P39" s="3" t="s">
        <v>13</v>
      </c>
      <c r="Q39" s="3" t="s">
        <v>14</v>
      </c>
      <c r="R39" s="3" t="s">
        <v>15</v>
      </c>
      <c r="S39" s="3" t="s">
        <v>16</v>
      </c>
      <c r="T39" s="4"/>
      <c r="U39" s="6" t="s">
        <v>51</v>
      </c>
      <c r="W39" s="3" t="s">
        <v>2</v>
      </c>
      <c r="X39" s="3" t="s">
        <v>3</v>
      </c>
      <c r="Y39" s="3" t="s">
        <v>4</v>
      </c>
      <c r="Z39" s="3" t="s">
        <v>5</v>
      </c>
      <c r="AA39" s="3" t="s">
        <v>6</v>
      </c>
      <c r="AB39" s="3" t="s">
        <v>7</v>
      </c>
      <c r="AC39" s="3" t="s">
        <v>8</v>
      </c>
      <c r="AD39" s="3" t="s">
        <v>9</v>
      </c>
      <c r="AE39" s="3" t="s">
        <v>10</v>
      </c>
      <c r="AF39" s="3" t="s">
        <v>11</v>
      </c>
      <c r="AG39" s="3" t="s">
        <v>25</v>
      </c>
      <c r="AH39" s="3" t="s">
        <v>26</v>
      </c>
      <c r="AI39" s="3" t="s">
        <v>12</v>
      </c>
      <c r="AJ39" s="3" t="s">
        <v>13</v>
      </c>
      <c r="AK39" s="3" t="s">
        <v>14</v>
      </c>
      <c r="AL39" s="3" t="s">
        <v>15</v>
      </c>
      <c r="AM39" s="3" t="s">
        <v>16</v>
      </c>
    </row>
    <row r="40" spans="1:39" x14ac:dyDescent="0.25">
      <c r="A40" s="96" t="s">
        <v>71</v>
      </c>
      <c r="B40" s="3" t="s">
        <v>2</v>
      </c>
      <c r="C40" s="23">
        <f>IF(C6&lt;20,20-C6,"")</f>
        <v>9</v>
      </c>
      <c r="D40" s="23" t="str">
        <f t="shared" ref="D40:K40" si="0">IF(D6&lt;10,10-X6,"")</f>
        <v/>
      </c>
      <c r="E40" s="23">
        <f t="shared" si="0"/>
        <v>2</v>
      </c>
      <c r="F40" s="23">
        <f t="shared" si="0"/>
        <v>2</v>
      </c>
      <c r="G40" s="23" t="str">
        <f t="shared" si="0"/>
        <v/>
      </c>
      <c r="H40" s="23">
        <f t="shared" si="0"/>
        <v>2</v>
      </c>
      <c r="I40" s="23" t="str">
        <f t="shared" si="0"/>
        <v/>
      </c>
      <c r="J40" s="23" t="str">
        <f t="shared" si="0"/>
        <v/>
      </c>
      <c r="K40" s="23" t="str">
        <f t="shared" si="0"/>
        <v/>
      </c>
      <c r="L40" s="23" t="str">
        <f>IF(L6&lt;10,10-L6,"")</f>
        <v/>
      </c>
      <c r="M40" s="23" t="str">
        <f t="shared" ref="M40:S40" si="1">IF(M6&lt;10,10-M6,"")</f>
        <v/>
      </c>
      <c r="N40" s="23" t="str">
        <f t="shared" si="1"/>
        <v/>
      </c>
      <c r="O40" s="23" t="str">
        <f t="shared" si="1"/>
        <v/>
      </c>
      <c r="P40" s="23" t="str">
        <f t="shared" si="1"/>
        <v/>
      </c>
      <c r="Q40" s="23" t="str">
        <f t="shared" si="1"/>
        <v/>
      </c>
      <c r="R40" s="23" t="str">
        <f t="shared" si="1"/>
        <v/>
      </c>
      <c r="S40" s="23" t="str">
        <f t="shared" si="1"/>
        <v/>
      </c>
      <c r="T40" s="4"/>
      <c r="U40" s="96" t="s">
        <v>72</v>
      </c>
      <c r="V40" s="3" t="s">
        <v>29</v>
      </c>
      <c r="W40" s="44" t="str">
        <f>IF(W6&lt;10,10-W6,"")</f>
        <v/>
      </c>
      <c r="X40" s="25" t="str">
        <f t="shared" ref="X40:AE40" si="2">IF(X6&lt;8,8-X6,"")</f>
        <v/>
      </c>
      <c r="Y40" s="25" t="str">
        <f t="shared" si="2"/>
        <v/>
      </c>
      <c r="Z40" s="25" t="str">
        <f t="shared" si="2"/>
        <v/>
      </c>
      <c r="AA40" s="25" t="str">
        <f t="shared" si="2"/>
        <v/>
      </c>
      <c r="AB40" s="25" t="str">
        <f t="shared" si="2"/>
        <v/>
      </c>
      <c r="AC40" s="25" t="str">
        <f t="shared" si="2"/>
        <v/>
      </c>
      <c r="AD40" s="25" t="str">
        <f t="shared" si="2"/>
        <v/>
      </c>
      <c r="AE40" s="25" t="str">
        <f t="shared" si="2"/>
        <v/>
      </c>
      <c r="AF40" s="25" t="str">
        <f>IF(AF6&lt;3,3-AF6,"")</f>
        <v/>
      </c>
      <c r="AG40" s="25">
        <f t="shared" ref="AG40:AM40" si="3">IF(AG6&lt;3,3-AG6,"")</f>
        <v>1</v>
      </c>
      <c r="AH40" s="25" t="str">
        <f t="shared" si="3"/>
        <v/>
      </c>
      <c r="AI40" s="25" t="str">
        <f t="shared" si="3"/>
        <v/>
      </c>
      <c r="AJ40" s="25" t="str">
        <f t="shared" si="3"/>
        <v/>
      </c>
      <c r="AK40" s="25" t="str">
        <f t="shared" si="3"/>
        <v/>
      </c>
      <c r="AL40" s="25" t="str">
        <f t="shared" si="3"/>
        <v/>
      </c>
      <c r="AM40" s="25" t="str">
        <f t="shared" si="3"/>
        <v/>
      </c>
    </row>
    <row r="41" spans="1:39" x14ac:dyDescent="0.25">
      <c r="A41" s="96"/>
      <c r="B41" s="3" t="s">
        <v>3</v>
      </c>
      <c r="C41" s="2" t="str">
        <f>IF(C7&lt;8,8-C7,"")</f>
        <v/>
      </c>
      <c r="D41" s="2" t="str">
        <f t="shared" ref="D41:K41" si="4">IF(D7&lt;8,8-D7,"")</f>
        <v/>
      </c>
      <c r="E41" s="2">
        <f t="shared" si="4"/>
        <v>3</v>
      </c>
      <c r="F41" s="2" t="str">
        <f t="shared" si="4"/>
        <v/>
      </c>
      <c r="G41" s="2">
        <f t="shared" si="4"/>
        <v>1</v>
      </c>
      <c r="H41" s="2" t="str">
        <f t="shared" si="4"/>
        <v/>
      </c>
      <c r="I41" s="2" t="str">
        <f t="shared" si="4"/>
        <v/>
      </c>
      <c r="J41" s="2" t="str">
        <f t="shared" si="4"/>
        <v/>
      </c>
      <c r="K41" s="2" t="str">
        <f t="shared" si="4"/>
        <v/>
      </c>
      <c r="L41" s="2" t="str">
        <f>IF(L7&lt;3,3-L7,"")</f>
        <v/>
      </c>
      <c r="M41" s="2" t="str">
        <f t="shared" ref="M41:S41" si="5">IF(M7&lt;3,3-M7,"")</f>
        <v/>
      </c>
      <c r="N41" s="2" t="str">
        <f t="shared" si="5"/>
        <v/>
      </c>
      <c r="O41" s="2" t="str">
        <f t="shared" si="5"/>
        <v/>
      </c>
      <c r="P41" s="2" t="str">
        <f t="shared" si="5"/>
        <v/>
      </c>
      <c r="Q41" s="2" t="str">
        <f t="shared" si="5"/>
        <v/>
      </c>
      <c r="R41" s="2" t="str">
        <f t="shared" si="5"/>
        <v/>
      </c>
      <c r="S41" s="2" t="str">
        <f t="shared" si="5"/>
        <v/>
      </c>
      <c r="T41" s="4"/>
      <c r="U41" s="96"/>
      <c r="V41" s="3" t="s">
        <v>30</v>
      </c>
      <c r="W41" s="45" t="str">
        <f>IF(W7&lt;10,10-W7,"")</f>
        <v/>
      </c>
      <c r="X41" s="40" t="str">
        <f t="shared" ref="X41:AE41" si="6">IF(X7&lt;8,8-X7,"")</f>
        <v/>
      </c>
      <c r="Y41" s="40">
        <f t="shared" si="6"/>
        <v>2</v>
      </c>
      <c r="Z41" s="40" t="str">
        <f t="shared" si="6"/>
        <v/>
      </c>
      <c r="AA41" s="40" t="str">
        <f t="shared" si="6"/>
        <v/>
      </c>
      <c r="AB41" s="40" t="str">
        <f t="shared" si="6"/>
        <v/>
      </c>
      <c r="AC41" s="40" t="str">
        <f t="shared" si="6"/>
        <v/>
      </c>
      <c r="AD41" s="40" t="str">
        <f t="shared" si="6"/>
        <v/>
      </c>
      <c r="AE41" s="40" t="str">
        <f t="shared" si="6"/>
        <v/>
      </c>
      <c r="AF41" s="40" t="str">
        <f>IF(AF7&lt;3,3-AF7,"")</f>
        <v/>
      </c>
      <c r="AG41" s="40">
        <f t="shared" ref="AG41:AM41" si="7">IF(AG7&lt;3,3-AG7,"")</f>
        <v>1</v>
      </c>
      <c r="AH41" s="40" t="str">
        <f t="shared" si="7"/>
        <v/>
      </c>
      <c r="AI41" s="40" t="str">
        <f t="shared" si="7"/>
        <v/>
      </c>
      <c r="AJ41" s="40" t="str">
        <f t="shared" si="7"/>
        <v/>
      </c>
      <c r="AK41" s="40" t="str">
        <f t="shared" si="7"/>
        <v/>
      </c>
      <c r="AL41" s="40" t="str">
        <f t="shared" si="7"/>
        <v/>
      </c>
      <c r="AM41" s="40" t="str">
        <f t="shared" si="7"/>
        <v/>
      </c>
    </row>
    <row r="42" spans="1:39" x14ac:dyDescent="0.25">
      <c r="A42" s="96"/>
      <c r="B42" s="3" t="s">
        <v>4</v>
      </c>
      <c r="C42" s="23" t="str">
        <f>IF(C8&lt;8,8-C8,"")</f>
        <v/>
      </c>
      <c r="D42" s="23" t="str">
        <f t="shared" ref="D42:K42" si="8">IF(D8&lt;8,8-D8,"")</f>
        <v/>
      </c>
      <c r="E42" s="23">
        <f t="shared" si="8"/>
        <v>1</v>
      </c>
      <c r="F42" s="23" t="str">
        <f t="shared" si="8"/>
        <v/>
      </c>
      <c r="G42" s="23">
        <f t="shared" si="8"/>
        <v>1</v>
      </c>
      <c r="H42" s="23" t="str">
        <f t="shared" si="8"/>
        <v/>
      </c>
      <c r="I42" s="23" t="str">
        <f t="shared" si="8"/>
        <v/>
      </c>
      <c r="J42" s="23" t="str">
        <f t="shared" si="8"/>
        <v/>
      </c>
      <c r="K42" s="23" t="str">
        <f t="shared" si="8"/>
        <v/>
      </c>
      <c r="L42" s="23" t="str">
        <f>IF(L8&lt;3,3-L8,"")</f>
        <v/>
      </c>
      <c r="M42" s="23" t="str">
        <f t="shared" ref="M42:S42" si="9">IF(M8&lt;3,3-M8,"")</f>
        <v/>
      </c>
      <c r="N42" s="23" t="str">
        <f t="shared" si="9"/>
        <v/>
      </c>
      <c r="O42" s="23" t="str">
        <f t="shared" si="9"/>
        <v/>
      </c>
      <c r="P42" s="23" t="str">
        <f t="shared" si="9"/>
        <v/>
      </c>
      <c r="Q42" s="23" t="str">
        <f t="shared" si="9"/>
        <v/>
      </c>
      <c r="R42" s="23" t="str">
        <f t="shared" si="9"/>
        <v/>
      </c>
      <c r="S42" s="23" t="str">
        <f t="shared" si="9"/>
        <v/>
      </c>
      <c r="T42" s="4"/>
      <c r="U42" s="96"/>
      <c r="V42" s="3" t="s">
        <v>31</v>
      </c>
      <c r="W42" s="44" t="str">
        <f t="shared" ref="W42:W55" si="10">IF(W8&lt;10,10-W8,"")</f>
        <v/>
      </c>
      <c r="X42" s="25" t="str">
        <f t="shared" ref="X42:AE42" si="11">IF(X8&lt;8,8-X8,"")</f>
        <v/>
      </c>
      <c r="Y42" s="25" t="str">
        <f t="shared" si="11"/>
        <v/>
      </c>
      <c r="Z42" s="25" t="str">
        <f t="shared" si="11"/>
        <v/>
      </c>
      <c r="AA42" s="25">
        <f t="shared" si="11"/>
        <v>1</v>
      </c>
      <c r="AB42" s="25" t="str">
        <f t="shared" si="11"/>
        <v/>
      </c>
      <c r="AC42" s="25" t="str">
        <f t="shared" si="11"/>
        <v/>
      </c>
      <c r="AD42" s="25" t="str">
        <f t="shared" si="11"/>
        <v/>
      </c>
      <c r="AE42" s="25" t="str">
        <f t="shared" si="11"/>
        <v/>
      </c>
      <c r="AF42" s="25" t="str">
        <f t="shared" ref="AF42:AM42" si="12">IF(AF8&lt;3,3-AF8,"")</f>
        <v/>
      </c>
      <c r="AG42" s="25" t="str">
        <f t="shared" si="12"/>
        <v/>
      </c>
      <c r="AH42" s="25" t="str">
        <f t="shared" si="12"/>
        <v/>
      </c>
      <c r="AI42" s="25" t="str">
        <f t="shared" si="12"/>
        <v/>
      </c>
      <c r="AJ42" s="25" t="str">
        <f t="shared" si="12"/>
        <v/>
      </c>
      <c r="AK42" s="25" t="str">
        <f t="shared" si="12"/>
        <v/>
      </c>
      <c r="AL42" s="25" t="str">
        <f t="shared" si="12"/>
        <v/>
      </c>
      <c r="AM42" s="25" t="str">
        <f t="shared" si="12"/>
        <v/>
      </c>
    </row>
    <row r="43" spans="1:39" x14ac:dyDescent="0.25">
      <c r="A43" s="96"/>
      <c r="B43" s="3" t="s">
        <v>5</v>
      </c>
      <c r="C43" s="2" t="str">
        <f t="shared" ref="C43:K43" si="13">IF(C9&lt;8,8-C9,"")</f>
        <v/>
      </c>
      <c r="D43" s="2" t="str">
        <f t="shared" si="13"/>
        <v/>
      </c>
      <c r="E43" s="2">
        <f t="shared" si="13"/>
        <v>1</v>
      </c>
      <c r="F43" s="2" t="str">
        <f t="shared" si="13"/>
        <v/>
      </c>
      <c r="G43" s="2" t="str">
        <f t="shared" si="13"/>
        <v/>
      </c>
      <c r="H43" s="2" t="str">
        <f t="shared" si="13"/>
        <v/>
      </c>
      <c r="I43" s="2" t="str">
        <f t="shared" si="13"/>
        <v/>
      </c>
      <c r="J43" s="2" t="str">
        <f t="shared" si="13"/>
        <v/>
      </c>
      <c r="K43" s="2" t="str">
        <f t="shared" si="13"/>
        <v/>
      </c>
      <c r="L43" s="2" t="str">
        <f t="shared" ref="L43:S43" si="14">IF(L9&lt;3,3-L9,"")</f>
        <v/>
      </c>
      <c r="M43" s="2" t="str">
        <f t="shared" si="14"/>
        <v/>
      </c>
      <c r="N43" s="2" t="str">
        <f t="shared" si="14"/>
        <v/>
      </c>
      <c r="O43" s="2" t="str">
        <f t="shared" si="14"/>
        <v/>
      </c>
      <c r="P43" s="2" t="str">
        <f t="shared" si="14"/>
        <v/>
      </c>
      <c r="Q43" s="2" t="str">
        <f t="shared" si="14"/>
        <v/>
      </c>
      <c r="R43" s="2" t="str">
        <f t="shared" si="14"/>
        <v/>
      </c>
      <c r="S43" s="2" t="str">
        <f t="shared" si="14"/>
        <v/>
      </c>
      <c r="T43" s="4"/>
      <c r="U43" s="96"/>
      <c r="V43" s="3" t="s">
        <v>32</v>
      </c>
      <c r="W43" s="45">
        <f t="shared" si="10"/>
        <v>2</v>
      </c>
      <c r="X43" s="40" t="str">
        <f t="shared" ref="X43:AE43" si="15">IF(X9&lt;8,8-X9,"")</f>
        <v/>
      </c>
      <c r="Y43" s="40">
        <f t="shared" si="15"/>
        <v>1</v>
      </c>
      <c r="Z43" s="40">
        <f t="shared" si="15"/>
        <v>4</v>
      </c>
      <c r="AA43" s="40">
        <f t="shared" si="15"/>
        <v>1</v>
      </c>
      <c r="AB43" s="40" t="str">
        <f t="shared" si="15"/>
        <v/>
      </c>
      <c r="AC43" s="40" t="str">
        <f t="shared" si="15"/>
        <v/>
      </c>
      <c r="AD43" s="40" t="str">
        <f t="shared" si="15"/>
        <v/>
      </c>
      <c r="AE43" s="40" t="str">
        <f t="shared" si="15"/>
        <v/>
      </c>
      <c r="AF43" s="40" t="str">
        <f t="shared" ref="AF43:AM43" si="16">IF(AF9&lt;3,3-AF9,"")</f>
        <v/>
      </c>
      <c r="AG43" s="40" t="str">
        <f t="shared" si="16"/>
        <v/>
      </c>
      <c r="AH43" s="40" t="str">
        <f t="shared" si="16"/>
        <v/>
      </c>
      <c r="AI43" s="40" t="str">
        <f t="shared" si="16"/>
        <v/>
      </c>
      <c r="AJ43" s="40">
        <f t="shared" si="16"/>
        <v>1</v>
      </c>
      <c r="AK43" s="40" t="str">
        <f t="shared" si="16"/>
        <v/>
      </c>
      <c r="AL43" s="40" t="str">
        <f t="shared" si="16"/>
        <v/>
      </c>
      <c r="AM43" s="40" t="str">
        <f t="shared" si="16"/>
        <v/>
      </c>
    </row>
    <row r="44" spans="1:39" x14ac:dyDescent="0.25">
      <c r="A44" s="96"/>
      <c r="B44" s="3" t="s">
        <v>6</v>
      </c>
      <c r="C44" s="23">
        <f t="shared" ref="C44:K44" si="17">IF(C10&lt;8,8-C10,"")</f>
        <v>1</v>
      </c>
      <c r="D44" s="23" t="str">
        <f t="shared" si="17"/>
        <v/>
      </c>
      <c r="E44" s="23" t="str">
        <f t="shared" si="17"/>
        <v/>
      </c>
      <c r="F44" s="23" t="str">
        <f t="shared" si="17"/>
        <v/>
      </c>
      <c r="G44" s="23" t="str">
        <f t="shared" si="17"/>
        <v/>
      </c>
      <c r="H44" s="23" t="str">
        <f t="shared" si="17"/>
        <v/>
      </c>
      <c r="I44" s="23" t="str">
        <f t="shared" si="17"/>
        <v/>
      </c>
      <c r="J44" s="23" t="str">
        <f t="shared" si="17"/>
        <v/>
      </c>
      <c r="K44" s="23" t="str">
        <f t="shared" si="17"/>
        <v/>
      </c>
      <c r="L44" s="23" t="str">
        <f t="shared" ref="L44:S44" si="18">IF(L10&lt;3,3-L10,"")</f>
        <v/>
      </c>
      <c r="M44" s="23" t="str">
        <f t="shared" si="18"/>
        <v/>
      </c>
      <c r="N44" s="23" t="str">
        <f t="shared" si="18"/>
        <v/>
      </c>
      <c r="O44" s="23" t="str">
        <f t="shared" si="18"/>
        <v/>
      </c>
      <c r="P44" s="23" t="str">
        <f t="shared" si="18"/>
        <v/>
      </c>
      <c r="Q44" s="23" t="str">
        <f t="shared" si="18"/>
        <v/>
      </c>
      <c r="R44" s="23" t="str">
        <f t="shared" si="18"/>
        <v/>
      </c>
      <c r="S44" s="23" t="str">
        <f t="shared" si="18"/>
        <v/>
      </c>
      <c r="T44" s="4"/>
      <c r="U44" s="96"/>
      <c r="V44" s="3" t="s">
        <v>33</v>
      </c>
      <c r="W44" s="44">
        <f t="shared" si="10"/>
        <v>1</v>
      </c>
      <c r="X44" s="25" t="str">
        <f t="shared" ref="X44:AE44" si="19">IF(X10&lt;8,8-X10,"")</f>
        <v/>
      </c>
      <c r="Y44" s="25" t="str">
        <f t="shared" si="19"/>
        <v/>
      </c>
      <c r="Z44" s="25" t="str">
        <f t="shared" si="19"/>
        <v/>
      </c>
      <c r="AA44" s="25" t="str">
        <f t="shared" si="19"/>
        <v/>
      </c>
      <c r="AB44" s="25" t="str">
        <f t="shared" si="19"/>
        <v/>
      </c>
      <c r="AC44" s="25" t="str">
        <f t="shared" si="19"/>
        <v/>
      </c>
      <c r="AD44" s="25" t="str">
        <f t="shared" si="19"/>
        <v/>
      </c>
      <c r="AE44" s="25">
        <f t="shared" si="19"/>
        <v>1</v>
      </c>
      <c r="AF44" s="25" t="str">
        <f t="shared" ref="AF44:AM44" si="20">IF(AF10&lt;3,3-AF10,"")</f>
        <v/>
      </c>
      <c r="AG44" s="25" t="str">
        <f t="shared" si="20"/>
        <v/>
      </c>
      <c r="AH44" s="25" t="str">
        <f t="shared" si="20"/>
        <v/>
      </c>
      <c r="AI44" s="25" t="str">
        <f t="shared" si="20"/>
        <v/>
      </c>
      <c r="AJ44" s="25" t="str">
        <f t="shared" si="20"/>
        <v/>
      </c>
      <c r="AK44" s="25" t="str">
        <f t="shared" si="20"/>
        <v/>
      </c>
      <c r="AL44" s="25" t="str">
        <f t="shared" si="20"/>
        <v/>
      </c>
      <c r="AM44" s="25" t="str">
        <f t="shared" si="20"/>
        <v/>
      </c>
    </row>
    <row r="45" spans="1:39" x14ac:dyDescent="0.25">
      <c r="A45" s="96"/>
      <c r="B45" s="3" t="s">
        <v>7</v>
      </c>
      <c r="C45" s="2">
        <f t="shared" ref="C45:K45" si="21">IF(C11&lt;8,8-C11,"")</f>
        <v>2</v>
      </c>
      <c r="D45" s="2" t="str">
        <f t="shared" si="21"/>
        <v/>
      </c>
      <c r="E45" s="2" t="str">
        <f t="shared" si="21"/>
        <v/>
      </c>
      <c r="F45" s="2" t="str">
        <f t="shared" si="21"/>
        <v/>
      </c>
      <c r="G45" s="2" t="str">
        <f t="shared" si="21"/>
        <v/>
      </c>
      <c r="H45" s="2" t="str">
        <f t="shared" si="21"/>
        <v/>
      </c>
      <c r="I45" s="2" t="str">
        <f t="shared" si="21"/>
        <v/>
      </c>
      <c r="J45" s="2" t="str">
        <f t="shared" si="21"/>
        <v/>
      </c>
      <c r="K45" s="2" t="str">
        <f t="shared" si="21"/>
        <v/>
      </c>
      <c r="L45" s="2" t="str">
        <f t="shared" ref="L45:S45" si="22">IF(L11&lt;3,3-L11,"")</f>
        <v/>
      </c>
      <c r="M45" s="2" t="str">
        <f t="shared" si="22"/>
        <v/>
      </c>
      <c r="N45" s="2" t="str">
        <f t="shared" si="22"/>
        <v/>
      </c>
      <c r="O45" s="2" t="str">
        <f t="shared" si="22"/>
        <v/>
      </c>
      <c r="P45" s="2" t="str">
        <f t="shared" si="22"/>
        <v/>
      </c>
      <c r="Q45" s="2" t="str">
        <f t="shared" si="22"/>
        <v/>
      </c>
      <c r="R45" s="2" t="str">
        <f t="shared" si="22"/>
        <v/>
      </c>
      <c r="S45" s="2" t="str">
        <f t="shared" si="22"/>
        <v/>
      </c>
      <c r="T45" s="4"/>
      <c r="U45" s="96"/>
      <c r="V45" s="3" t="s">
        <v>34</v>
      </c>
      <c r="W45" s="45">
        <f t="shared" si="10"/>
        <v>4</v>
      </c>
      <c r="X45" s="40" t="str">
        <f t="shared" ref="X45:AE45" si="23">IF(X11&lt;8,8-X11,"")</f>
        <v/>
      </c>
      <c r="Y45" s="40" t="str">
        <f t="shared" si="23"/>
        <v/>
      </c>
      <c r="Z45" s="40">
        <f t="shared" si="23"/>
        <v>1</v>
      </c>
      <c r="AA45" s="40" t="str">
        <f t="shared" si="23"/>
        <v/>
      </c>
      <c r="AB45" s="40" t="str">
        <f t="shared" si="23"/>
        <v/>
      </c>
      <c r="AC45" s="40" t="str">
        <f t="shared" si="23"/>
        <v/>
      </c>
      <c r="AD45" s="40">
        <f t="shared" si="23"/>
        <v>1</v>
      </c>
      <c r="AE45" s="40" t="str">
        <f t="shared" si="23"/>
        <v/>
      </c>
      <c r="AF45" s="40" t="str">
        <f t="shared" ref="AF45:AM45" si="24">IF(AF11&lt;3,3-AF11,"")</f>
        <v/>
      </c>
      <c r="AG45" s="40" t="str">
        <f t="shared" si="24"/>
        <v/>
      </c>
      <c r="AH45" s="40" t="str">
        <f t="shared" si="24"/>
        <v/>
      </c>
      <c r="AI45" s="40" t="str">
        <f t="shared" si="24"/>
        <v/>
      </c>
      <c r="AJ45" s="40" t="str">
        <f t="shared" si="24"/>
        <v/>
      </c>
      <c r="AK45" s="40" t="str">
        <f t="shared" si="24"/>
        <v/>
      </c>
      <c r="AL45" s="40" t="str">
        <f t="shared" si="24"/>
        <v/>
      </c>
      <c r="AM45" s="40" t="str">
        <f t="shared" si="24"/>
        <v/>
      </c>
    </row>
    <row r="46" spans="1:39" x14ac:dyDescent="0.25">
      <c r="A46" s="96"/>
      <c r="B46" s="3" t="s">
        <v>8</v>
      </c>
      <c r="C46" s="23" t="str">
        <f t="shared" ref="C46:K46" si="25">IF(C12&lt;8,8-C12,"")</f>
        <v/>
      </c>
      <c r="D46" s="23" t="str">
        <f t="shared" si="25"/>
        <v/>
      </c>
      <c r="E46" s="23">
        <f t="shared" si="25"/>
        <v>1</v>
      </c>
      <c r="F46" s="23" t="str">
        <f t="shared" si="25"/>
        <v/>
      </c>
      <c r="G46" s="23" t="str">
        <f t="shared" si="25"/>
        <v/>
      </c>
      <c r="H46" s="23">
        <f t="shared" si="25"/>
        <v>1</v>
      </c>
      <c r="I46" s="23" t="str">
        <f t="shared" si="25"/>
        <v/>
      </c>
      <c r="J46" s="23" t="str">
        <f t="shared" si="25"/>
        <v/>
      </c>
      <c r="K46" s="23" t="str">
        <f t="shared" si="25"/>
        <v/>
      </c>
      <c r="L46" s="23" t="str">
        <f t="shared" ref="L46:S46" si="26">IF(L12&lt;3,3-L12,"")</f>
        <v/>
      </c>
      <c r="M46" s="23" t="str">
        <f t="shared" si="26"/>
        <v/>
      </c>
      <c r="N46" s="23" t="str">
        <f t="shared" si="26"/>
        <v/>
      </c>
      <c r="O46" s="23" t="str">
        <f t="shared" si="26"/>
        <v/>
      </c>
      <c r="P46" s="23" t="str">
        <f t="shared" si="26"/>
        <v/>
      </c>
      <c r="Q46" s="23" t="str">
        <f t="shared" si="26"/>
        <v/>
      </c>
      <c r="R46" s="23" t="str">
        <f t="shared" si="26"/>
        <v/>
      </c>
      <c r="S46" s="23" t="str">
        <f t="shared" si="26"/>
        <v/>
      </c>
      <c r="T46" s="4"/>
      <c r="U46" s="96"/>
      <c r="V46" s="3" t="s">
        <v>35</v>
      </c>
      <c r="W46" s="44" t="str">
        <f t="shared" si="10"/>
        <v/>
      </c>
      <c r="X46" s="25">
        <f t="shared" ref="X46:AE46" si="27">IF(X12&lt;8,8-X12,"")</f>
        <v>1</v>
      </c>
      <c r="Y46" s="25">
        <f t="shared" si="27"/>
        <v>4</v>
      </c>
      <c r="Z46" s="25">
        <f t="shared" si="27"/>
        <v>1</v>
      </c>
      <c r="AA46" s="25">
        <f t="shared" si="27"/>
        <v>1</v>
      </c>
      <c r="AB46" s="25" t="str">
        <f t="shared" si="27"/>
        <v/>
      </c>
      <c r="AC46" s="25" t="str">
        <f t="shared" si="27"/>
        <v/>
      </c>
      <c r="AD46" s="25" t="str">
        <f t="shared" si="27"/>
        <v/>
      </c>
      <c r="AE46" s="25" t="str">
        <f t="shared" si="27"/>
        <v/>
      </c>
      <c r="AF46" s="25" t="str">
        <f t="shared" ref="AF46:AM46" si="28">IF(AF12&lt;3,3-AF12,"")</f>
        <v/>
      </c>
      <c r="AG46" s="25" t="str">
        <f t="shared" si="28"/>
        <v/>
      </c>
      <c r="AH46" s="25" t="str">
        <f t="shared" si="28"/>
        <v/>
      </c>
      <c r="AI46" s="25" t="str">
        <f t="shared" si="28"/>
        <v/>
      </c>
      <c r="AJ46" s="25" t="str">
        <f t="shared" si="28"/>
        <v/>
      </c>
      <c r="AK46" s="25" t="str">
        <f t="shared" si="28"/>
        <v/>
      </c>
      <c r="AL46" s="25" t="str">
        <f t="shared" si="28"/>
        <v/>
      </c>
      <c r="AM46" s="25" t="str">
        <f t="shared" si="28"/>
        <v/>
      </c>
    </row>
    <row r="47" spans="1:39" x14ac:dyDescent="0.25">
      <c r="A47" s="96"/>
      <c r="B47" s="3" t="s">
        <v>9</v>
      </c>
      <c r="C47" s="2">
        <f t="shared" ref="C47:K47" si="29">IF(C13&lt;8,8-C13,"")</f>
        <v>1</v>
      </c>
      <c r="D47" s="2" t="str">
        <f t="shared" si="29"/>
        <v/>
      </c>
      <c r="E47" s="2" t="str">
        <f t="shared" si="29"/>
        <v/>
      </c>
      <c r="F47" s="2" t="str">
        <f t="shared" si="29"/>
        <v/>
      </c>
      <c r="G47" s="2" t="str">
        <f t="shared" si="29"/>
        <v/>
      </c>
      <c r="H47" s="2" t="str">
        <f t="shared" si="29"/>
        <v/>
      </c>
      <c r="I47" s="2" t="str">
        <f t="shared" si="29"/>
        <v/>
      </c>
      <c r="J47" s="2" t="str">
        <f t="shared" si="29"/>
        <v/>
      </c>
      <c r="K47" s="2" t="str">
        <f t="shared" si="29"/>
        <v/>
      </c>
      <c r="L47" s="2" t="str">
        <f t="shared" ref="L47:S47" si="30">IF(L13&lt;3,3-L13,"")</f>
        <v/>
      </c>
      <c r="M47" s="2" t="str">
        <f t="shared" si="30"/>
        <v/>
      </c>
      <c r="N47" s="2" t="str">
        <f t="shared" si="30"/>
        <v/>
      </c>
      <c r="O47" s="2" t="str">
        <f t="shared" si="30"/>
        <v/>
      </c>
      <c r="P47" s="2" t="str">
        <f t="shared" si="30"/>
        <v/>
      </c>
      <c r="Q47" s="2" t="str">
        <f t="shared" si="30"/>
        <v/>
      </c>
      <c r="R47" s="2" t="str">
        <f t="shared" si="30"/>
        <v/>
      </c>
      <c r="S47" s="2" t="str">
        <f t="shared" si="30"/>
        <v/>
      </c>
      <c r="T47" s="4"/>
      <c r="U47" s="96"/>
      <c r="V47" s="3" t="s">
        <v>36</v>
      </c>
      <c r="W47" s="45">
        <f t="shared" si="10"/>
        <v>2</v>
      </c>
      <c r="X47" s="40" t="str">
        <f t="shared" ref="X47:AE47" si="31">IF(X13&lt;8,8-X13,"")</f>
        <v/>
      </c>
      <c r="Y47" s="40">
        <f t="shared" si="31"/>
        <v>1</v>
      </c>
      <c r="Z47" s="40" t="str">
        <f t="shared" si="31"/>
        <v/>
      </c>
      <c r="AA47" s="40">
        <f t="shared" si="31"/>
        <v>1</v>
      </c>
      <c r="AB47" s="40" t="str">
        <f t="shared" si="31"/>
        <v/>
      </c>
      <c r="AC47" s="40" t="str">
        <f t="shared" si="31"/>
        <v/>
      </c>
      <c r="AD47" s="40">
        <f t="shared" si="31"/>
        <v>1</v>
      </c>
      <c r="AE47" s="40" t="str">
        <f t="shared" si="31"/>
        <v/>
      </c>
      <c r="AF47" s="40" t="str">
        <f t="shared" ref="AF47:AM47" si="32">IF(AF13&lt;3,3-AF13,"")</f>
        <v/>
      </c>
      <c r="AG47" s="40" t="str">
        <f t="shared" si="32"/>
        <v/>
      </c>
      <c r="AH47" s="40" t="str">
        <f t="shared" si="32"/>
        <v/>
      </c>
      <c r="AI47" s="40" t="str">
        <f t="shared" si="32"/>
        <v/>
      </c>
      <c r="AJ47" s="40">
        <f t="shared" si="32"/>
        <v>1</v>
      </c>
      <c r="AK47" s="40">
        <f t="shared" si="32"/>
        <v>3</v>
      </c>
      <c r="AL47" s="40" t="str">
        <f t="shared" si="32"/>
        <v/>
      </c>
      <c r="AM47" s="40" t="str">
        <f t="shared" si="32"/>
        <v/>
      </c>
    </row>
    <row r="48" spans="1:39" x14ac:dyDescent="0.25">
      <c r="A48" s="96"/>
      <c r="B48" s="3" t="s">
        <v>10</v>
      </c>
      <c r="C48" s="23">
        <f t="shared" ref="C48:K48" si="33">IF(C14&lt;8,8-C14,"")</f>
        <v>2</v>
      </c>
      <c r="D48" s="23" t="str">
        <f t="shared" si="33"/>
        <v/>
      </c>
      <c r="E48" s="23">
        <f t="shared" si="33"/>
        <v>2</v>
      </c>
      <c r="F48" s="23">
        <f t="shared" si="33"/>
        <v>1</v>
      </c>
      <c r="G48" s="23" t="str">
        <f t="shared" si="33"/>
        <v/>
      </c>
      <c r="H48" s="23" t="str">
        <f t="shared" si="33"/>
        <v/>
      </c>
      <c r="I48" s="23">
        <f t="shared" si="33"/>
        <v>1</v>
      </c>
      <c r="J48" s="23">
        <f t="shared" si="33"/>
        <v>1</v>
      </c>
      <c r="K48" s="23" t="str">
        <f t="shared" si="33"/>
        <v/>
      </c>
      <c r="L48" s="23" t="str">
        <f t="shared" ref="L48:S48" si="34">IF(L14&lt;3,3-L14,"")</f>
        <v/>
      </c>
      <c r="M48" s="23" t="str">
        <f t="shared" si="34"/>
        <v/>
      </c>
      <c r="N48" s="23" t="str">
        <f t="shared" si="34"/>
        <v/>
      </c>
      <c r="O48" s="23" t="str">
        <f t="shared" si="34"/>
        <v/>
      </c>
      <c r="P48" s="23" t="str">
        <f t="shared" si="34"/>
        <v/>
      </c>
      <c r="Q48" s="23" t="str">
        <f t="shared" si="34"/>
        <v/>
      </c>
      <c r="R48" s="23" t="str">
        <f t="shared" si="34"/>
        <v/>
      </c>
      <c r="S48" s="23" t="str">
        <f t="shared" si="34"/>
        <v/>
      </c>
      <c r="T48" s="4"/>
      <c r="U48" s="96"/>
      <c r="V48" s="3" t="s">
        <v>37</v>
      </c>
      <c r="W48" s="44" t="str">
        <f t="shared" si="10"/>
        <v/>
      </c>
      <c r="X48" s="25" t="str">
        <f t="shared" ref="X48:AE48" si="35">IF(X14&lt;8,8-X14,"")</f>
        <v/>
      </c>
      <c r="Y48" s="25" t="str">
        <f t="shared" si="35"/>
        <v/>
      </c>
      <c r="Z48" s="25" t="str">
        <f t="shared" si="35"/>
        <v/>
      </c>
      <c r="AA48" s="25">
        <f t="shared" si="35"/>
        <v>1</v>
      </c>
      <c r="AB48" s="25" t="str">
        <f t="shared" si="35"/>
        <v/>
      </c>
      <c r="AC48" s="25" t="str">
        <f t="shared" si="35"/>
        <v/>
      </c>
      <c r="AD48" s="25" t="str">
        <f t="shared" si="35"/>
        <v/>
      </c>
      <c r="AE48" s="25" t="str">
        <f t="shared" si="35"/>
        <v/>
      </c>
      <c r="AF48" s="25" t="str">
        <f t="shared" ref="AF48:AM48" si="36">IF(AF14&lt;3,3-AF14,"")</f>
        <v/>
      </c>
      <c r="AG48" s="25" t="str">
        <f t="shared" si="36"/>
        <v/>
      </c>
      <c r="AH48" s="25" t="str">
        <f t="shared" si="36"/>
        <v/>
      </c>
      <c r="AI48" s="25" t="str">
        <f t="shared" si="36"/>
        <v/>
      </c>
      <c r="AJ48" s="25" t="str">
        <f t="shared" si="36"/>
        <v/>
      </c>
      <c r="AK48" s="25" t="str">
        <f t="shared" si="36"/>
        <v/>
      </c>
      <c r="AL48" s="25" t="str">
        <f t="shared" si="36"/>
        <v/>
      </c>
      <c r="AM48" s="25" t="str">
        <f t="shared" si="36"/>
        <v/>
      </c>
    </row>
    <row r="49" spans="1:39" x14ac:dyDescent="0.25">
      <c r="A49" s="96"/>
      <c r="B49" s="3" t="s">
        <v>11</v>
      </c>
      <c r="C49" s="2" t="str">
        <f t="shared" ref="C49:K49" si="37">IF(C15&lt;8,8-C15,"")</f>
        <v/>
      </c>
      <c r="D49" s="2" t="str">
        <f t="shared" si="37"/>
        <v/>
      </c>
      <c r="E49" s="2">
        <f t="shared" si="37"/>
        <v>1</v>
      </c>
      <c r="F49" s="2" t="str">
        <f t="shared" si="37"/>
        <v/>
      </c>
      <c r="G49" s="2" t="str">
        <f t="shared" si="37"/>
        <v/>
      </c>
      <c r="H49" s="2" t="str">
        <f t="shared" si="37"/>
        <v/>
      </c>
      <c r="I49" s="2" t="str">
        <f t="shared" si="37"/>
        <v/>
      </c>
      <c r="J49" s="2" t="str">
        <f t="shared" si="37"/>
        <v/>
      </c>
      <c r="K49" s="2" t="str">
        <f t="shared" si="37"/>
        <v/>
      </c>
      <c r="L49" s="2" t="str">
        <f t="shared" ref="L49:S49" si="38">IF(L15&lt;3,3-L15,"")</f>
        <v/>
      </c>
      <c r="M49" s="2" t="str">
        <f t="shared" si="38"/>
        <v/>
      </c>
      <c r="N49" s="2" t="str">
        <f t="shared" si="38"/>
        <v/>
      </c>
      <c r="O49" s="2" t="str">
        <f t="shared" si="38"/>
        <v/>
      </c>
      <c r="P49" s="2" t="str">
        <f t="shared" si="38"/>
        <v/>
      </c>
      <c r="Q49" s="2" t="str">
        <f t="shared" si="38"/>
        <v/>
      </c>
      <c r="R49" s="2" t="str">
        <f t="shared" si="38"/>
        <v/>
      </c>
      <c r="S49" s="2" t="str">
        <f t="shared" si="38"/>
        <v/>
      </c>
      <c r="T49" s="4"/>
      <c r="U49" s="96"/>
      <c r="V49" s="3" t="s">
        <v>54</v>
      </c>
      <c r="W49" s="45">
        <f t="shared" si="10"/>
        <v>2</v>
      </c>
      <c r="X49" s="40" t="str">
        <f t="shared" ref="X49:X55" si="39">IF(X15&lt;2,2-X15,"")</f>
        <v/>
      </c>
      <c r="Y49" s="40" t="str">
        <f t="shared" ref="Y49:AE49" si="40">IF(Y15&lt;8,8-Y15,"")</f>
        <v/>
      </c>
      <c r="Z49" s="40" t="str">
        <f t="shared" si="40"/>
        <v/>
      </c>
      <c r="AA49" s="40">
        <f t="shared" si="40"/>
        <v>1</v>
      </c>
      <c r="AB49" s="40" t="str">
        <f t="shared" si="40"/>
        <v/>
      </c>
      <c r="AC49" s="40" t="str">
        <f t="shared" si="40"/>
        <v/>
      </c>
      <c r="AD49" s="40" t="str">
        <f t="shared" si="40"/>
        <v/>
      </c>
      <c r="AE49" s="40" t="str">
        <f t="shared" si="40"/>
        <v/>
      </c>
      <c r="AF49" s="40" t="str">
        <f t="shared" ref="AF49:AM49" si="41">IF(AF15&lt;3,3-AF15,"")</f>
        <v/>
      </c>
      <c r="AG49" s="40" t="str">
        <f t="shared" si="41"/>
        <v/>
      </c>
      <c r="AH49" s="40" t="str">
        <f t="shared" si="41"/>
        <v/>
      </c>
      <c r="AI49" s="40" t="str">
        <f t="shared" si="41"/>
        <v/>
      </c>
      <c r="AJ49" s="40" t="str">
        <f t="shared" si="41"/>
        <v/>
      </c>
      <c r="AK49" s="40">
        <f t="shared" si="41"/>
        <v>1</v>
      </c>
      <c r="AL49" s="40" t="str">
        <f t="shared" si="41"/>
        <v/>
      </c>
      <c r="AM49" s="40" t="str">
        <f t="shared" si="41"/>
        <v/>
      </c>
    </row>
    <row r="50" spans="1:39" x14ac:dyDescent="0.25">
      <c r="A50" s="96"/>
      <c r="B50" s="3" t="s">
        <v>25</v>
      </c>
      <c r="C50" s="23" t="str">
        <f t="shared" ref="C50:K50" si="42">IF(C16&lt;8,8-C16,"")</f>
        <v/>
      </c>
      <c r="D50" s="23" t="str">
        <f t="shared" si="42"/>
        <v/>
      </c>
      <c r="E50" s="23" t="str">
        <f t="shared" si="42"/>
        <v/>
      </c>
      <c r="F50" s="23" t="str">
        <f t="shared" si="42"/>
        <v/>
      </c>
      <c r="G50" s="23" t="str">
        <f t="shared" si="42"/>
        <v/>
      </c>
      <c r="H50" s="23" t="str">
        <f t="shared" si="42"/>
        <v/>
      </c>
      <c r="I50" s="23" t="str">
        <f t="shared" si="42"/>
        <v/>
      </c>
      <c r="J50" s="23" t="str">
        <f t="shared" si="42"/>
        <v/>
      </c>
      <c r="K50" s="23" t="str">
        <f t="shared" si="42"/>
        <v/>
      </c>
      <c r="L50" s="23" t="str">
        <f t="shared" ref="L50:S50" si="43">IF(L16&lt;3,3-L16,"")</f>
        <v/>
      </c>
      <c r="M50" s="23" t="str">
        <f t="shared" si="43"/>
        <v/>
      </c>
      <c r="N50" s="23" t="str">
        <f t="shared" si="43"/>
        <v/>
      </c>
      <c r="O50" s="23" t="str">
        <f t="shared" si="43"/>
        <v/>
      </c>
      <c r="P50" s="23" t="str">
        <f t="shared" si="43"/>
        <v/>
      </c>
      <c r="Q50" s="23" t="str">
        <f t="shared" si="43"/>
        <v/>
      </c>
      <c r="R50" s="23" t="str">
        <f t="shared" si="43"/>
        <v/>
      </c>
      <c r="S50" s="23" t="str">
        <f t="shared" si="43"/>
        <v/>
      </c>
      <c r="T50" s="4"/>
      <c r="U50" s="96"/>
      <c r="V50" s="3" t="s">
        <v>55</v>
      </c>
      <c r="W50" s="44">
        <f t="shared" si="10"/>
        <v>3</v>
      </c>
      <c r="X50" s="25" t="str">
        <f t="shared" si="39"/>
        <v/>
      </c>
      <c r="Y50" s="25">
        <f t="shared" ref="Y50:AE50" si="44">IF(Y16&lt;8,8-Y16,"")</f>
        <v>1</v>
      </c>
      <c r="Z50" s="25">
        <f t="shared" si="44"/>
        <v>1</v>
      </c>
      <c r="AA50" s="25" t="str">
        <f t="shared" si="44"/>
        <v/>
      </c>
      <c r="AB50" s="25" t="str">
        <f t="shared" si="44"/>
        <v/>
      </c>
      <c r="AC50" s="25" t="str">
        <f t="shared" si="44"/>
        <v/>
      </c>
      <c r="AD50" s="25" t="str">
        <f t="shared" si="44"/>
        <v/>
      </c>
      <c r="AE50" s="25" t="str">
        <f t="shared" si="44"/>
        <v/>
      </c>
      <c r="AF50" s="25" t="str">
        <f t="shared" ref="AF50:AM50" si="45">IF(AF16&lt;3,3-AF16,"")</f>
        <v/>
      </c>
      <c r="AG50" s="25" t="str">
        <f t="shared" si="45"/>
        <v/>
      </c>
      <c r="AH50" s="25" t="str">
        <f t="shared" si="45"/>
        <v/>
      </c>
      <c r="AI50" s="25" t="str">
        <f t="shared" si="45"/>
        <v/>
      </c>
      <c r="AJ50" s="25" t="str">
        <f t="shared" si="45"/>
        <v/>
      </c>
      <c r="AK50" s="25" t="str">
        <f t="shared" si="45"/>
        <v/>
      </c>
      <c r="AL50" s="25" t="str">
        <f t="shared" si="45"/>
        <v/>
      </c>
      <c r="AM50" s="25" t="str">
        <f t="shared" si="45"/>
        <v/>
      </c>
    </row>
    <row r="51" spans="1:39" x14ac:dyDescent="0.25">
      <c r="A51" s="96"/>
      <c r="B51" s="3" t="s">
        <v>26</v>
      </c>
      <c r="C51" s="2" t="str">
        <f t="shared" ref="C51:C56" si="46">IF(C17&lt;8,8-C17,"")</f>
        <v/>
      </c>
      <c r="D51" s="2" t="str">
        <f>IF(D17&lt;4,4-D17,"")</f>
        <v/>
      </c>
      <c r="E51" s="2" t="str">
        <f t="shared" ref="E51:K51" si="47">IF(E17&lt;4,4-E17,"")</f>
        <v/>
      </c>
      <c r="F51" s="2" t="str">
        <f t="shared" si="47"/>
        <v/>
      </c>
      <c r="G51" s="2" t="str">
        <f t="shared" si="47"/>
        <v/>
      </c>
      <c r="H51" s="2" t="str">
        <f t="shared" si="47"/>
        <v/>
      </c>
      <c r="I51" s="2" t="str">
        <f t="shared" si="47"/>
        <v/>
      </c>
      <c r="J51" s="2" t="str">
        <f t="shared" si="47"/>
        <v/>
      </c>
      <c r="K51" s="2" t="str">
        <f t="shared" si="47"/>
        <v/>
      </c>
      <c r="L51" s="2" t="str">
        <f t="shared" ref="L51:S51" si="48">IF(L17&lt;3,3-L17,"")</f>
        <v/>
      </c>
      <c r="M51" s="2" t="str">
        <f t="shared" si="48"/>
        <v/>
      </c>
      <c r="N51" s="2" t="str">
        <f t="shared" si="48"/>
        <v/>
      </c>
      <c r="O51" s="2" t="str">
        <f t="shared" si="48"/>
        <v/>
      </c>
      <c r="P51" s="2" t="str">
        <f t="shared" si="48"/>
        <v/>
      </c>
      <c r="Q51" s="2" t="str">
        <f t="shared" si="48"/>
        <v/>
      </c>
      <c r="R51" s="2" t="str">
        <f t="shared" si="48"/>
        <v/>
      </c>
      <c r="S51" s="2" t="str">
        <f t="shared" si="48"/>
        <v/>
      </c>
      <c r="T51" s="4"/>
      <c r="U51" s="96"/>
      <c r="V51" s="3" t="s">
        <v>38</v>
      </c>
      <c r="W51" s="45">
        <f t="shared" si="10"/>
        <v>2</v>
      </c>
      <c r="X51" s="40" t="str">
        <f t="shared" si="39"/>
        <v/>
      </c>
      <c r="Y51" s="40">
        <f t="shared" ref="Y51:AE51" si="49">IF(Y17&lt;8,8-Y17,"")</f>
        <v>1</v>
      </c>
      <c r="Z51" s="40" t="str">
        <f t="shared" si="49"/>
        <v/>
      </c>
      <c r="AA51" s="40" t="str">
        <f t="shared" si="49"/>
        <v/>
      </c>
      <c r="AB51" s="40" t="str">
        <f t="shared" si="49"/>
        <v/>
      </c>
      <c r="AC51" s="40" t="str">
        <f t="shared" si="49"/>
        <v/>
      </c>
      <c r="AD51" s="40" t="str">
        <f t="shared" si="49"/>
        <v/>
      </c>
      <c r="AE51" s="40" t="str">
        <f t="shared" si="49"/>
        <v/>
      </c>
      <c r="AF51" s="40" t="str">
        <f t="shared" ref="AF51:AM51" si="50">IF(AF17&lt;3,3-AF17,"")</f>
        <v/>
      </c>
      <c r="AG51" s="40" t="str">
        <f t="shared" si="50"/>
        <v/>
      </c>
      <c r="AH51" s="40" t="str">
        <f t="shared" si="50"/>
        <v/>
      </c>
      <c r="AI51" s="40" t="str">
        <f t="shared" si="50"/>
        <v/>
      </c>
      <c r="AJ51" s="40" t="str">
        <f t="shared" si="50"/>
        <v/>
      </c>
      <c r="AK51" s="40" t="str">
        <f t="shared" si="50"/>
        <v/>
      </c>
      <c r="AL51" s="40" t="str">
        <f t="shared" si="50"/>
        <v/>
      </c>
      <c r="AM51" s="40" t="str">
        <f t="shared" si="50"/>
        <v/>
      </c>
    </row>
    <row r="52" spans="1:39" x14ac:dyDescent="0.25">
      <c r="A52" s="96"/>
      <c r="B52" s="3" t="s">
        <v>12</v>
      </c>
      <c r="C52" s="23" t="str">
        <f t="shared" si="46"/>
        <v/>
      </c>
      <c r="D52" s="23" t="str">
        <f>IF(D18&lt;4,4-D18,"")</f>
        <v/>
      </c>
      <c r="E52" s="23" t="str">
        <f t="shared" ref="E52:K52" si="51">IF(E18&lt;4,4-E18,"")</f>
        <v/>
      </c>
      <c r="F52" s="23" t="str">
        <f t="shared" si="51"/>
        <v/>
      </c>
      <c r="G52" s="23" t="str">
        <f t="shared" si="51"/>
        <v/>
      </c>
      <c r="H52" s="23" t="str">
        <f t="shared" si="51"/>
        <v/>
      </c>
      <c r="I52" s="23" t="str">
        <f t="shared" si="51"/>
        <v/>
      </c>
      <c r="J52" s="23" t="str">
        <f t="shared" si="51"/>
        <v/>
      </c>
      <c r="K52" s="23" t="str">
        <f t="shared" si="51"/>
        <v/>
      </c>
      <c r="L52" s="23" t="str">
        <f t="shared" ref="L52:S52" si="52">IF(L18&lt;3,3-L18,"")</f>
        <v/>
      </c>
      <c r="M52" s="23" t="str">
        <f t="shared" si="52"/>
        <v/>
      </c>
      <c r="N52" s="23" t="str">
        <f t="shared" si="52"/>
        <v/>
      </c>
      <c r="O52" s="23" t="str">
        <f t="shared" si="52"/>
        <v/>
      </c>
      <c r="P52" s="23" t="str">
        <f t="shared" si="52"/>
        <v/>
      </c>
      <c r="Q52" s="23" t="str">
        <f t="shared" si="52"/>
        <v/>
      </c>
      <c r="R52" s="23" t="str">
        <f t="shared" si="52"/>
        <v/>
      </c>
      <c r="S52" s="23" t="str">
        <f t="shared" si="52"/>
        <v/>
      </c>
      <c r="T52" s="4"/>
      <c r="U52" s="96"/>
      <c r="V52" s="3" t="s">
        <v>39</v>
      </c>
      <c r="W52" s="44" t="str">
        <f t="shared" si="10"/>
        <v/>
      </c>
      <c r="X52" s="25" t="str">
        <f t="shared" si="39"/>
        <v/>
      </c>
      <c r="Y52" s="25" t="str">
        <f>IF(Y18&lt;3,3-Y18,"")</f>
        <v/>
      </c>
      <c r="Z52" s="25" t="str">
        <f t="shared" ref="Z52:AE52" si="53">IF(Z18&lt;3,3-Z18,"")</f>
        <v/>
      </c>
      <c r="AA52" s="25" t="str">
        <f t="shared" si="53"/>
        <v/>
      </c>
      <c r="AB52" s="25" t="str">
        <f t="shared" si="53"/>
        <v/>
      </c>
      <c r="AC52" s="25" t="str">
        <f t="shared" si="53"/>
        <v/>
      </c>
      <c r="AD52" s="25" t="str">
        <f t="shared" si="53"/>
        <v/>
      </c>
      <c r="AE52" s="25" t="str">
        <f t="shared" si="53"/>
        <v/>
      </c>
      <c r="AF52" s="25" t="str">
        <f t="shared" ref="AF52:AM52" si="54">IF(AF18&lt;3,3-AF18,"")</f>
        <v/>
      </c>
      <c r="AG52" s="25" t="str">
        <f t="shared" si="54"/>
        <v/>
      </c>
      <c r="AH52" s="25" t="str">
        <f t="shared" si="54"/>
        <v/>
      </c>
      <c r="AI52" s="25" t="str">
        <f t="shared" si="54"/>
        <v/>
      </c>
      <c r="AJ52" s="25" t="str">
        <f t="shared" si="54"/>
        <v/>
      </c>
      <c r="AK52" s="25" t="str">
        <f t="shared" si="54"/>
        <v/>
      </c>
      <c r="AL52" s="25" t="str">
        <f t="shared" si="54"/>
        <v/>
      </c>
      <c r="AM52" s="25" t="str">
        <f t="shared" si="54"/>
        <v/>
      </c>
    </row>
    <row r="53" spans="1:39" x14ac:dyDescent="0.25">
      <c r="A53" s="96"/>
      <c r="B53" s="3" t="s">
        <v>13</v>
      </c>
      <c r="C53" s="2" t="str">
        <f t="shared" si="46"/>
        <v/>
      </c>
      <c r="D53" s="2" t="str">
        <f>IF(D19&lt;3,3-D19,"")</f>
        <v/>
      </c>
      <c r="E53" s="2" t="str">
        <f t="shared" ref="E53:K53" si="55">IF(E19&lt;3,3-E19,"")</f>
        <v/>
      </c>
      <c r="F53" s="2" t="str">
        <f t="shared" si="55"/>
        <v/>
      </c>
      <c r="G53" s="2" t="str">
        <f t="shared" si="55"/>
        <v/>
      </c>
      <c r="H53" s="2" t="str">
        <f t="shared" si="55"/>
        <v/>
      </c>
      <c r="I53" s="2" t="str">
        <f t="shared" si="55"/>
        <v/>
      </c>
      <c r="J53" s="2" t="str">
        <f t="shared" si="55"/>
        <v/>
      </c>
      <c r="K53" s="2" t="str">
        <f t="shared" si="55"/>
        <v/>
      </c>
      <c r="L53" s="2" t="str">
        <f t="shared" ref="L53:S53" si="56">IF(L19&lt;3,3-L19,"")</f>
        <v/>
      </c>
      <c r="M53" s="2" t="str">
        <f t="shared" si="56"/>
        <v/>
      </c>
      <c r="N53" s="2" t="str">
        <f t="shared" si="56"/>
        <v/>
      </c>
      <c r="O53" s="2" t="str">
        <f t="shared" si="56"/>
        <v/>
      </c>
      <c r="P53" s="2" t="str">
        <f t="shared" si="56"/>
        <v/>
      </c>
      <c r="Q53" s="2" t="str">
        <f t="shared" si="56"/>
        <v/>
      </c>
      <c r="R53" s="2" t="str">
        <f t="shared" si="56"/>
        <v/>
      </c>
      <c r="S53" s="2" t="str">
        <f t="shared" si="56"/>
        <v/>
      </c>
      <c r="T53" s="4"/>
      <c r="U53" s="96"/>
      <c r="V53" s="3" t="s">
        <v>40</v>
      </c>
      <c r="W53" s="45" t="str">
        <f t="shared" si="10"/>
        <v/>
      </c>
      <c r="X53" s="40" t="str">
        <f t="shared" si="39"/>
        <v/>
      </c>
      <c r="Y53" s="40">
        <f>IF(Y19&lt;3,3-Y19,"")</f>
        <v>1</v>
      </c>
      <c r="Z53" s="40" t="str">
        <f t="shared" ref="Z53:AE53" si="57">IF(Z19&lt;3,3-Z19,"")</f>
        <v/>
      </c>
      <c r="AA53" s="40" t="str">
        <f t="shared" si="57"/>
        <v/>
      </c>
      <c r="AB53" s="40" t="str">
        <f t="shared" si="57"/>
        <v/>
      </c>
      <c r="AC53" s="40" t="str">
        <f t="shared" si="57"/>
        <v/>
      </c>
      <c r="AD53" s="40" t="str">
        <f t="shared" si="57"/>
        <v/>
      </c>
      <c r="AE53" s="40" t="str">
        <f t="shared" si="57"/>
        <v/>
      </c>
      <c r="AF53" s="40" t="str">
        <f t="shared" ref="AF53:AM53" si="58">IF(AF19&lt;3,3-AF19,"")</f>
        <v/>
      </c>
      <c r="AG53" s="40" t="str">
        <f t="shared" si="58"/>
        <v/>
      </c>
      <c r="AH53" s="40" t="str">
        <f t="shared" si="58"/>
        <v/>
      </c>
      <c r="AI53" s="40" t="str">
        <f t="shared" si="58"/>
        <v/>
      </c>
      <c r="AJ53" s="40" t="str">
        <f t="shared" si="58"/>
        <v/>
      </c>
      <c r="AK53" s="40" t="str">
        <f t="shared" si="58"/>
        <v/>
      </c>
      <c r="AL53" s="40" t="str">
        <f t="shared" si="58"/>
        <v/>
      </c>
      <c r="AM53" s="40" t="str">
        <f t="shared" si="58"/>
        <v/>
      </c>
    </row>
    <row r="54" spans="1:39" x14ac:dyDescent="0.25">
      <c r="A54" s="96"/>
      <c r="B54" s="3" t="s">
        <v>14</v>
      </c>
      <c r="C54" s="23" t="str">
        <f t="shared" si="46"/>
        <v/>
      </c>
      <c r="D54" s="23" t="str">
        <f>IF(D20&lt;3,3-D20,"")</f>
        <v/>
      </c>
      <c r="E54" s="23" t="str">
        <f t="shared" ref="E54:K54" si="59">IF(E20&lt;3,3-E20,"")</f>
        <v/>
      </c>
      <c r="F54" s="23" t="str">
        <f t="shared" si="59"/>
        <v/>
      </c>
      <c r="G54" s="23" t="str">
        <f t="shared" si="59"/>
        <v/>
      </c>
      <c r="H54" s="23" t="str">
        <f t="shared" si="59"/>
        <v/>
      </c>
      <c r="I54" s="23" t="str">
        <f t="shared" si="59"/>
        <v/>
      </c>
      <c r="J54" s="23" t="str">
        <f t="shared" si="59"/>
        <v/>
      </c>
      <c r="K54" s="23" t="str">
        <f t="shared" si="59"/>
        <v/>
      </c>
      <c r="L54" s="23" t="str">
        <f t="shared" ref="L54:S54" si="60">IF(L20&lt;3,3-L20,"")</f>
        <v/>
      </c>
      <c r="M54" s="23" t="str">
        <f t="shared" si="60"/>
        <v/>
      </c>
      <c r="N54" s="23" t="str">
        <f t="shared" si="60"/>
        <v/>
      </c>
      <c r="O54" s="23" t="str">
        <f t="shared" si="60"/>
        <v/>
      </c>
      <c r="P54" s="23" t="str">
        <f t="shared" si="60"/>
        <v/>
      </c>
      <c r="Q54" s="23" t="str">
        <f t="shared" si="60"/>
        <v/>
      </c>
      <c r="R54" s="23" t="str">
        <f t="shared" si="60"/>
        <v/>
      </c>
      <c r="S54" s="23" t="str">
        <f t="shared" si="60"/>
        <v/>
      </c>
      <c r="T54" s="4"/>
      <c r="U54" s="96"/>
      <c r="V54" s="3" t="s">
        <v>41</v>
      </c>
      <c r="W54" s="44">
        <f t="shared" si="10"/>
        <v>2</v>
      </c>
      <c r="X54" s="25" t="str">
        <f t="shared" si="39"/>
        <v/>
      </c>
      <c r="Y54" s="25">
        <f>IF(Y20&lt;3,3-Y20,"")</f>
        <v>1</v>
      </c>
      <c r="Z54" s="25" t="str">
        <f t="shared" ref="Z54:AE54" si="61">IF(Z20&lt;3,3-Z20,"")</f>
        <v/>
      </c>
      <c r="AA54" s="25" t="str">
        <f t="shared" si="61"/>
        <v/>
      </c>
      <c r="AB54" s="25" t="str">
        <f t="shared" si="61"/>
        <v/>
      </c>
      <c r="AC54" s="25" t="str">
        <f t="shared" si="61"/>
        <v/>
      </c>
      <c r="AD54" s="25" t="str">
        <f t="shared" si="61"/>
        <v/>
      </c>
      <c r="AE54" s="25" t="str">
        <f t="shared" si="61"/>
        <v/>
      </c>
      <c r="AF54" s="25" t="str">
        <f t="shared" ref="AF54:AM54" si="62">IF(AF20&lt;3,3-AF20,"")</f>
        <v/>
      </c>
      <c r="AG54" s="25" t="str">
        <f t="shared" si="62"/>
        <v/>
      </c>
      <c r="AH54" s="25" t="str">
        <f t="shared" si="62"/>
        <v/>
      </c>
      <c r="AI54" s="25" t="str">
        <f t="shared" si="62"/>
        <v/>
      </c>
      <c r="AJ54" s="25" t="str">
        <f t="shared" si="62"/>
        <v/>
      </c>
      <c r="AK54" s="25" t="str">
        <f t="shared" si="62"/>
        <v/>
      </c>
      <c r="AL54" s="25" t="str">
        <f t="shared" si="62"/>
        <v/>
      </c>
      <c r="AM54" s="25" t="str">
        <f t="shared" si="62"/>
        <v/>
      </c>
    </row>
    <row r="55" spans="1:39" x14ac:dyDescent="0.25">
      <c r="A55" s="96"/>
      <c r="B55" s="3" t="s">
        <v>15</v>
      </c>
      <c r="C55" s="2" t="str">
        <f t="shared" si="46"/>
        <v/>
      </c>
      <c r="D55" s="2" t="str">
        <f>IF(D21&lt;3,3-D21,"")</f>
        <v/>
      </c>
      <c r="E55" s="2" t="str">
        <f t="shared" ref="E55:K55" si="63">IF(E21&lt;3,3-E21,"")</f>
        <v/>
      </c>
      <c r="F55" s="2" t="str">
        <f t="shared" si="63"/>
        <v/>
      </c>
      <c r="G55" s="2" t="str">
        <f t="shared" si="63"/>
        <v/>
      </c>
      <c r="H55" s="2" t="str">
        <f t="shared" si="63"/>
        <v/>
      </c>
      <c r="I55" s="2" t="str">
        <f t="shared" si="63"/>
        <v/>
      </c>
      <c r="J55" s="2" t="str">
        <f t="shared" si="63"/>
        <v/>
      </c>
      <c r="K55" s="2" t="str">
        <f t="shared" si="63"/>
        <v/>
      </c>
      <c r="L55" s="2" t="str">
        <f t="shared" ref="L55:S55" si="64">IF(L21&lt;3,3-L21,"")</f>
        <v/>
      </c>
      <c r="M55" s="2" t="str">
        <f t="shared" si="64"/>
        <v/>
      </c>
      <c r="N55" s="2" t="str">
        <f t="shared" si="64"/>
        <v/>
      </c>
      <c r="O55" s="2" t="str">
        <f t="shared" si="64"/>
        <v/>
      </c>
      <c r="P55" s="2" t="str">
        <f t="shared" si="64"/>
        <v/>
      </c>
      <c r="Q55" s="2" t="str">
        <f t="shared" si="64"/>
        <v/>
      </c>
      <c r="R55" s="2" t="str">
        <f t="shared" si="64"/>
        <v/>
      </c>
      <c r="S55" s="2" t="str">
        <f t="shared" si="64"/>
        <v/>
      </c>
      <c r="T55" s="4"/>
      <c r="U55" s="96"/>
      <c r="V55" s="3" t="s">
        <v>42</v>
      </c>
      <c r="W55" s="45">
        <f t="shared" si="10"/>
        <v>4</v>
      </c>
      <c r="X55" s="40" t="str">
        <f t="shared" si="39"/>
        <v/>
      </c>
      <c r="Y55" s="40" t="str">
        <f>IF(Y21&lt;3,3-Y21,"")</f>
        <v/>
      </c>
      <c r="Z55" s="40" t="str">
        <f t="shared" ref="Z55:AE55" si="65">IF(Z21&lt;3,3-Z21,"")</f>
        <v/>
      </c>
      <c r="AA55" s="40" t="str">
        <f t="shared" si="65"/>
        <v/>
      </c>
      <c r="AB55" s="40" t="str">
        <f t="shared" si="65"/>
        <v/>
      </c>
      <c r="AC55" s="40" t="str">
        <f t="shared" si="65"/>
        <v/>
      </c>
      <c r="AD55" s="40" t="str">
        <f t="shared" si="65"/>
        <v/>
      </c>
      <c r="AE55" s="40" t="str">
        <f t="shared" si="65"/>
        <v/>
      </c>
      <c r="AF55" s="40" t="str">
        <f t="shared" ref="AF55:AM55" si="66">IF(AF21&lt;3,3-AF21,"")</f>
        <v/>
      </c>
      <c r="AG55" s="40" t="str">
        <f t="shared" si="66"/>
        <v/>
      </c>
      <c r="AH55" s="40" t="str">
        <f t="shared" si="66"/>
        <v/>
      </c>
      <c r="AI55" s="40" t="str">
        <f t="shared" si="66"/>
        <v/>
      </c>
      <c r="AJ55" s="40" t="str">
        <f t="shared" si="66"/>
        <v/>
      </c>
      <c r="AK55" s="40" t="str">
        <f t="shared" si="66"/>
        <v/>
      </c>
      <c r="AL55" s="40" t="str">
        <f t="shared" si="66"/>
        <v/>
      </c>
      <c r="AM55" s="40" t="str">
        <f t="shared" si="66"/>
        <v/>
      </c>
    </row>
    <row r="56" spans="1:39" x14ac:dyDescent="0.25">
      <c r="A56" s="96"/>
      <c r="B56" s="3" t="s">
        <v>16</v>
      </c>
      <c r="C56" s="23" t="str">
        <f t="shared" si="46"/>
        <v/>
      </c>
      <c r="D56" s="23" t="str">
        <f>IF(D22&lt;3,3-D22,"")</f>
        <v/>
      </c>
      <c r="E56" s="23" t="str">
        <f t="shared" ref="E56:K56" si="67">IF(E22&lt;3,3-E22,"")</f>
        <v/>
      </c>
      <c r="F56" s="23" t="str">
        <f t="shared" si="67"/>
        <v/>
      </c>
      <c r="G56" s="23" t="str">
        <f t="shared" si="67"/>
        <v/>
      </c>
      <c r="H56" s="23" t="str">
        <f t="shared" si="67"/>
        <v/>
      </c>
      <c r="I56" s="23" t="str">
        <f t="shared" si="67"/>
        <v/>
      </c>
      <c r="J56" s="23" t="str">
        <f t="shared" si="67"/>
        <v/>
      </c>
      <c r="K56" s="23" t="str">
        <f t="shared" si="67"/>
        <v/>
      </c>
      <c r="L56" s="23" t="str">
        <f t="shared" ref="L56:S56" si="68">IF(L22&lt;3,3-L22,"")</f>
        <v/>
      </c>
      <c r="M56" s="23" t="str">
        <f t="shared" si="68"/>
        <v/>
      </c>
      <c r="N56" s="23" t="str">
        <f t="shared" si="68"/>
        <v/>
      </c>
      <c r="O56" s="23" t="str">
        <f t="shared" si="68"/>
        <v/>
      </c>
      <c r="P56" s="23" t="str">
        <f t="shared" si="68"/>
        <v/>
      </c>
      <c r="Q56" s="23" t="str">
        <f t="shared" si="68"/>
        <v/>
      </c>
      <c r="R56" s="23" t="str">
        <f t="shared" si="68"/>
        <v/>
      </c>
      <c r="S56" s="23" t="str">
        <f t="shared" si="68"/>
        <v/>
      </c>
      <c r="T56" s="4"/>
      <c r="U56" s="96"/>
      <c r="V56" s="3" t="s">
        <v>43</v>
      </c>
      <c r="W56" s="25"/>
      <c r="X56" s="25"/>
      <c r="Y56" s="25"/>
      <c r="Z56" s="25"/>
      <c r="AA56" s="25"/>
      <c r="AB56" s="25"/>
      <c r="AC56" s="25"/>
      <c r="AD56" s="25"/>
      <c r="AE56" s="25"/>
      <c r="AF56" s="25"/>
      <c r="AG56" s="25"/>
      <c r="AH56" s="25"/>
      <c r="AI56" s="25"/>
      <c r="AJ56" s="23"/>
      <c r="AK56" s="23"/>
      <c r="AL56" s="23"/>
      <c r="AM56" s="23"/>
    </row>
    <row r="57" spans="1:39" x14ac:dyDescent="0.25">
      <c r="A57" s="96"/>
      <c r="B57" s="3" t="s">
        <v>17</v>
      </c>
      <c r="C57" s="2"/>
      <c r="D57" s="2"/>
      <c r="E57" s="2"/>
      <c r="F57" s="2"/>
      <c r="G57" s="2"/>
      <c r="H57" s="2"/>
      <c r="I57" s="2"/>
      <c r="J57" s="2"/>
      <c r="K57" s="2"/>
      <c r="L57" s="2"/>
      <c r="M57" s="2"/>
      <c r="N57" s="2"/>
      <c r="O57" s="2"/>
      <c r="P57" s="2"/>
      <c r="Q57" s="2"/>
      <c r="R57" s="2"/>
      <c r="S57" s="2"/>
      <c r="T57" s="4"/>
      <c r="U57" s="96"/>
      <c r="V57" s="3" t="s">
        <v>44</v>
      </c>
      <c r="W57" s="8"/>
      <c r="X57" s="8"/>
      <c r="Y57" s="8"/>
      <c r="Z57" s="8"/>
      <c r="AA57" s="8"/>
      <c r="AB57" s="8"/>
      <c r="AC57" s="8"/>
      <c r="AD57" s="8"/>
      <c r="AE57" s="8"/>
      <c r="AF57" s="8"/>
      <c r="AG57" s="8"/>
      <c r="AH57" s="8"/>
      <c r="AI57" s="8"/>
      <c r="AJ57" s="2"/>
      <c r="AK57" s="2"/>
      <c r="AL57" s="2"/>
      <c r="AM57" s="2"/>
    </row>
    <row r="58" spans="1:39" x14ac:dyDescent="0.25">
      <c r="A58" s="96"/>
      <c r="B58" s="3" t="s">
        <v>18</v>
      </c>
      <c r="C58" s="23"/>
      <c r="D58" s="23"/>
      <c r="E58" s="23"/>
      <c r="F58" s="23"/>
      <c r="G58" s="23"/>
      <c r="H58" s="23"/>
      <c r="I58" s="23"/>
      <c r="J58" s="23"/>
      <c r="K58" s="23"/>
      <c r="L58" s="23"/>
      <c r="M58" s="23"/>
      <c r="N58" s="23"/>
      <c r="O58" s="23"/>
      <c r="P58" s="23"/>
      <c r="Q58" s="23"/>
      <c r="R58" s="23"/>
      <c r="S58" s="23"/>
      <c r="T58" s="4"/>
      <c r="U58" s="96"/>
      <c r="V58" s="3" t="s">
        <v>45</v>
      </c>
      <c r="W58" s="25"/>
      <c r="X58" s="25"/>
      <c r="Y58" s="25"/>
      <c r="Z58" s="25"/>
      <c r="AA58" s="25"/>
      <c r="AB58" s="25"/>
      <c r="AC58" s="25"/>
      <c r="AD58" s="25"/>
      <c r="AE58" s="25"/>
      <c r="AF58" s="25"/>
      <c r="AG58" s="25"/>
      <c r="AH58" s="25"/>
      <c r="AI58" s="25"/>
      <c r="AJ58" s="23"/>
      <c r="AK58" s="23"/>
      <c r="AL58" s="23"/>
      <c r="AM58" s="23"/>
    </row>
    <row r="59" spans="1:39" x14ac:dyDescent="0.25">
      <c r="A59" s="96"/>
      <c r="B59" s="3" t="s">
        <v>19</v>
      </c>
      <c r="C59" s="2"/>
      <c r="D59" s="2"/>
      <c r="E59" s="2"/>
      <c r="F59" s="2"/>
      <c r="G59" s="2"/>
      <c r="H59" s="2"/>
      <c r="I59" s="2"/>
      <c r="J59" s="2"/>
      <c r="K59" s="2"/>
      <c r="L59" s="2"/>
      <c r="M59" s="2"/>
      <c r="N59" s="2"/>
      <c r="O59" s="2"/>
      <c r="P59" s="2"/>
      <c r="Q59" s="2"/>
      <c r="R59" s="2"/>
      <c r="S59" s="2"/>
      <c r="T59" s="4"/>
      <c r="U59" s="96"/>
      <c r="V59" s="3" t="s">
        <v>46</v>
      </c>
      <c r="W59" s="8"/>
      <c r="X59" s="8"/>
      <c r="Y59" s="8"/>
      <c r="Z59" s="8"/>
      <c r="AA59" s="8"/>
      <c r="AB59" s="8"/>
      <c r="AC59" s="8"/>
      <c r="AD59" s="8"/>
      <c r="AE59" s="8"/>
      <c r="AF59" s="8"/>
      <c r="AG59" s="8"/>
      <c r="AH59" s="8"/>
      <c r="AI59" s="8"/>
      <c r="AJ59" s="2"/>
      <c r="AK59" s="2"/>
      <c r="AL59" s="2"/>
      <c r="AM59" s="2"/>
    </row>
    <row r="60" spans="1:39" x14ac:dyDescent="0.25">
      <c r="A60" s="96"/>
      <c r="B60" s="3" t="s">
        <v>20</v>
      </c>
      <c r="C60" s="23"/>
      <c r="D60" s="23"/>
      <c r="E60" s="23"/>
      <c r="F60" s="23"/>
      <c r="G60" s="23"/>
      <c r="H60" s="23"/>
      <c r="I60" s="23"/>
      <c r="J60" s="23"/>
      <c r="K60" s="23"/>
      <c r="L60" s="23"/>
      <c r="M60" s="23"/>
      <c r="N60" s="23"/>
      <c r="O60" s="23"/>
      <c r="P60" s="23"/>
      <c r="Q60" s="23"/>
      <c r="R60" s="23"/>
      <c r="S60" s="23"/>
      <c r="T60" s="4"/>
      <c r="U60" s="96"/>
      <c r="V60" s="3" t="s">
        <v>47</v>
      </c>
      <c r="W60" s="25"/>
      <c r="X60" s="25"/>
      <c r="Y60" s="25"/>
      <c r="Z60" s="25"/>
      <c r="AA60" s="25"/>
      <c r="AB60" s="25"/>
      <c r="AC60" s="25"/>
      <c r="AD60" s="25"/>
      <c r="AE60" s="25"/>
      <c r="AF60" s="25"/>
      <c r="AG60" s="25"/>
      <c r="AH60" s="25"/>
      <c r="AI60" s="25"/>
      <c r="AJ60" s="23"/>
      <c r="AK60" s="23"/>
      <c r="AL60" s="23"/>
      <c r="AM60" s="23"/>
    </row>
    <row r="61" spans="1:39" x14ac:dyDescent="0.25">
      <c r="A61" s="96"/>
      <c r="B61" s="3" t="s">
        <v>21</v>
      </c>
      <c r="C61" s="2"/>
      <c r="D61" s="2"/>
      <c r="E61" s="2"/>
      <c r="F61" s="2"/>
      <c r="G61" s="2"/>
      <c r="H61" s="2"/>
      <c r="I61" s="2"/>
      <c r="J61" s="2"/>
      <c r="K61" s="2"/>
      <c r="L61" s="2"/>
      <c r="M61" s="2"/>
      <c r="N61" s="2"/>
      <c r="O61" s="2"/>
      <c r="P61" s="2"/>
      <c r="Q61" s="2"/>
      <c r="R61" s="2"/>
      <c r="S61" s="2"/>
      <c r="T61" s="4"/>
      <c r="U61" s="96"/>
      <c r="V61" s="3" t="s">
        <v>48</v>
      </c>
      <c r="W61" s="8"/>
      <c r="X61" s="8"/>
      <c r="Y61" s="8"/>
      <c r="Z61" s="8"/>
      <c r="AA61" s="8"/>
      <c r="AB61" s="8"/>
      <c r="AC61" s="8"/>
      <c r="AD61" s="8"/>
      <c r="AE61" s="8"/>
      <c r="AF61" s="8"/>
      <c r="AG61" s="8"/>
      <c r="AH61" s="8"/>
      <c r="AI61" s="8"/>
      <c r="AJ61" s="2"/>
      <c r="AK61" s="2"/>
      <c r="AL61" s="2"/>
      <c r="AM61" s="2"/>
    </row>
    <row r="62" spans="1:39" x14ac:dyDescent="0.25">
      <c r="A62" s="96"/>
      <c r="B62" s="3" t="s">
        <v>22</v>
      </c>
      <c r="C62" s="23"/>
      <c r="D62" s="23"/>
      <c r="E62" s="23"/>
      <c r="F62" s="23"/>
      <c r="G62" s="23"/>
      <c r="H62" s="23"/>
      <c r="I62" s="23"/>
      <c r="J62" s="23"/>
      <c r="K62" s="23"/>
      <c r="L62" s="23"/>
      <c r="M62" s="23"/>
      <c r="N62" s="23"/>
      <c r="O62" s="23"/>
      <c r="P62" s="23"/>
      <c r="Q62" s="23"/>
      <c r="R62" s="23"/>
      <c r="S62" s="23"/>
      <c r="T62" s="4"/>
      <c r="U62" s="96"/>
      <c r="V62" s="3" t="s">
        <v>49</v>
      </c>
      <c r="W62" s="25"/>
      <c r="X62" s="25"/>
      <c r="Y62" s="25"/>
      <c r="Z62" s="25"/>
      <c r="AA62" s="25"/>
      <c r="AB62" s="25"/>
      <c r="AC62" s="25"/>
      <c r="AD62" s="25"/>
      <c r="AE62" s="25"/>
      <c r="AF62" s="25"/>
      <c r="AG62" s="25"/>
      <c r="AH62" s="25"/>
      <c r="AI62" s="25"/>
      <c r="AJ62" s="23"/>
      <c r="AK62" s="23"/>
      <c r="AL62" s="23"/>
      <c r="AM62" s="23"/>
    </row>
    <row r="63" spans="1:39" x14ac:dyDescent="0.25">
      <c r="A63" s="96"/>
      <c r="B63" s="3" t="s">
        <v>23</v>
      </c>
      <c r="C63" s="2"/>
      <c r="D63" s="2"/>
      <c r="E63" s="2"/>
      <c r="F63" s="2"/>
      <c r="G63" s="2"/>
      <c r="H63" s="2"/>
      <c r="I63" s="2"/>
      <c r="J63" s="2"/>
      <c r="K63" s="2"/>
      <c r="L63" s="2"/>
      <c r="M63" s="2"/>
      <c r="N63" s="2"/>
      <c r="O63" s="2"/>
      <c r="P63" s="2"/>
      <c r="Q63" s="2"/>
      <c r="R63" s="2"/>
      <c r="S63" s="2"/>
      <c r="T63" s="4"/>
      <c r="U63" s="96"/>
      <c r="V63" s="3" t="s">
        <v>50</v>
      </c>
      <c r="W63" s="8"/>
      <c r="X63" s="8"/>
      <c r="Y63" s="8"/>
      <c r="Z63" s="8"/>
      <c r="AA63" s="8"/>
      <c r="AB63" s="8"/>
      <c r="AC63" s="8"/>
      <c r="AD63" s="8"/>
      <c r="AE63" s="8"/>
      <c r="AF63" s="8"/>
      <c r="AG63" s="8"/>
      <c r="AH63" s="8"/>
      <c r="AI63" s="8"/>
      <c r="AJ63" s="2"/>
      <c r="AK63" s="2"/>
      <c r="AL63" s="2"/>
      <c r="AM63" s="2"/>
    </row>
    <row r="64" spans="1:39" x14ac:dyDescent="0.25">
      <c r="A64" s="96"/>
      <c r="B64" s="3" t="s">
        <v>24</v>
      </c>
      <c r="C64" s="23"/>
      <c r="D64" s="23"/>
      <c r="E64" s="23"/>
      <c r="F64" s="23"/>
      <c r="G64" s="23"/>
      <c r="H64" s="23"/>
      <c r="I64" s="23"/>
      <c r="J64" s="23"/>
      <c r="K64" s="23"/>
      <c r="L64" s="23"/>
      <c r="M64" s="23"/>
      <c r="N64" s="23"/>
      <c r="O64" s="23"/>
      <c r="P64" s="23"/>
      <c r="Q64" s="23"/>
      <c r="R64" s="23"/>
      <c r="S64" s="23"/>
      <c r="T64" s="4"/>
      <c r="U64" s="96"/>
      <c r="V64" s="4"/>
      <c r="W64" s="4"/>
      <c r="X64" s="4"/>
      <c r="Y64" s="4"/>
      <c r="Z64" s="4"/>
      <c r="AA64" s="4"/>
      <c r="AB64" s="4"/>
      <c r="AC64" s="4"/>
      <c r="AD64" s="4"/>
      <c r="AE64" s="4"/>
      <c r="AG64" s="4"/>
      <c r="AI64" s="4"/>
      <c r="AJ64" s="4"/>
    </row>
    <row r="65" spans="1:36" x14ac:dyDescent="0.25">
      <c r="A65" s="4"/>
      <c r="B65" s="4"/>
      <c r="C65" s="4"/>
      <c r="D65" s="4"/>
      <c r="E65" s="4"/>
      <c r="F65" s="4"/>
      <c r="G65" s="4"/>
      <c r="H65" s="4"/>
      <c r="I65" s="4"/>
      <c r="J65" s="4"/>
      <c r="K65" s="4"/>
      <c r="L65" s="4"/>
      <c r="M65" s="4"/>
      <c r="N65" s="4"/>
      <c r="O65" s="4"/>
      <c r="P65" s="4"/>
      <c r="Q65" s="4"/>
      <c r="R65" s="4"/>
      <c r="S65" s="4"/>
      <c r="T65" s="4"/>
      <c r="U65" s="4"/>
      <c r="V65" s="4"/>
      <c r="W65" s="4"/>
      <c r="X65" s="4"/>
      <c r="Y65" s="4"/>
      <c r="Z65" s="4"/>
      <c r="AA65" s="4"/>
      <c r="AB65" s="4"/>
      <c r="AC65" s="4"/>
      <c r="AD65" s="4"/>
      <c r="AE65" s="4"/>
      <c r="AF65" s="4"/>
      <c r="AG65" s="4"/>
      <c r="AH65" s="4"/>
      <c r="AI65" s="4"/>
      <c r="AJ65" s="4"/>
    </row>
    <row r="66" spans="1:36" x14ac:dyDescent="0.25">
      <c r="A66" s="4"/>
      <c r="B66" s="4"/>
      <c r="C66" s="4"/>
      <c r="D66" s="4"/>
      <c r="E66" s="4" t="s">
        <v>97</v>
      </c>
      <c r="F66" s="4"/>
      <c r="G66" s="4"/>
      <c r="H66" s="4"/>
      <c r="I66" s="4"/>
      <c r="J66" s="4"/>
      <c r="K66" s="4"/>
      <c r="L66" s="4"/>
      <c r="M66" s="4"/>
      <c r="N66" s="4"/>
      <c r="O66" s="4"/>
      <c r="P66" s="4"/>
      <c r="Q66" s="4"/>
      <c r="R66" s="4"/>
      <c r="S66" s="4"/>
      <c r="T66" s="4"/>
      <c r="U66" s="4"/>
      <c r="V66" s="4"/>
      <c r="W66" s="4"/>
      <c r="X66" s="4"/>
      <c r="Y66" s="4" t="s">
        <v>97</v>
      </c>
      <c r="Z66" s="4"/>
      <c r="AA66" s="4"/>
      <c r="AB66" s="4"/>
      <c r="AC66" s="4"/>
      <c r="AD66" s="4"/>
      <c r="AE66" s="4"/>
      <c r="AF66" s="4"/>
      <c r="AG66" s="4"/>
      <c r="AH66" s="4"/>
      <c r="AI66" s="4"/>
      <c r="AJ66" s="4"/>
    </row>
    <row r="67" spans="1:36" x14ac:dyDescent="0.25">
      <c r="A67" s="4"/>
      <c r="B67" s="4"/>
      <c r="C67" s="4" t="s">
        <v>94</v>
      </c>
      <c r="D67" s="4"/>
      <c r="E67" s="42">
        <f>SUM(C40:K64)</f>
        <v>36</v>
      </c>
      <c r="F67" s="4"/>
      <c r="G67" s="4" t="s">
        <v>96</v>
      </c>
      <c r="H67" s="4"/>
      <c r="I67" s="100">
        <f>6.75*E67</f>
        <v>243</v>
      </c>
      <c r="J67" s="100"/>
      <c r="K67" s="4"/>
      <c r="L67" s="4"/>
      <c r="M67" s="4"/>
      <c r="N67" s="4"/>
      <c r="O67" s="4"/>
      <c r="P67" s="4"/>
      <c r="Q67" s="4"/>
      <c r="R67" s="4"/>
      <c r="S67" s="4"/>
      <c r="T67" s="4"/>
      <c r="U67" s="4"/>
      <c r="V67" s="4"/>
      <c r="W67" s="4" t="s">
        <v>94</v>
      </c>
      <c r="X67" s="4"/>
      <c r="Y67" s="42">
        <f>SUM(W40:AE63)</f>
        <v>51</v>
      </c>
      <c r="Z67" s="4"/>
      <c r="AA67" s="4" t="s">
        <v>96</v>
      </c>
      <c r="AB67" s="4"/>
      <c r="AC67" s="100">
        <f>6.75*Y67</f>
        <v>344.25</v>
      </c>
      <c r="AD67" s="100"/>
      <c r="AE67" s="4"/>
      <c r="AF67" s="4"/>
      <c r="AG67" s="4"/>
      <c r="AH67" s="4"/>
      <c r="AI67" s="4"/>
      <c r="AJ67" s="4"/>
    </row>
    <row r="68" spans="1:36" x14ac:dyDescent="0.25">
      <c r="A68" s="4"/>
      <c r="B68" s="4"/>
      <c r="C68" s="4" t="s">
        <v>95</v>
      </c>
      <c r="D68" s="4"/>
      <c r="E68" s="42">
        <f>SUM(L40:S64)</f>
        <v>0</v>
      </c>
      <c r="F68" s="4"/>
      <c r="G68" s="4" t="s">
        <v>96</v>
      </c>
      <c r="H68" s="4"/>
      <c r="I68" s="100">
        <f>15.5*E68</f>
        <v>0</v>
      </c>
      <c r="J68" s="100"/>
      <c r="K68" s="4"/>
      <c r="L68" s="4"/>
      <c r="M68" s="4"/>
      <c r="N68" s="4"/>
      <c r="O68" s="4"/>
      <c r="P68" s="4"/>
      <c r="Q68" s="4"/>
      <c r="R68" s="4"/>
      <c r="S68" s="4"/>
      <c r="T68" s="4"/>
      <c r="U68" s="4"/>
      <c r="V68" s="4"/>
      <c r="W68" s="4" t="s">
        <v>95</v>
      </c>
      <c r="X68" s="4"/>
      <c r="Y68" s="42">
        <f>SUM(AF40:AM63)</f>
        <v>8</v>
      </c>
      <c r="Z68" s="4"/>
      <c r="AA68" s="4" t="s">
        <v>96</v>
      </c>
      <c r="AB68" s="4"/>
      <c r="AC68" s="100">
        <f>15.5*Y68</f>
        <v>124</v>
      </c>
      <c r="AD68" s="100"/>
      <c r="AE68" s="4"/>
      <c r="AF68" s="4"/>
      <c r="AG68" s="4"/>
      <c r="AH68" s="4"/>
      <c r="AI68" s="4"/>
      <c r="AJ68" s="4"/>
    </row>
    <row r="69" spans="1:36" x14ac:dyDescent="0.25">
      <c r="A69" s="4"/>
      <c r="B69" s="4"/>
      <c r="C69" s="4"/>
      <c r="D69" s="4"/>
      <c r="E69" s="4"/>
      <c r="F69" s="4"/>
      <c r="G69" s="4"/>
      <c r="H69" s="4"/>
      <c r="I69" s="4"/>
      <c r="J69" s="4"/>
      <c r="K69" s="4"/>
      <c r="L69" s="4"/>
      <c r="M69" s="4"/>
      <c r="N69" s="4"/>
      <c r="O69" s="4"/>
      <c r="P69" s="4"/>
      <c r="Q69" s="4"/>
      <c r="R69" s="4"/>
      <c r="S69" s="4"/>
      <c r="T69" s="4"/>
      <c r="U69" s="4"/>
      <c r="V69" s="4"/>
      <c r="W69" s="4"/>
      <c r="X69" s="4"/>
      <c r="Y69" s="4"/>
      <c r="Z69" s="4"/>
      <c r="AA69" s="4"/>
      <c r="AB69" s="4"/>
      <c r="AC69" s="4"/>
      <c r="AD69" s="4"/>
      <c r="AE69" s="4"/>
      <c r="AF69" s="4"/>
      <c r="AG69" s="4"/>
      <c r="AH69" s="4"/>
      <c r="AI69" s="4"/>
      <c r="AJ69" s="4"/>
    </row>
    <row r="70" spans="1:36" x14ac:dyDescent="0.25">
      <c r="A70" s="4"/>
      <c r="B70" s="4"/>
      <c r="C70" s="4"/>
      <c r="D70" s="4"/>
      <c r="E70" s="42">
        <f>E67+E68</f>
        <v>36</v>
      </c>
      <c r="F70" s="4"/>
      <c r="G70" s="4"/>
      <c r="H70" s="4"/>
      <c r="I70" s="101">
        <f>I67+I68</f>
        <v>243</v>
      </c>
      <c r="J70" s="102"/>
      <c r="K70" s="4"/>
      <c r="L70" s="4"/>
      <c r="M70" s="4"/>
      <c r="N70" s="4"/>
      <c r="O70" s="4"/>
      <c r="P70" s="4"/>
      <c r="Q70" s="4"/>
      <c r="R70" s="4"/>
      <c r="S70" s="4"/>
      <c r="T70" s="4"/>
      <c r="U70" s="4"/>
      <c r="V70" s="4"/>
      <c r="W70" s="4"/>
      <c r="X70" s="4"/>
      <c r="Y70" s="42">
        <f>Y67+Y68</f>
        <v>59</v>
      </c>
      <c r="Z70" s="4"/>
      <c r="AA70" s="4"/>
      <c r="AB70" s="4"/>
      <c r="AC70" s="103">
        <f>AC67+AC68</f>
        <v>468.25</v>
      </c>
      <c r="AD70" s="104"/>
      <c r="AE70" s="4"/>
      <c r="AF70" s="4"/>
      <c r="AG70" s="4"/>
      <c r="AH70" s="4"/>
      <c r="AI70" s="4"/>
      <c r="AJ70" s="4"/>
    </row>
    <row r="71" spans="1:36" x14ac:dyDescent="0.2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row>
    <row r="72" spans="1:36" x14ac:dyDescent="0.25">
      <c r="A72" s="4"/>
      <c r="B72" s="4"/>
      <c r="C72" s="4"/>
      <c r="D72" s="4"/>
      <c r="E72" s="4"/>
      <c r="F72" s="4"/>
      <c r="G72" s="4"/>
      <c r="H72" s="4"/>
      <c r="I72" s="4"/>
      <c r="J72" s="4"/>
      <c r="K72" s="4"/>
      <c r="L72" s="4"/>
      <c r="M72" s="4"/>
      <c r="N72" s="4"/>
      <c r="O72" s="4"/>
      <c r="P72" s="4"/>
      <c r="Q72" s="4"/>
      <c r="R72" s="4"/>
      <c r="S72" s="4"/>
      <c r="T72" s="4"/>
      <c r="U72" s="4"/>
      <c r="V72" s="4"/>
      <c r="W72" s="4"/>
      <c r="X72" s="4"/>
      <c r="Y72" s="4"/>
      <c r="Z72" s="4"/>
      <c r="AA72" s="4"/>
      <c r="AB72" s="4"/>
      <c r="AC72" s="4"/>
      <c r="AD72" s="4"/>
      <c r="AE72" s="4"/>
      <c r="AF72" s="4"/>
      <c r="AG72" s="4"/>
      <c r="AH72" s="4"/>
      <c r="AI72" s="4"/>
      <c r="AJ72" s="4"/>
    </row>
    <row r="73" spans="1:36" x14ac:dyDescent="0.25">
      <c r="A73" s="4"/>
      <c r="B73" s="4"/>
      <c r="C73" s="4"/>
      <c r="D73" s="4"/>
      <c r="E73" s="4"/>
      <c r="F73" s="4"/>
      <c r="G73" s="4"/>
      <c r="H73" s="4"/>
      <c r="I73" s="4"/>
      <c r="J73" s="4"/>
      <c r="K73" s="4"/>
      <c r="L73" s="4"/>
      <c r="M73" s="4"/>
      <c r="N73" s="4"/>
      <c r="O73" s="4"/>
      <c r="P73" s="4"/>
      <c r="Q73" s="4"/>
      <c r="R73" s="4"/>
      <c r="S73" s="4"/>
      <c r="T73" s="4"/>
      <c r="U73" s="4"/>
      <c r="V73" s="4"/>
      <c r="W73" s="4"/>
      <c r="X73" s="4"/>
      <c r="Y73" s="4"/>
      <c r="Z73" s="4"/>
      <c r="AA73" s="4"/>
      <c r="AB73" s="4"/>
      <c r="AC73" s="4"/>
      <c r="AD73" s="4"/>
      <c r="AE73" s="4"/>
      <c r="AF73" s="4"/>
      <c r="AG73" s="4"/>
      <c r="AH73" s="4"/>
      <c r="AI73" s="4"/>
      <c r="AJ73" s="4"/>
    </row>
    <row r="74" spans="1:36" ht="15.75" thickBot="1" x14ac:dyDescent="0.3">
      <c r="A74" s="4"/>
      <c r="B74" s="4"/>
      <c r="C74" s="4"/>
      <c r="D74" s="4"/>
      <c r="E74" s="4"/>
      <c r="F74" s="4"/>
      <c r="G74" s="4"/>
      <c r="H74" s="4"/>
      <c r="I74" s="4"/>
      <c r="J74" s="4"/>
      <c r="K74" s="4"/>
      <c r="L74" s="4"/>
      <c r="M74" s="4"/>
      <c r="N74" s="4"/>
      <c r="O74" s="4"/>
      <c r="P74" s="4"/>
      <c r="Q74" s="4"/>
      <c r="R74" s="4"/>
      <c r="S74" s="4"/>
      <c r="T74" s="4"/>
      <c r="U74" s="4"/>
      <c r="V74" s="4"/>
      <c r="W74" s="4"/>
      <c r="X74" s="4"/>
      <c r="Y74" s="4"/>
      <c r="Z74" s="4"/>
      <c r="AA74" s="4"/>
      <c r="AB74" s="4"/>
      <c r="AC74" s="4"/>
      <c r="AD74" s="4"/>
      <c r="AE74" s="4"/>
      <c r="AF74" s="4"/>
      <c r="AG74" s="4"/>
      <c r="AH74" s="4"/>
      <c r="AI74" s="4"/>
      <c r="AJ74" s="4"/>
    </row>
    <row r="75" spans="1:36" ht="15.75" thickBot="1" x14ac:dyDescent="0.3">
      <c r="A75" s="4"/>
      <c r="B75" s="4"/>
      <c r="C75" s="4"/>
      <c r="D75" s="46" t="s">
        <v>100</v>
      </c>
      <c r="E75" s="47"/>
      <c r="F75" s="47"/>
      <c r="G75" s="47"/>
      <c r="H75" s="48"/>
      <c r="I75" s="4"/>
      <c r="J75" s="4"/>
      <c r="K75" s="46" t="s">
        <v>70</v>
      </c>
      <c r="L75" s="47"/>
      <c r="M75" s="47"/>
      <c r="N75" s="47"/>
      <c r="O75" s="48"/>
      <c r="P75" s="4"/>
      <c r="Q75" s="4"/>
      <c r="R75" s="4"/>
      <c r="S75" s="4"/>
      <c r="T75" s="4"/>
      <c r="U75" s="4"/>
      <c r="V75" s="4"/>
      <c r="W75" s="4"/>
      <c r="X75" s="4"/>
      <c r="Y75" s="4"/>
      <c r="Z75" s="4"/>
      <c r="AA75" s="4"/>
      <c r="AB75" s="4"/>
      <c r="AC75" s="4"/>
      <c r="AD75" s="4"/>
      <c r="AE75" s="4"/>
      <c r="AF75" s="4"/>
      <c r="AG75" s="4"/>
      <c r="AH75" s="4"/>
      <c r="AI75" s="4"/>
      <c r="AJ75" s="4"/>
    </row>
    <row r="76" spans="1:36" ht="15" customHeight="1" thickBot="1" x14ac:dyDescent="0.3">
      <c r="D76" s="93" t="s">
        <v>110</v>
      </c>
      <c r="E76" s="57" t="s">
        <v>35</v>
      </c>
      <c r="F76" s="56" t="s">
        <v>102</v>
      </c>
      <c r="G76" s="90" t="s">
        <v>111</v>
      </c>
      <c r="H76" s="57" t="s">
        <v>36</v>
      </c>
      <c r="I76" s="56" t="s">
        <v>102</v>
      </c>
      <c r="K76" s="90" t="s">
        <v>110</v>
      </c>
      <c r="L76" s="57" t="s">
        <v>36</v>
      </c>
      <c r="M76" s="56" t="s">
        <v>118</v>
      </c>
      <c r="N76" s="90" t="s">
        <v>111</v>
      </c>
      <c r="O76" s="57" t="s">
        <v>37</v>
      </c>
      <c r="P76" s="56" t="s">
        <v>102</v>
      </c>
    </row>
    <row r="77" spans="1:36" ht="15.75" thickBot="1" x14ac:dyDescent="0.3">
      <c r="D77" s="90"/>
      <c r="E77" s="57" t="s">
        <v>54</v>
      </c>
      <c r="F77" s="56" t="s">
        <v>102</v>
      </c>
      <c r="G77" s="90"/>
      <c r="H77" s="57" t="s">
        <v>54</v>
      </c>
      <c r="I77" s="56" t="s">
        <v>117</v>
      </c>
      <c r="K77" s="90"/>
      <c r="L77" s="57"/>
      <c r="M77" s="56"/>
      <c r="N77" s="90"/>
      <c r="O77" s="57" t="s">
        <v>54</v>
      </c>
      <c r="P77" s="56" t="s">
        <v>117</v>
      </c>
      <c r="V77" s="46"/>
      <c r="AA77"/>
    </row>
    <row r="78" spans="1:36" ht="15.75" thickBot="1" x14ac:dyDescent="0.3">
      <c r="D78" s="90"/>
      <c r="E78" s="57"/>
      <c r="F78" s="56"/>
      <c r="G78" s="90"/>
      <c r="H78" s="57" t="s">
        <v>55</v>
      </c>
      <c r="I78" s="56" t="s">
        <v>102</v>
      </c>
      <c r="K78" s="90"/>
      <c r="L78" s="57"/>
      <c r="M78" s="56"/>
      <c r="N78" s="90"/>
      <c r="O78" s="57" t="s">
        <v>55</v>
      </c>
      <c r="P78" s="56" t="s">
        <v>117</v>
      </c>
      <c r="V78"/>
    </row>
    <row r="79" spans="1:36" ht="15.75" thickBot="1" x14ac:dyDescent="0.3">
      <c r="D79" s="90"/>
      <c r="E79" s="57"/>
      <c r="F79" s="56"/>
      <c r="G79" s="90"/>
      <c r="H79" s="57"/>
      <c r="I79" s="56"/>
      <c r="K79" s="90"/>
      <c r="L79" s="57"/>
      <c r="M79" s="56"/>
      <c r="N79" s="90"/>
      <c r="O79" s="57"/>
      <c r="P79" s="56"/>
      <c r="V79" s="46"/>
      <c r="AA79"/>
    </row>
    <row r="80" spans="1:36" ht="15.75" thickBot="1" x14ac:dyDescent="0.3">
      <c r="D80" s="90"/>
      <c r="E80" s="57"/>
      <c r="F80" s="56"/>
      <c r="G80" s="90"/>
      <c r="H80" s="57"/>
      <c r="I80" s="56"/>
      <c r="K80" s="90"/>
      <c r="L80" s="57"/>
      <c r="M80" s="56"/>
      <c r="N80" s="90"/>
      <c r="O80" s="57"/>
      <c r="P80" s="56"/>
      <c r="V80"/>
    </row>
    <row r="81" spans="4:27" ht="15.75" thickBot="1" x14ac:dyDescent="0.3">
      <c r="D81" s="90"/>
      <c r="E81" s="57"/>
      <c r="F81" s="56"/>
      <c r="G81" s="90"/>
      <c r="H81" s="57"/>
      <c r="I81" s="56"/>
      <c r="K81" s="90"/>
      <c r="L81" s="57"/>
      <c r="M81" s="56"/>
      <c r="N81" s="90"/>
      <c r="O81" s="57"/>
      <c r="P81" s="56"/>
      <c r="V81" s="46"/>
      <c r="AA81"/>
    </row>
    <row r="82" spans="4:27" ht="15.75" thickBot="1" x14ac:dyDescent="0.3">
      <c r="D82" s="90"/>
      <c r="E82" s="57"/>
      <c r="F82" s="56"/>
      <c r="G82" s="90"/>
      <c r="H82" s="57"/>
      <c r="I82" s="56"/>
      <c r="K82" s="90"/>
      <c r="L82" s="57"/>
      <c r="M82" s="56"/>
      <c r="N82" s="90"/>
      <c r="O82" s="57"/>
      <c r="P82" s="56"/>
      <c r="V82"/>
    </row>
    <row r="83" spans="4:27" ht="15.75" thickBot="1" x14ac:dyDescent="0.3">
      <c r="D83" s="91"/>
      <c r="E83" s="57"/>
      <c r="F83" s="56"/>
      <c r="G83" s="91"/>
      <c r="H83" s="57"/>
      <c r="I83" s="56"/>
      <c r="K83" s="91"/>
      <c r="L83" s="57"/>
      <c r="M83" s="56"/>
      <c r="N83" s="91"/>
      <c r="O83" s="57"/>
      <c r="P83" s="56"/>
      <c r="V83" s="46"/>
      <c r="AA83" s="55"/>
    </row>
    <row r="84" spans="4:27" x14ac:dyDescent="0.25">
      <c r="G84"/>
    </row>
    <row r="85" spans="4:27" ht="15.75" thickBot="1" x14ac:dyDescent="0.3">
      <c r="G85"/>
      <c r="V85" s="50"/>
    </row>
    <row r="86" spans="4:27" ht="15.75" thickBot="1" x14ac:dyDescent="0.3">
      <c r="D86" s="46" t="s">
        <v>109</v>
      </c>
      <c r="E86" s="47"/>
      <c r="F86" s="47"/>
      <c r="G86" s="47"/>
      <c r="H86" s="48"/>
      <c r="K86" s="46" t="s">
        <v>79</v>
      </c>
      <c r="L86" s="47"/>
      <c r="M86" s="47"/>
      <c r="N86" s="47"/>
      <c r="O86" s="48"/>
    </row>
    <row r="87" spans="4:27" ht="15.75" thickBot="1" x14ac:dyDescent="0.3">
      <c r="D87" s="90" t="s">
        <v>110</v>
      </c>
      <c r="E87" s="57"/>
      <c r="F87" s="56"/>
      <c r="G87" s="90" t="s">
        <v>111</v>
      </c>
      <c r="H87" s="57" t="s">
        <v>54</v>
      </c>
      <c r="I87" s="56" t="s">
        <v>118</v>
      </c>
      <c r="K87" s="93"/>
      <c r="L87" s="57"/>
      <c r="M87" s="56"/>
      <c r="N87" s="90" t="s">
        <v>111</v>
      </c>
      <c r="O87" s="57" t="s">
        <v>36</v>
      </c>
      <c r="P87" s="56" t="s">
        <v>102</v>
      </c>
    </row>
    <row r="88" spans="4:27" ht="15.75" thickBot="1" x14ac:dyDescent="0.3">
      <c r="D88" s="90"/>
      <c r="E88" s="57"/>
      <c r="F88" s="56"/>
      <c r="G88" s="90"/>
      <c r="H88" s="57"/>
      <c r="I88" s="56"/>
      <c r="K88" s="94"/>
      <c r="L88" s="57"/>
      <c r="M88" s="56"/>
      <c r="N88" s="90"/>
      <c r="O88" s="57" t="s">
        <v>55</v>
      </c>
      <c r="P88" s="56" t="s">
        <v>117</v>
      </c>
    </row>
    <row r="89" spans="4:27" ht="15.75" thickBot="1" x14ac:dyDescent="0.3">
      <c r="D89" s="90"/>
      <c r="E89" s="57"/>
      <c r="F89" s="56"/>
      <c r="G89" s="90"/>
      <c r="H89" s="57"/>
      <c r="I89" s="56"/>
      <c r="K89" s="94"/>
      <c r="L89" s="57"/>
      <c r="M89" s="56"/>
      <c r="N89" s="90"/>
      <c r="O89" s="57"/>
      <c r="P89" s="56"/>
    </row>
    <row r="90" spans="4:27" ht="15.75" thickBot="1" x14ac:dyDescent="0.3">
      <c r="D90" s="90"/>
      <c r="E90" s="57"/>
      <c r="F90" s="56"/>
      <c r="G90" s="90"/>
      <c r="H90" s="57"/>
      <c r="I90" s="56"/>
      <c r="K90" s="94"/>
      <c r="L90" s="57"/>
      <c r="M90" s="56"/>
      <c r="N90" s="90"/>
      <c r="O90" s="57"/>
      <c r="P90" s="56"/>
    </row>
    <row r="91" spans="4:27" ht="15.75" thickBot="1" x14ac:dyDescent="0.3">
      <c r="D91" s="90"/>
      <c r="E91" s="57"/>
      <c r="F91" s="56"/>
      <c r="G91" s="90"/>
      <c r="H91" s="57"/>
      <c r="I91" s="56"/>
      <c r="K91" s="94"/>
      <c r="L91" s="57"/>
      <c r="M91" s="56"/>
      <c r="N91" s="90"/>
      <c r="O91" s="57"/>
      <c r="P91" s="56"/>
    </row>
    <row r="92" spans="4:27" ht="15.75" thickBot="1" x14ac:dyDescent="0.3">
      <c r="D92" s="90"/>
      <c r="E92" s="57"/>
      <c r="F92" s="56"/>
      <c r="G92" s="90"/>
      <c r="H92" s="57"/>
      <c r="I92" s="56"/>
      <c r="K92" s="90"/>
      <c r="L92" s="57"/>
      <c r="M92" s="56"/>
      <c r="N92" s="90"/>
      <c r="O92" s="57"/>
      <c r="P92" s="56"/>
    </row>
    <row r="93" spans="4:27" ht="15.75" thickBot="1" x14ac:dyDescent="0.3">
      <c r="D93" s="90"/>
      <c r="E93" s="57"/>
      <c r="F93" s="56"/>
      <c r="G93" s="90"/>
      <c r="H93" s="57"/>
      <c r="I93" s="56"/>
      <c r="K93" s="90"/>
      <c r="L93" s="57"/>
      <c r="M93" s="56"/>
      <c r="N93" s="90"/>
      <c r="O93" s="57"/>
      <c r="P93" s="56"/>
    </row>
    <row r="94" spans="4:27" ht="15.75" thickBot="1" x14ac:dyDescent="0.3">
      <c r="D94" s="91"/>
      <c r="E94" s="57"/>
      <c r="F94" s="56"/>
      <c r="G94" s="91"/>
      <c r="H94" s="57"/>
      <c r="I94" s="56"/>
      <c r="K94" s="91"/>
      <c r="L94" s="57"/>
      <c r="M94" s="56"/>
      <c r="N94" s="91"/>
      <c r="O94" s="57"/>
      <c r="P94" s="56"/>
    </row>
    <row r="95" spans="4:27" ht="15.75" thickBot="1" x14ac:dyDescent="0.3"/>
    <row r="96" spans="4:27" ht="15.75" thickBot="1" x14ac:dyDescent="0.3">
      <c r="D96" s="46" t="s">
        <v>112</v>
      </c>
      <c r="E96" s="47"/>
      <c r="F96" s="47"/>
      <c r="G96" s="47"/>
      <c r="H96" s="48"/>
      <c r="K96" s="46" t="s">
        <v>113</v>
      </c>
      <c r="L96" s="47"/>
      <c r="M96" s="47"/>
      <c r="N96" s="47"/>
      <c r="O96" s="48"/>
    </row>
    <row r="97" spans="4:16" ht="15.75" thickBot="1" x14ac:dyDescent="0.3">
      <c r="D97" s="90" t="s">
        <v>110</v>
      </c>
      <c r="E97" s="57"/>
      <c r="F97" s="56"/>
      <c r="G97" s="90" t="s">
        <v>111</v>
      </c>
      <c r="H97" s="57"/>
      <c r="I97" s="56"/>
      <c r="K97" s="90" t="s">
        <v>110</v>
      </c>
      <c r="L97" s="57" t="s">
        <v>33</v>
      </c>
      <c r="M97" s="56" t="s">
        <v>93</v>
      </c>
      <c r="N97" s="90" t="s">
        <v>111</v>
      </c>
      <c r="O97" s="57" t="s">
        <v>33</v>
      </c>
      <c r="P97" s="56" t="s">
        <v>91</v>
      </c>
    </row>
    <row r="98" spans="4:16" ht="15.75" thickBot="1" x14ac:dyDescent="0.3">
      <c r="D98" s="90"/>
      <c r="E98" s="57"/>
      <c r="F98" s="56"/>
      <c r="G98" s="90"/>
      <c r="H98" s="57"/>
      <c r="I98" s="56"/>
      <c r="K98" s="90"/>
      <c r="L98" s="57" t="s">
        <v>34</v>
      </c>
      <c r="M98" s="56" t="s">
        <v>93</v>
      </c>
      <c r="N98" s="90"/>
      <c r="O98" s="57" t="s">
        <v>35</v>
      </c>
      <c r="P98" s="56" t="s">
        <v>93</v>
      </c>
    </row>
    <row r="99" spans="4:16" ht="15.75" thickBot="1" x14ac:dyDescent="0.3">
      <c r="D99" s="90"/>
      <c r="E99" s="57"/>
      <c r="F99" s="56"/>
      <c r="G99" s="90"/>
      <c r="H99" s="57"/>
      <c r="I99" s="56"/>
      <c r="K99" s="90"/>
      <c r="L99" s="57" t="s">
        <v>35</v>
      </c>
      <c r="M99" s="56" t="s">
        <v>93</v>
      </c>
      <c r="N99" s="90"/>
      <c r="O99" s="57" t="s">
        <v>36</v>
      </c>
      <c r="P99" s="56" t="s">
        <v>118</v>
      </c>
    </row>
    <row r="100" spans="4:16" ht="15.75" thickBot="1" x14ac:dyDescent="0.3">
      <c r="D100" s="90"/>
      <c r="E100" s="57"/>
      <c r="F100" s="56"/>
      <c r="G100" s="90"/>
      <c r="H100" s="57"/>
      <c r="I100" s="56"/>
      <c r="K100" s="90"/>
      <c r="L100" s="57" t="s">
        <v>36</v>
      </c>
      <c r="M100" s="56" t="s">
        <v>93</v>
      </c>
      <c r="N100" s="90"/>
      <c r="O100" s="57" t="s">
        <v>37</v>
      </c>
      <c r="P100" s="56" t="s">
        <v>118</v>
      </c>
    </row>
    <row r="101" spans="4:16" ht="15.75" thickBot="1" x14ac:dyDescent="0.3">
      <c r="D101" s="90"/>
      <c r="E101" s="57"/>
      <c r="F101" s="56"/>
      <c r="G101" s="90"/>
      <c r="H101" s="57"/>
      <c r="I101" s="56"/>
      <c r="K101" s="90"/>
      <c r="L101" s="57" t="s">
        <v>37</v>
      </c>
      <c r="M101" s="56" t="s">
        <v>93</v>
      </c>
      <c r="N101" s="90"/>
      <c r="O101" s="57" t="s">
        <v>54</v>
      </c>
      <c r="P101" s="56" t="s">
        <v>118</v>
      </c>
    </row>
    <row r="102" spans="4:16" ht="15.75" thickBot="1" x14ac:dyDescent="0.3">
      <c r="D102" s="90"/>
      <c r="E102" s="57"/>
      <c r="F102" s="56"/>
      <c r="G102" s="90"/>
      <c r="H102" s="57"/>
      <c r="I102" s="56"/>
      <c r="K102" s="90"/>
      <c r="L102" s="57" t="s">
        <v>54</v>
      </c>
      <c r="M102" s="56" t="s">
        <v>93</v>
      </c>
      <c r="N102" s="90"/>
      <c r="O102" s="57" t="s">
        <v>55</v>
      </c>
      <c r="P102" s="56" t="s">
        <v>103</v>
      </c>
    </row>
    <row r="103" spans="4:16" ht="15.75" thickBot="1" x14ac:dyDescent="0.3">
      <c r="D103" s="90"/>
      <c r="E103" s="57"/>
      <c r="F103" s="56"/>
      <c r="G103" s="90"/>
      <c r="H103" s="57"/>
      <c r="I103" s="56"/>
      <c r="K103" s="90"/>
      <c r="L103" s="57"/>
      <c r="M103" s="56"/>
      <c r="N103" s="90"/>
      <c r="O103" s="57" t="s">
        <v>38</v>
      </c>
      <c r="P103" s="56" t="s">
        <v>93</v>
      </c>
    </row>
    <row r="104" spans="4:16" ht="15.75" thickBot="1" x14ac:dyDescent="0.3">
      <c r="D104" s="91"/>
      <c r="E104" s="57"/>
      <c r="F104" s="56"/>
      <c r="G104" s="91"/>
      <c r="H104" s="57"/>
      <c r="I104" s="56"/>
      <c r="K104" s="91"/>
      <c r="L104" s="57"/>
      <c r="M104" s="56"/>
      <c r="N104" s="91"/>
      <c r="O104" s="57"/>
      <c r="P104" s="56"/>
    </row>
    <row r="105" spans="4:16" ht="15.75" thickBot="1" x14ac:dyDescent="0.3"/>
    <row r="106" spans="4:16" ht="15.75" thickBot="1" x14ac:dyDescent="0.3">
      <c r="D106" s="46" t="s">
        <v>114</v>
      </c>
      <c r="E106" s="47"/>
      <c r="F106" s="86"/>
      <c r="G106" s="86"/>
      <c r="H106" s="87"/>
      <c r="K106" s="46" t="s">
        <v>127</v>
      </c>
      <c r="L106" s="47"/>
      <c r="M106" s="47"/>
      <c r="N106" s="48"/>
    </row>
    <row r="107" spans="4:16" ht="15.75" customHeight="1" thickBot="1" x14ac:dyDescent="0.3">
      <c r="D107" s="84" t="s">
        <v>123</v>
      </c>
      <c r="E107" s="85"/>
      <c r="F107" s="92"/>
      <c r="G107" s="88"/>
      <c r="H107" s="92"/>
      <c r="I107" s="88"/>
      <c r="K107" s="84" t="s">
        <v>123</v>
      </c>
      <c r="L107" s="85" t="s">
        <v>103</v>
      </c>
      <c r="M107" s="92"/>
      <c r="N107" s="88"/>
      <c r="O107" s="92"/>
      <c r="P107" s="88"/>
    </row>
    <row r="108" spans="4:16" ht="15.75" thickBot="1" x14ac:dyDescent="0.3">
      <c r="D108" s="84" t="s">
        <v>120</v>
      </c>
      <c r="E108" s="85"/>
      <c r="F108" s="92"/>
      <c r="G108" s="88"/>
      <c r="H108" s="92"/>
      <c r="I108" s="88"/>
      <c r="K108" s="84" t="s">
        <v>120</v>
      </c>
      <c r="L108" s="85" t="s">
        <v>91</v>
      </c>
      <c r="M108" s="92"/>
      <c r="N108" s="88"/>
      <c r="O108" s="92"/>
      <c r="P108" s="88"/>
    </row>
    <row r="109" spans="4:16" ht="15.75" thickBot="1" x14ac:dyDescent="0.3">
      <c r="D109" s="84" t="s">
        <v>121</v>
      </c>
      <c r="E109" s="85" t="s">
        <v>102</v>
      </c>
      <c r="F109" s="92"/>
      <c r="G109" s="88"/>
      <c r="H109" s="92"/>
      <c r="I109" s="88"/>
      <c r="K109" s="84" t="s">
        <v>121</v>
      </c>
      <c r="L109" s="85" t="s">
        <v>118</v>
      </c>
      <c r="M109" s="92"/>
      <c r="N109" s="88"/>
      <c r="O109" s="92"/>
      <c r="P109" s="88"/>
    </row>
    <row r="110" spans="4:16" x14ac:dyDescent="0.25">
      <c r="D110" s="84" t="s">
        <v>124</v>
      </c>
      <c r="E110" s="89"/>
      <c r="F110" s="92"/>
      <c r="G110" s="88"/>
      <c r="H110" s="92"/>
      <c r="I110" s="88"/>
      <c r="K110" s="84"/>
      <c r="L110" s="89"/>
      <c r="M110" s="92"/>
      <c r="N110" s="88"/>
      <c r="O110" s="92"/>
      <c r="P110" s="88"/>
    </row>
    <row r="111" spans="4:16" ht="15.75" thickBot="1" x14ac:dyDescent="0.3">
      <c r="D111" s="71"/>
      <c r="E111" s="88"/>
      <c r="F111" s="92"/>
      <c r="G111" s="88"/>
      <c r="H111" s="92"/>
      <c r="I111" s="88"/>
      <c r="K111" s="71"/>
      <c r="L111" s="88"/>
      <c r="M111" s="92"/>
      <c r="N111" s="88"/>
      <c r="O111" s="92"/>
      <c r="P111" s="88"/>
    </row>
    <row r="112" spans="4:16" ht="15.75" thickBot="1" x14ac:dyDescent="0.3">
      <c r="D112" s="46" t="s">
        <v>119</v>
      </c>
      <c r="E112" s="47"/>
      <c r="F112" s="47"/>
      <c r="G112" s="48"/>
      <c r="H112" s="4"/>
      <c r="J112" s="46" t="s">
        <v>122</v>
      </c>
      <c r="K112" s="47"/>
      <c r="L112" s="47"/>
      <c r="M112" s="48"/>
      <c r="N112" s="4"/>
      <c r="O112" s="4"/>
    </row>
    <row r="113" spans="4:16" ht="15.75" customHeight="1" thickBot="1" x14ac:dyDescent="0.3">
      <c r="D113" s="72" t="s">
        <v>120</v>
      </c>
      <c r="E113" s="54"/>
      <c r="G113" s="71"/>
      <c r="J113" s="72" t="s">
        <v>120</v>
      </c>
      <c r="K113" s="54"/>
      <c r="N113" s="92"/>
    </row>
    <row r="114" spans="4:16" ht="15.75" thickBot="1" x14ac:dyDescent="0.3">
      <c r="D114" s="72" t="s">
        <v>121</v>
      </c>
      <c r="E114" s="54"/>
      <c r="G114" s="71"/>
      <c r="H114" s="58"/>
      <c r="J114" s="72" t="s">
        <v>121</v>
      </c>
      <c r="K114" s="54"/>
      <c r="L114" s="58"/>
      <c r="M114" s="58"/>
      <c r="N114" s="92"/>
      <c r="O114" s="58"/>
      <c r="P114" s="58"/>
    </row>
    <row r="115" spans="4:16" ht="15.75" thickBot="1" x14ac:dyDescent="0.3">
      <c r="D115" s="71"/>
      <c r="E115" s="58"/>
      <c r="F115" s="58"/>
      <c r="G115" s="71"/>
      <c r="H115" s="58"/>
      <c r="K115" s="71"/>
      <c r="L115" s="58"/>
      <c r="M115" s="58"/>
      <c r="N115" s="92"/>
      <c r="O115" s="58"/>
      <c r="P115" s="58"/>
    </row>
    <row r="116" spans="4:16" ht="15.75" thickBot="1" x14ac:dyDescent="0.3">
      <c r="D116" s="73" t="s">
        <v>125</v>
      </c>
      <c r="E116" s="74"/>
      <c r="F116" s="74"/>
      <c r="G116" s="75"/>
      <c r="H116" s="58"/>
      <c r="K116" s="71"/>
      <c r="N116" s="92"/>
      <c r="O116" s="58"/>
      <c r="P116" s="58"/>
    </row>
    <row r="117" spans="4:16" ht="15.75" thickBot="1" x14ac:dyDescent="0.3">
      <c r="D117" s="72" t="s">
        <v>126</v>
      </c>
      <c r="E117" s="54"/>
      <c r="G117" s="71"/>
      <c r="H117" s="58"/>
      <c r="K117" s="71"/>
      <c r="N117" s="92"/>
      <c r="O117" s="58"/>
      <c r="P117" s="58"/>
    </row>
    <row r="118" spans="4:16" ht="15.75" thickBot="1" x14ac:dyDescent="0.3">
      <c r="D118" s="72" t="s">
        <v>123</v>
      </c>
      <c r="E118" s="54"/>
      <c r="G118" s="71"/>
      <c r="H118" s="58"/>
      <c r="K118" s="71"/>
      <c r="N118" s="92"/>
      <c r="O118" s="58"/>
      <c r="P118" s="58"/>
    </row>
    <row r="119" spans="4:16" ht="15.75" thickBot="1" x14ac:dyDescent="0.3">
      <c r="D119" s="72"/>
      <c r="E119" s="54"/>
      <c r="G119" s="71"/>
      <c r="K119" s="71"/>
      <c r="N119" s="92"/>
    </row>
    <row r="120" spans="4:16" ht="15.75" thickBot="1" x14ac:dyDescent="0.3">
      <c r="D120" s="72"/>
      <c r="E120" s="72"/>
      <c r="G120" s="71"/>
      <c r="K120" s="71"/>
      <c r="N120" s="92"/>
    </row>
    <row r="121" spans="4:16" ht="15.75" thickBot="1" x14ac:dyDescent="0.3">
      <c r="D121" s="72"/>
      <c r="E121" s="72"/>
      <c r="G121" s="71"/>
    </row>
    <row r="122" spans="4:16" ht="15.75" thickBot="1" x14ac:dyDescent="0.3"/>
    <row r="123" spans="4:16" ht="15.75" thickBot="1" x14ac:dyDescent="0.3">
      <c r="D123" s="73"/>
      <c r="E123" s="74"/>
      <c r="F123" s="74"/>
      <c r="G123" s="75"/>
    </row>
    <row r="124" spans="4:16" ht="15.75" thickBot="1" x14ac:dyDescent="0.3">
      <c r="D124" s="72"/>
      <c r="E124" s="72"/>
      <c r="G124" s="71"/>
    </row>
    <row r="125" spans="4:16" ht="15.75" thickBot="1" x14ac:dyDescent="0.3">
      <c r="D125" s="72"/>
      <c r="E125" s="72"/>
      <c r="G125" s="71"/>
    </row>
    <row r="126" spans="4:16" ht="15.75" thickBot="1" x14ac:dyDescent="0.3">
      <c r="G126" s="71"/>
    </row>
    <row r="127" spans="4:16" ht="15.75" thickBot="1" x14ac:dyDescent="0.3">
      <c r="D127" s="73"/>
      <c r="E127" s="74"/>
      <c r="F127" s="74"/>
      <c r="G127" s="75"/>
    </row>
    <row r="128" spans="4:16" ht="15.75" thickBot="1" x14ac:dyDescent="0.3">
      <c r="D128" s="72"/>
      <c r="E128" s="72"/>
      <c r="G128" s="71"/>
    </row>
    <row r="129" spans="4:7" ht="15.75" thickBot="1" x14ac:dyDescent="0.3">
      <c r="D129" s="72"/>
      <c r="E129" s="72"/>
      <c r="G129" s="71"/>
    </row>
  </sheetData>
  <mergeCells count="37">
    <mergeCell ref="O107:O111"/>
    <mergeCell ref="A40:A64"/>
    <mergeCell ref="U40:U64"/>
    <mergeCell ref="A35:AI35"/>
    <mergeCell ref="W37:AM37"/>
    <mergeCell ref="W38:AM38"/>
    <mergeCell ref="C37:S37"/>
    <mergeCell ref="C38:S38"/>
    <mergeCell ref="D76:D83"/>
    <mergeCell ref="I67:J67"/>
    <mergeCell ref="I68:J68"/>
    <mergeCell ref="I70:J70"/>
    <mergeCell ref="AC67:AD67"/>
    <mergeCell ref="AC68:AD68"/>
    <mergeCell ref="AC70:AD70"/>
    <mergeCell ref="K76:K83"/>
    <mergeCell ref="C1:AJ1"/>
    <mergeCell ref="A6:A30"/>
    <mergeCell ref="U6:U30"/>
    <mergeCell ref="W3:AM3"/>
    <mergeCell ref="W4:AM4"/>
    <mergeCell ref="C3:S3"/>
    <mergeCell ref="C4:S4"/>
    <mergeCell ref="H107:H111"/>
    <mergeCell ref="G76:G83"/>
    <mergeCell ref="N76:N83"/>
    <mergeCell ref="N113:N120"/>
    <mergeCell ref="K87:K94"/>
    <mergeCell ref="K97:K104"/>
    <mergeCell ref="N87:N94"/>
    <mergeCell ref="N97:N104"/>
    <mergeCell ref="M107:M111"/>
    <mergeCell ref="D87:D94"/>
    <mergeCell ref="D97:D104"/>
    <mergeCell ref="G87:G94"/>
    <mergeCell ref="G97:G104"/>
    <mergeCell ref="F107:F111"/>
  </mergeCells>
  <pageMargins left="0.25" right="0.25" top="0.75" bottom="0.75" header="0.3" footer="0.3"/>
  <pageSetup scale="38" orientation="landscape" r:id="rId1"/>
  <ignoredErrors>
    <ignoredError sqref="B6:B11 B12:B30 C5:O5 V6:V29 W5:AI5 B57:K64 C39:O39 V55:V63 W39:AI39 B40:B53 V40:V54 P5:S5 AJ5:AM5 P39:S39 AJ39:AM39 AJ56:AM63 B54:B56 E81:P83 E91:P96 F113:J114 E110:E111 G76 G77 J76:K76 J77:K77 E78:G78 J78:K78 E79:K80 N79:P80 N76 N77 N78:O78 G89:N89 G87 J87:N87 G88 J88:N88 E90:N90 E104:P104 G97:G98 E99:G103 J103:N103 J98:K98 J97 N98 J99:K99 N99 J100:K100 N100 J101:K101 N101 J102:K102 N102" numberStoredAsText="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pageSetUpPr fitToPage="1"/>
  </sheetPr>
  <dimension ref="A1:AO74"/>
  <sheetViews>
    <sheetView zoomScaleNormal="100" workbookViewId="0">
      <selection activeCell="C6" sqref="C6"/>
    </sheetView>
  </sheetViews>
  <sheetFormatPr baseColWidth="10" defaultColWidth="11.42578125" defaultRowHeight="15" x14ac:dyDescent="0.25"/>
  <cols>
    <col min="1" max="1" width="5.7109375" customWidth="1"/>
    <col min="2" max="2" width="5.28515625" bestFit="1" customWidth="1"/>
    <col min="3" max="3" width="4.5703125" bestFit="1" customWidth="1"/>
    <col min="4" max="13" width="5.28515625" bestFit="1" customWidth="1"/>
    <col min="14" max="17" width="5.28515625" customWidth="1"/>
    <col min="18" max="19" width="5.28515625" bestFit="1" customWidth="1"/>
    <col min="20" max="20" width="0.7109375" customWidth="1"/>
    <col min="21" max="21" width="5.85546875" customWidth="1"/>
    <col min="22" max="22" width="5.5703125" bestFit="1" customWidth="1"/>
    <col min="23" max="23" width="4.5703125" bestFit="1" customWidth="1"/>
    <col min="24" max="35" width="5.28515625" bestFit="1" customWidth="1"/>
    <col min="36" max="37" width="5.28515625" customWidth="1"/>
    <col min="38" max="39" width="5.28515625" bestFit="1" customWidth="1"/>
  </cols>
  <sheetData>
    <row r="1" spans="1:39" ht="23.25" x14ac:dyDescent="0.25">
      <c r="A1" s="4"/>
      <c r="B1" s="4"/>
      <c r="C1" s="95" t="s">
        <v>53</v>
      </c>
      <c r="D1" s="95"/>
      <c r="E1" s="95"/>
      <c r="F1" s="95"/>
      <c r="G1" s="95"/>
      <c r="H1" s="95"/>
      <c r="I1" s="95"/>
      <c r="J1" s="95"/>
      <c r="K1" s="95"/>
      <c r="L1" s="95"/>
      <c r="M1" s="95"/>
      <c r="N1" s="95"/>
      <c r="O1" s="95"/>
      <c r="P1" s="95"/>
      <c r="Q1" s="95"/>
      <c r="R1" s="95"/>
      <c r="S1" s="95"/>
      <c r="T1" s="95"/>
      <c r="U1" s="95"/>
      <c r="V1" s="95"/>
      <c r="W1" s="95"/>
      <c r="X1" s="95"/>
      <c r="Y1" s="95"/>
      <c r="Z1" s="95"/>
      <c r="AA1" s="95"/>
      <c r="AB1" s="95"/>
      <c r="AC1" s="95"/>
      <c r="AD1" s="95"/>
      <c r="AE1" s="95"/>
      <c r="AF1" s="95"/>
      <c r="AG1" s="95"/>
      <c r="AH1" s="95"/>
      <c r="AI1" s="95"/>
      <c r="AJ1" s="95"/>
      <c r="AK1" s="9"/>
    </row>
    <row r="2" spans="1:39" x14ac:dyDescent="0.25">
      <c r="A2" s="4"/>
      <c r="B2" s="4"/>
      <c r="C2" s="4"/>
      <c r="D2" s="4"/>
      <c r="E2" s="4"/>
      <c r="F2" s="4"/>
      <c r="G2" s="4"/>
      <c r="H2" s="4"/>
      <c r="I2" s="4"/>
      <c r="J2" s="4"/>
      <c r="K2" s="4"/>
      <c r="L2" s="4"/>
      <c r="M2" s="4"/>
      <c r="N2" s="4"/>
      <c r="O2" s="4"/>
      <c r="P2" s="4"/>
      <c r="Q2" s="4"/>
      <c r="R2" s="4"/>
      <c r="S2" s="4"/>
      <c r="T2" s="4"/>
      <c r="U2" s="4"/>
      <c r="V2" s="4"/>
      <c r="W2" s="4"/>
      <c r="X2" s="4"/>
      <c r="Y2" s="4"/>
      <c r="Z2" s="4"/>
      <c r="AA2" s="4"/>
      <c r="AB2" s="4"/>
      <c r="AC2" s="4"/>
      <c r="AD2" s="4"/>
      <c r="AE2" s="4"/>
      <c r="AF2" s="4"/>
      <c r="AG2" s="4"/>
      <c r="AH2" s="4"/>
      <c r="AI2" s="4"/>
      <c r="AJ2" s="4"/>
      <c r="AK2" s="9"/>
    </row>
    <row r="3" spans="1:39" ht="36" x14ac:dyDescent="0.25">
      <c r="A3" s="4"/>
      <c r="B3" s="5"/>
      <c r="C3" s="97" t="s">
        <v>1</v>
      </c>
      <c r="D3" s="97"/>
      <c r="E3" s="97"/>
      <c r="F3" s="97"/>
      <c r="G3" s="97"/>
      <c r="H3" s="97"/>
      <c r="I3" s="97"/>
      <c r="J3" s="97"/>
      <c r="K3" s="97"/>
      <c r="L3" s="97"/>
      <c r="M3" s="97"/>
      <c r="N3" s="97"/>
      <c r="O3" s="97"/>
      <c r="P3" s="97"/>
      <c r="Q3" s="97"/>
      <c r="R3" s="97"/>
      <c r="S3" s="97"/>
      <c r="T3" s="4"/>
      <c r="U3" s="4"/>
      <c r="V3" s="4"/>
      <c r="W3" s="97" t="s">
        <v>1</v>
      </c>
      <c r="X3" s="97"/>
      <c r="Y3" s="97"/>
      <c r="Z3" s="97"/>
      <c r="AA3" s="97"/>
      <c r="AB3" s="97"/>
      <c r="AC3" s="97"/>
      <c r="AD3" s="97"/>
      <c r="AE3" s="97"/>
      <c r="AF3" s="97"/>
      <c r="AG3" s="97"/>
      <c r="AH3" s="97"/>
      <c r="AI3" s="97"/>
      <c r="AJ3" s="4"/>
      <c r="AK3" s="9"/>
    </row>
    <row r="4" spans="1:39" ht="15.75" x14ac:dyDescent="0.25">
      <c r="A4" s="4"/>
      <c r="B4" s="5"/>
      <c r="C4" s="98" t="s">
        <v>52</v>
      </c>
      <c r="D4" s="98"/>
      <c r="E4" s="98"/>
      <c r="F4" s="98"/>
      <c r="G4" s="98"/>
      <c r="H4" s="98"/>
      <c r="I4" s="98"/>
      <c r="J4" s="98"/>
      <c r="K4" s="98"/>
      <c r="L4" s="98"/>
      <c r="M4" s="98"/>
      <c r="N4" s="98"/>
      <c r="O4" s="98"/>
      <c r="P4" s="98"/>
      <c r="Q4" s="98"/>
      <c r="R4" s="98"/>
      <c r="S4" s="98"/>
      <c r="T4" s="4"/>
      <c r="U4" s="4"/>
      <c r="V4" s="4"/>
      <c r="W4" s="98" t="s">
        <v>52</v>
      </c>
      <c r="X4" s="98"/>
      <c r="Y4" s="98"/>
      <c r="Z4" s="98"/>
      <c r="AA4" s="98"/>
      <c r="AB4" s="98"/>
      <c r="AC4" s="98"/>
      <c r="AD4" s="98"/>
      <c r="AE4" s="98"/>
      <c r="AF4" s="98"/>
      <c r="AG4" s="98"/>
      <c r="AH4" s="98"/>
      <c r="AI4" s="98"/>
      <c r="AJ4" s="4"/>
      <c r="AK4" s="9"/>
    </row>
    <row r="5" spans="1:39" ht="15.75" x14ac:dyDescent="0.25">
      <c r="A5" s="6" t="s">
        <v>52</v>
      </c>
      <c r="B5" s="28"/>
      <c r="C5" s="3" t="s">
        <v>2</v>
      </c>
      <c r="D5" s="3" t="s">
        <v>3</v>
      </c>
      <c r="E5" s="3" t="s">
        <v>4</v>
      </c>
      <c r="F5" s="3" t="s">
        <v>5</v>
      </c>
      <c r="G5" s="3" t="s">
        <v>6</v>
      </c>
      <c r="H5" s="3" t="s">
        <v>7</v>
      </c>
      <c r="I5" s="3" t="s">
        <v>8</v>
      </c>
      <c r="J5" s="3" t="s">
        <v>9</v>
      </c>
      <c r="K5" s="3" t="s">
        <v>10</v>
      </c>
      <c r="L5" s="3" t="s">
        <v>11</v>
      </c>
      <c r="M5" s="3" t="s">
        <v>25</v>
      </c>
      <c r="N5" s="3" t="s">
        <v>26</v>
      </c>
      <c r="O5" s="3" t="s">
        <v>12</v>
      </c>
      <c r="P5" s="3" t="s">
        <v>13</v>
      </c>
      <c r="Q5" s="3" t="s">
        <v>14</v>
      </c>
      <c r="R5" s="3" t="s">
        <v>15</v>
      </c>
      <c r="S5" s="3" t="s">
        <v>16</v>
      </c>
      <c r="T5" s="4"/>
      <c r="U5" s="6" t="s">
        <v>51</v>
      </c>
      <c r="V5" s="28"/>
      <c r="W5" s="3" t="s">
        <v>2</v>
      </c>
      <c r="X5" s="3" t="s">
        <v>3</v>
      </c>
      <c r="Y5" s="3" t="s">
        <v>4</v>
      </c>
      <c r="Z5" s="3" t="s">
        <v>5</v>
      </c>
      <c r="AA5" s="3" t="s">
        <v>6</v>
      </c>
      <c r="AB5" s="3" t="s">
        <v>7</v>
      </c>
      <c r="AC5" s="3" t="s">
        <v>8</v>
      </c>
      <c r="AD5" s="3" t="s">
        <v>9</v>
      </c>
      <c r="AE5" s="3" t="s">
        <v>10</v>
      </c>
      <c r="AF5" s="3" t="s">
        <v>11</v>
      </c>
      <c r="AG5" s="3" t="s">
        <v>25</v>
      </c>
      <c r="AH5" s="3" t="s">
        <v>26</v>
      </c>
      <c r="AI5" s="3" t="s">
        <v>12</v>
      </c>
      <c r="AJ5" s="3" t="s">
        <v>13</v>
      </c>
      <c r="AK5" s="3" t="s">
        <v>14</v>
      </c>
      <c r="AL5" s="3" t="s">
        <v>15</v>
      </c>
      <c r="AM5" s="3" t="s">
        <v>16</v>
      </c>
    </row>
    <row r="6" spans="1:39" x14ac:dyDescent="0.25">
      <c r="A6" s="96" t="s">
        <v>0</v>
      </c>
      <c r="B6" s="3" t="s">
        <v>2</v>
      </c>
      <c r="C6" s="23">
        <v>12</v>
      </c>
      <c r="D6" s="23">
        <v>14</v>
      </c>
      <c r="E6" s="23">
        <v>13</v>
      </c>
      <c r="F6" s="23">
        <v>12</v>
      </c>
      <c r="G6" s="23">
        <v>15</v>
      </c>
      <c r="H6" s="23">
        <v>7</v>
      </c>
      <c r="I6" s="23">
        <v>7</v>
      </c>
      <c r="J6" s="23">
        <v>7</v>
      </c>
      <c r="K6" s="61">
        <v>7</v>
      </c>
      <c r="L6" s="59">
        <v>8</v>
      </c>
      <c r="M6" s="23">
        <v>8</v>
      </c>
      <c r="N6" s="23">
        <v>8</v>
      </c>
      <c r="O6" s="23">
        <v>8</v>
      </c>
      <c r="P6" s="23">
        <v>8</v>
      </c>
      <c r="Q6" s="23">
        <v>8</v>
      </c>
      <c r="R6" s="25">
        <v>8</v>
      </c>
      <c r="S6" s="25">
        <v>6</v>
      </c>
      <c r="T6" s="26"/>
      <c r="U6" s="96" t="s">
        <v>0</v>
      </c>
      <c r="V6" s="3" t="s">
        <v>29</v>
      </c>
      <c r="W6" s="25">
        <v>5</v>
      </c>
      <c r="X6" s="25">
        <v>3</v>
      </c>
      <c r="Y6" s="25">
        <v>5</v>
      </c>
      <c r="Z6" s="25">
        <v>5</v>
      </c>
      <c r="AA6" s="25">
        <v>5</v>
      </c>
      <c r="AB6" s="25">
        <v>5</v>
      </c>
      <c r="AC6" s="25">
        <v>5</v>
      </c>
      <c r="AD6" s="25">
        <v>5</v>
      </c>
      <c r="AE6" s="67">
        <v>5</v>
      </c>
      <c r="AF6" s="63">
        <v>4</v>
      </c>
      <c r="AG6" s="25">
        <v>3</v>
      </c>
      <c r="AH6" s="25">
        <v>3</v>
      </c>
      <c r="AI6" s="25">
        <v>3</v>
      </c>
      <c r="AJ6" s="23">
        <v>3</v>
      </c>
      <c r="AK6" s="23">
        <v>3</v>
      </c>
      <c r="AL6" s="25">
        <v>3</v>
      </c>
      <c r="AM6" s="25">
        <v>3</v>
      </c>
    </row>
    <row r="7" spans="1:39" x14ac:dyDescent="0.25">
      <c r="A7" s="96"/>
      <c r="B7" s="3" t="s">
        <v>3</v>
      </c>
      <c r="C7" s="2">
        <v>14</v>
      </c>
      <c r="D7" s="2">
        <v>14</v>
      </c>
      <c r="E7" s="2">
        <v>12</v>
      </c>
      <c r="F7" s="2">
        <v>13</v>
      </c>
      <c r="G7" s="2">
        <v>16</v>
      </c>
      <c r="H7" s="2">
        <v>8</v>
      </c>
      <c r="I7" s="2">
        <v>6</v>
      </c>
      <c r="J7" s="2">
        <v>6</v>
      </c>
      <c r="K7" s="62">
        <v>6</v>
      </c>
      <c r="L7" s="60">
        <v>4</v>
      </c>
      <c r="M7" s="2">
        <v>4</v>
      </c>
      <c r="N7" s="2">
        <v>4</v>
      </c>
      <c r="O7" s="2">
        <v>4</v>
      </c>
      <c r="P7" s="2">
        <v>4</v>
      </c>
      <c r="Q7" s="2">
        <v>4</v>
      </c>
      <c r="R7" s="8">
        <v>4</v>
      </c>
      <c r="S7" s="8">
        <v>4</v>
      </c>
      <c r="T7" s="4"/>
      <c r="U7" s="96"/>
      <c r="V7" s="3" t="s">
        <v>30</v>
      </c>
      <c r="W7" s="8">
        <v>6</v>
      </c>
      <c r="X7" s="8">
        <v>3</v>
      </c>
      <c r="Y7" s="8"/>
      <c r="Z7" s="8">
        <v>5</v>
      </c>
      <c r="AA7" s="8">
        <v>5</v>
      </c>
      <c r="AB7" s="8">
        <v>5</v>
      </c>
      <c r="AC7" s="8">
        <v>5</v>
      </c>
      <c r="AD7" s="8">
        <v>5</v>
      </c>
      <c r="AE7" s="68">
        <v>5</v>
      </c>
      <c r="AF7" s="64">
        <v>3</v>
      </c>
      <c r="AG7" s="8">
        <v>3</v>
      </c>
      <c r="AH7" s="8">
        <v>3</v>
      </c>
      <c r="AI7" s="8">
        <v>3</v>
      </c>
      <c r="AJ7" s="2">
        <v>3</v>
      </c>
      <c r="AK7" s="2">
        <v>3</v>
      </c>
      <c r="AL7" s="8">
        <v>3</v>
      </c>
      <c r="AM7" s="8">
        <v>2</v>
      </c>
    </row>
    <row r="8" spans="1:39" x14ac:dyDescent="0.25">
      <c r="A8" s="96"/>
      <c r="B8" s="3" t="s">
        <v>4</v>
      </c>
      <c r="C8" s="23">
        <v>15</v>
      </c>
      <c r="D8" s="23">
        <v>16</v>
      </c>
      <c r="E8" s="23">
        <v>11</v>
      </c>
      <c r="F8" s="23">
        <v>16</v>
      </c>
      <c r="G8" s="23">
        <v>16</v>
      </c>
      <c r="H8" s="23">
        <v>6</v>
      </c>
      <c r="I8" s="23">
        <v>5</v>
      </c>
      <c r="J8" s="23">
        <v>6</v>
      </c>
      <c r="K8" s="61">
        <v>7</v>
      </c>
      <c r="L8" s="59">
        <v>4</v>
      </c>
      <c r="M8" s="23">
        <v>4</v>
      </c>
      <c r="N8" s="23">
        <v>4</v>
      </c>
      <c r="O8" s="23">
        <v>4</v>
      </c>
      <c r="P8" s="23">
        <v>4</v>
      </c>
      <c r="Q8" s="23">
        <v>4</v>
      </c>
      <c r="R8" s="25">
        <v>4</v>
      </c>
      <c r="S8" s="25">
        <v>4</v>
      </c>
      <c r="T8" s="4"/>
      <c r="U8" s="96"/>
      <c r="V8" s="3" t="s">
        <v>31</v>
      </c>
      <c r="W8" s="25">
        <v>5</v>
      </c>
      <c r="X8" s="25">
        <v>5</v>
      </c>
      <c r="Y8" s="25">
        <v>5</v>
      </c>
      <c r="Z8" s="25">
        <v>6</v>
      </c>
      <c r="AA8" s="25">
        <v>3</v>
      </c>
      <c r="AB8" s="25">
        <v>5</v>
      </c>
      <c r="AC8" s="25">
        <v>6</v>
      </c>
      <c r="AD8" s="25">
        <v>5</v>
      </c>
      <c r="AE8" s="67">
        <v>4</v>
      </c>
      <c r="AF8" s="63">
        <v>3</v>
      </c>
      <c r="AG8" s="25">
        <v>1</v>
      </c>
      <c r="AH8" s="25">
        <v>3</v>
      </c>
      <c r="AI8" s="25">
        <v>3</v>
      </c>
      <c r="AJ8" s="23">
        <v>3</v>
      </c>
      <c r="AK8" s="23">
        <v>2</v>
      </c>
      <c r="AL8" s="25">
        <v>3</v>
      </c>
      <c r="AM8" s="25">
        <v>3</v>
      </c>
    </row>
    <row r="9" spans="1:39" x14ac:dyDescent="0.25">
      <c r="A9" s="96"/>
      <c r="B9" s="3" t="s">
        <v>5</v>
      </c>
      <c r="C9" s="2">
        <v>13</v>
      </c>
      <c r="D9" s="2">
        <v>16</v>
      </c>
      <c r="E9" s="2">
        <v>15</v>
      </c>
      <c r="F9" s="2">
        <v>13</v>
      </c>
      <c r="G9" s="2">
        <v>16</v>
      </c>
      <c r="H9" s="2">
        <v>6</v>
      </c>
      <c r="I9" s="2">
        <v>6</v>
      </c>
      <c r="J9" s="2">
        <v>6</v>
      </c>
      <c r="K9" s="62">
        <v>5</v>
      </c>
      <c r="L9" s="60">
        <v>4</v>
      </c>
      <c r="M9" s="2">
        <v>5</v>
      </c>
      <c r="N9" s="2">
        <v>4</v>
      </c>
      <c r="O9" s="2">
        <v>5</v>
      </c>
      <c r="P9" s="2">
        <v>4</v>
      </c>
      <c r="Q9" s="2">
        <v>4</v>
      </c>
      <c r="R9" s="8">
        <v>4</v>
      </c>
      <c r="S9" s="8">
        <v>4</v>
      </c>
      <c r="T9" s="4"/>
      <c r="U9" s="96"/>
      <c r="V9" s="3" t="s">
        <v>32</v>
      </c>
      <c r="W9" s="8">
        <v>8</v>
      </c>
      <c r="X9" s="8">
        <v>5</v>
      </c>
      <c r="Y9" s="8">
        <v>5</v>
      </c>
      <c r="Z9" s="8">
        <v>3</v>
      </c>
      <c r="AA9" s="8">
        <v>5</v>
      </c>
      <c r="AB9" s="8">
        <v>5</v>
      </c>
      <c r="AC9" s="8">
        <v>5</v>
      </c>
      <c r="AD9" s="8">
        <v>5</v>
      </c>
      <c r="AE9" s="68">
        <v>5</v>
      </c>
      <c r="AF9" s="64">
        <v>3</v>
      </c>
      <c r="AG9" s="8">
        <v>3</v>
      </c>
      <c r="AH9" s="8">
        <v>3</v>
      </c>
      <c r="AI9" s="8">
        <v>3</v>
      </c>
      <c r="AJ9" s="2">
        <v>3</v>
      </c>
      <c r="AK9" s="2">
        <v>3</v>
      </c>
      <c r="AL9" s="8">
        <v>3</v>
      </c>
      <c r="AM9" s="8">
        <v>2</v>
      </c>
    </row>
    <row r="10" spans="1:39" x14ac:dyDescent="0.25">
      <c r="A10" s="96"/>
      <c r="B10" s="3" t="s">
        <v>6</v>
      </c>
      <c r="C10" s="23">
        <v>13</v>
      </c>
      <c r="D10" s="23">
        <v>16</v>
      </c>
      <c r="E10" s="23">
        <v>15</v>
      </c>
      <c r="F10" s="23">
        <v>13</v>
      </c>
      <c r="G10" s="23">
        <v>16</v>
      </c>
      <c r="H10" s="23">
        <v>6</v>
      </c>
      <c r="I10" s="23">
        <v>6</v>
      </c>
      <c r="J10" s="23">
        <v>6</v>
      </c>
      <c r="K10" s="61">
        <v>5</v>
      </c>
      <c r="L10" s="59">
        <v>4</v>
      </c>
      <c r="M10" s="23">
        <v>3</v>
      </c>
      <c r="N10" s="23">
        <v>4</v>
      </c>
      <c r="O10" s="23">
        <v>4</v>
      </c>
      <c r="P10" s="23">
        <v>4</v>
      </c>
      <c r="Q10" s="23">
        <v>4</v>
      </c>
      <c r="R10" s="25">
        <v>3</v>
      </c>
      <c r="S10" s="25">
        <v>4</v>
      </c>
      <c r="T10" s="4"/>
      <c r="U10" s="96"/>
      <c r="V10" s="3" t="s">
        <v>33</v>
      </c>
      <c r="W10" s="25">
        <v>1</v>
      </c>
      <c r="X10" s="25">
        <v>5</v>
      </c>
      <c r="Y10" s="25">
        <v>5</v>
      </c>
      <c r="Z10" s="25">
        <v>5</v>
      </c>
      <c r="AA10" s="25">
        <v>6</v>
      </c>
      <c r="AB10" s="25">
        <v>4</v>
      </c>
      <c r="AC10" s="25">
        <v>3</v>
      </c>
      <c r="AD10" s="25">
        <v>5</v>
      </c>
      <c r="AE10" s="67">
        <v>5</v>
      </c>
      <c r="AF10" s="63">
        <v>3</v>
      </c>
      <c r="AG10" s="25">
        <v>3</v>
      </c>
      <c r="AH10" s="25">
        <v>3</v>
      </c>
      <c r="AI10" s="25">
        <v>3</v>
      </c>
      <c r="AJ10" s="23">
        <v>3</v>
      </c>
      <c r="AK10" s="23">
        <v>3</v>
      </c>
      <c r="AL10" s="25">
        <v>3</v>
      </c>
      <c r="AM10" s="25">
        <v>3</v>
      </c>
    </row>
    <row r="11" spans="1:39" x14ac:dyDescent="0.25">
      <c r="A11" s="96"/>
      <c r="B11" s="3" t="s">
        <v>7</v>
      </c>
      <c r="C11" s="2">
        <v>8</v>
      </c>
      <c r="D11" s="2">
        <v>6</v>
      </c>
      <c r="E11" s="2">
        <v>6</v>
      </c>
      <c r="F11" s="2">
        <v>5</v>
      </c>
      <c r="G11" s="2">
        <v>6</v>
      </c>
      <c r="H11" s="2">
        <v>5</v>
      </c>
      <c r="I11" s="2">
        <v>5</v>
      </c>
      <c r="J11" s="2">
        <v>6</v>
      </c>
      <c r="K11" s="62">
        <v>6</v>
      </c>
      <c r="L11" s="60">
        <v>4</v>
      </c>
      <c r="M11" s="2">
        <v>4</v>
      </c>
      <c r="N11" s="2">
        <v>5</v>
      </c>
      <c r="O11" s="2">
        <v>4</v>
      </c>
      <c r="P11" s="2">
        <v>4</v>
      </c>
      <c r="Q11" s="2">
        <v>3</v>
      </c>
      <c r="R11" s="8">
        <v>4</v>
      </c>
      <c r="S11" s="8">
        <v>4</v>
      </c>
      <c r="T11" s="4"/>
      <c r="U11" s="96"/>
      <c r="V11" s="3" t="s">
        <v>34</v>
      </c>
      <c r="W11" s="8">
        <v>1</v>
      </c>
      <c r="X11" s="8">
        <v>5</v>
      </c>
      <c r="Y11" s="8">
        <v>3</v>
      </c>
      <c r="Z11" s="8">
        <v>5</v>
      </c>
      <c r="AA11" s="8">
        <v>2</v>
      </c>
      <c r="AB11" s="8">
        <v>4</v>
      </c>
      <c r="AC11" s="8">
        <v>4</v>
      </c>
      <c r="AD11" s="8">
        <v>5</v>
      </c>
      <c r="AE11" s="68">
        <v>5</v>
      </c>
      <c r="AF11" s="64">
        <v>3</v>
      </c>
      <c r="AG11" s="8">
        <v>3</v>
      </c>
      <c r="AH11" s="8">
        <v>3</v>
      </c>
      <c r="AI11" s="8">
        <v>3</v>
      </c>
      <c r="AJ11" s="2">
        <v>3</v>
      </c>
      <c r="AK11" s="2">
        <v>3</v>
      </c>
      <c r="AL11" s="8">
        <v>3</v>
      </c>
      <c r="AM11" s="8">
        <v>3</v>
      </c>
    </row>
    <row r="12" spans="1:39" x14ac:dyDescent="0.25">
      <c r="A12" s="96"/>
      <c r="B12" s="3" t="s">
        <v>8</v>
      </c>
      <c r="C12" s="23">
        <v>5</v>
      </c>
      <c r="D12" s="23">
        <v>6</v>
      </c>
      <c r="E12" s="23">
        <v>5</v>
      </c>
      <c r="F12" s="23">
        <v>6</v>
      </c>
      <c r="G12" s="23">
        <v>6</v>
      </c>
      <c r="H12" s="23">
        <v>6</v>
      </c>
      <c r="I12" s="23">
        <v>5</v>
      </c>
      <c r="J12" s="23">
        <v>7</v>
      </c>
      <c r="K12" s="61">
        <v>6</v>
      </c>
      <c r="L12" s="59">
        <v>4</v>
      </c>
      <c r="M12" s="23">
        <v>4</v>
      </c>
      <c r="N12" s="23">
        <v>4</v>
      </c>
      <c r="O12" s="23">
        <v>4</v>
      </c>
      <c r="P12" s="23">
        <v>4</v>
      </c>
      <c r="Q12" s="23">
        <v>4</v>
      </c>
      <c r="R12" s="23">
        <v>4</v>
      </c>
      <c r="S12" s="23">
        <v>4</v>
      </c>
      <c r="T12" s="4"/>
      <c r="U12" s="96"/>
      <c r="V12" s="3" t="s">
        <v>35</v>
      </c>
      <c r="W12" s="25"/>
      <c r="X12" s="25">
        <v>4</v>
      </c>
      <c r="Y12" s="25">
        <v>5</v>
      </c>
      <c r="Z12" s="25">
        <v>4</v>
      </c>
      <c r="AA12" s="25">
        <v>5</v>
      </c>
      <c r="AB12" s="25">
        <v>7</v>
      </c>
      <c r="AC12" s="25">
        <v>5</v>
      </c>
      <c r="AD12" s="25">
        <v>5</v>
      </c>
      <c r="AE12" s="67">
        <v>6</v>
      </c>
      <c r="AF12" s="63">
        <v>2</v>
      </c>
      <c r="AG12" s="25">
        <v>3</v>
      </c>
      <c r="AH12" s="25">
        <v>3</v>
      </c>
      <c r="AI12" s="25">
        <v>3</v>
      </c>
      <c r="AJ12" s="23">
        <v>4</v>
      </c>
      <c r="AK12" s="23">
        <v>3</v>
      </c>
      <c r="AL12" s="25">
        <v>3</v>
      </c>
      <c r="AM12" s="25">
        <v>3</v>
      </c>
    </row>
    <row r="13" spans="1:39" x14ac:dyDescent="0.25">
      <c r="A13" s="96"/>
      <c r="B13" s="3" t="s">
        <v>9</v>
      </c>
      <c r="C13" s="2">
        <v>7</v>
      </c>
      <c r="D13" s="2">
        <v>6</v>
      </c>
      <c r="E13" s="2">
        <v>6</v>
      </c>
      <c r="F13" s="2">
        <v>6</v>
      </c>
      <c r="G13" s="2">
        <v>6</v>
      </c>
      <c r="H13" s="2">
        <v>6</v>
      </c>
      <c r="I13" s="2">
        <v>6</v>
      </c>
      <c r="J13" s="2">
        <v>6</v>
      </c>
      <c r="K13" s="62">
        <v>6</v>
      </c>
      <c r="L13" s="60">
        <v>4</v>
      </c>
      <c r="M13" s="2">
        <v>4</v>
      </c>
      <c r="N13" s="2">
        <v>3</v>
      </c>
      <c r="O13" s="2">
        <v>4</v>
      </c>
      <c r="P13" s="2">
        <v>4</v>
      </c>
      <c r="Q13" s="2">
        <v>4</v>
      </c>
      <c r="R13" s="2">
        <v>4</v>
      </c>
      <c r="S13" s="2">
        <v>4</v>
      </c>
      <c r="T13" s="4"/>
      <c r="U13" s="96"/>
      <c r="V13" s="3" t="s">
        <v>36</v>
      </c>
      <c r="W13" s="8">
        <v>5</v>
      </c>
      <c r="X13" s="8">
        <v>5</v>
      </c>
      <c r="Y13" s="8">
        <v>4</v>
      </c>
      <c r="Z13" s="8">
        <v>5</v>
      </c>
      <c r="AA13" s="8">
        <v>4</v>
      </c>
      <c r="AB13" s="8">
        <v>3</v>
      </c>
      <c r="AC13" s="8">
        <v>5</v>
      </c>
      <c r="AD13" s="8">
        <v>6</v>
      </c>
      <c r="AE13" s="68">
        <v>5</v>
      </c>
      <c r="AF13" s="64">
        <v>2</v>
      </c>
      <c r="AG13" s="8">
        <v>3</v>
      </c>
      <c r="AH13" s="8">
        <v>3</v>
      </c>
      <c r="AI13" s="8">
        <v>3</v>
      </c>
      <c r="AJ13" s="2">
        <v>3</v>
      </c>
      <c r="AK13" s="2">
        <v>2</v>
      </c>
      <c r="AL13" s="8">
        <v>1</v>
      </c>
      <c r="AM13" s="8">
        <v>3</v>
      </c>
    </row>
    <row r="14" spans="1:39" x14ac:dyDescent="0.25">
      <c r="A14" s="96"/>
      <c r="B14" s="3" t="s">
        <v>10</v>
      </c>
      <c r="C14" s="23">
        <v>7</v>
      </c>
      <c r="D14" s="23">
        <v>6</v>
      </c>
      <c r="E14" s="23">
        <v>4</v>
      </c>
      <c r="F14" s="23">
        <v>6</v>
      </c>
      <c r="G14" s="23">
        <v>6</v>
      </c>
      <c r="H14" s="23">
        <v>7</v>
      </c>
      <c r="I14" s="23">
        <v>5</v>
      </c>
      <c r="J14" s="23">
        <v>6</v>
      </c>
      <c r="K14" s="61">
        <v>6</v>
      </c>
      <c r="L14" s="59">
        <v>4</v>
      </c>
      <c r="M14" s="23">
        <v>3</v>
      </c>
      <c r="N14" s="23">
        <v>4</v>
      </c>
      <c r="O14" s="23">
        <v>4</v>
      </c>
      <c r="P14" s="23">
        <v>4</v>
      </c>
      <c r="Q14" s="23">
        <v>4</v>
      </c>
      <c r="R14" s="23">
        <v>2</v>
      </c>
      <c r="S14" s="23">
        <v>4</v>
      </c>
      <c r="T14" s="4"/>
      <c r="U14" s="96"/>
      <c r="V14" s="3" t="s">
        <v>37</v>
      </c>
      <c r="W14" s="25">
        <v>3</v>
      </c>
      <c r="X14" s="25">
        <v>3</v>
      </c>
      <c r="Y14" s="25">
        <v>2</v>
      </c>
      <c r="Z14" s="25">
        <v>2</v>
      </c>
      <c r="AA14" s="25">
        <v>3</v>
      </c>
      <c r="AB14" s="25">
        <v>3</v>
      </c>
      <c r="AC14" s="25">
        <v>3</v>
      </c>
      <c r="AD14" s="25">
        <v>2</v>
      </c>
      <c r="AE14" s="67">
        <v>2</v>
      </c>
      <c r="AF14" s="63">
        <v>3</v>
      </c>
      <c r="AG14" s="25">
        <v>3</v>
      </c>
      <c r="AH14" s="25">
        <v>3</v>
      </c>
      <c r="AI14" s="25">
        <v>3</v>
      </c>
      <c r="AJ14" s="23">
        <v>3</v>
      </c>
      <c r="AK14" s="23">
        <v>3</v>
      </c>
      <c r="AL14" s="25">
        <v>3</v>
      </c>
      <c r="AM14" s="25">
        <v>3</v>
      </c>
    </row>
    <row r="15" spans="1:39" x14ac:dyDescent="0.25">
      <c r="A15" s="96"/>
      <c r="B15" s="3" t="s">
        <v>11</v>
      </c>
      <c r="C15" s="2">
        <v>7</v>
      </c>
      <c r="D15" s="2">
        <v>3</v>
      </c>
      <c r="E15" s="2">
        <v>4</v>
      </c>
      <c r="F15" s="2">
        <v>4</v>
      </c>
      <c r="G15" s="2">
        <v>4</v>
      </c>
      <c r="H15" s="2">
        <v>4</v>
      </c>
      <c r="I15" s="2">
        <v>4</v>
      </c>
      <c r="J15" s="2">
        <v>4</v>
      </c>
      <c r="K15" s="62">
        <v>4</v>
      </c>
      <c r="L15" s="60">
        <v>4</v>
      </c>
      <c r="M15" s="2">
        <v>4</v>
      </c>
      <c r="N15" s="2">
        <v>4</v>
      </c>
      <c r="O15" s="2">
        <v>4</v>
      </c>
      <c r="P15" s="2">
        <v>4</v>
      </c>
      <c r="Q15" s="2">
        <v>4</v>
      </c>
      <c r="R15" s="2">
        <v>4</v>
      </c>
      <c r="S15" s="2">
        <v>4</v>
      </c>
      <c r="T15" s="4"/>
      <c r="U15" s="96"/>
      <c r="V15" s="3" t="s">
        <v>54</v>
      </c>
      <c r="W15" s="8">
        <v>1</v>
      </c>
      <c r="X15" s="8">
        <v>3</v>
      </c>
      <c r="Y15" s="8">
        <v>1</v>
      </c>
      <c r="Z15" s="8">
        <v>3</v>
      </c>
      <c r="AA15" s="8">
        <v>3</v>
      </c>
      <c r="AB15" s="8">
        <v>3</v>
      </c>
      <c r="AC15" s="8">
        <v>3</v>
      </c>
      <c r="AD15" s="8">
        <v>3</v>
      </c>
      <c r="AE15" s="68">
        <v>2</v>
      </c>
      <c r="AF15" s="64">
        <v>3</v>
      </c>
      <c r="AG15" s="8">
        <v>3</v>
      </c>
      <c r="AH15" s="8">
        <v>3</v>
      </c>
      <c r="AI15" s="8">
        <v>3</v>
      </c>
      <c r="AJ15" s="2">
        <v>3</v>
      </c>
      <c r="AK15" s="2">
        <v>3</v>
      </c>
      <c r="AL15" s="8">
        <v>3</v>
      </c>
      <c r="AM15" s="8">
        <v>3</v>
      </c>
    </row>
    <row r="16" spans="1:39" x14ac:dyDescent="0.25">
      <c r="A16" s="96"/>
      <c r="B16" s="3" t="s">
        <v>25</v>
      </c>
      <c r="C16" s="23">
        <v>8</v>
      </c>
      <c r="D16" s="23">
        <v>3</v>
      </c>
      <c r="E16" s="23">
        <v>1</v>
      </c>
      <c r="F16" s="23">
        <v>4</v>
      </c>
      <c r="G16" s="23">
        <v>4</v>
      </c>
      <c r="H16" s="23">
        <v>4</v>
      </c>
      <c r="I16" s="23">
        <v>4</v>
      </c>
      <c r="J16" s="23">
        <v>5</v>
      </c>
      <c r="K16" s="61">
        <v>4</v>
      </c>
      <c r="L16" s="59">
        <v>4</v>
      </c>
      <c r="M16" s="23">
        <v>4</v>
      </c>
      <c r="N16" s="23">
        <v>4</v>
      </c>
      <c r="O16" s="23">
        <v>4</v>
      </c>
      <c r="P16" s="23">
        <v>5</v>
      </c>
      <c r="Q16" s="23">
        <v>4</v>
      </c>
      <c r="R16" s="23">
        <v>4</v>
      </c>
      <c r="S16" s="23">
        <v>4</v>
      </c>
      <c r="T16" s="4"/>
      <c r="U16" s="96"/>
      <c r="V16" s="3" t="s">
        <v>55</v>
      </c>
      <c r="W16" s="25"/>
      <c r="X16" s="25">
        <v>3</v>
      </c>
      <c r="Y16" s="25">
        <v>3</v>
      </c>
      <c r="Z16" s="25">
        <v>4</v>
      </c>
      <c r="AA16" s="25">
        <v>3</v>
      </c>
      <c r="AB16" s="25">
        <v>3</v>
      </c>
      <c r="AC16" s="25">
        <v>4</v>
      </c>
      <c r="AD16" s="25">
        <v>3</v>
      </c>
      <c r="AE16" s="67">
        <v>3</v>
      </c>
      <c r="AF16" s="63">
        <v>3</v>
      </c>
      <c r="AG16" s="25">
        <v>3</v>
      </c>
      <c r="AH16" s="25">
        <v>3</v>
      </c>
      <c r="AI16" s="25">
        <v>3</v>
      </c>
      <c r="AJ16" s="23">
        <v>3</v>
      </c>
      <c r="AK16" s="23">
        <v>3</v>
      </c>
      <c r="AL16" s="25">
        <v>3</v>
      </c>
      <c r="AM16" s="25">
        <v>3</v>
      </c>
    </row>
    <row r="17" spans="1:39" x14ac:dyDescent="0.25">
      <c r="A17" s="96"/>
      <c r="B17" s="3" t="s">
        <v>26</v>
      </c>
      <c r="C17" s="2">
        <v>8</v>
      </c>
      <c r="D17" s="2">
        <v>4</v>
      </c>
      <c r="E17" s="2">
        <v>4</v>
      </c>
      <c r="F17" s="2">
        <v>4</v>
      </c>
      <c r="G17" s="2">
        <v>3</v>
      </c>
      <c r="H17" s="2">
        <v>4</v>
      </c>
      <c r="I17" s="2">
        <v>4</v>
      </c>
      <c r="J17" s="2">
        <v>5</v>
      </c>
      <c r="K17" s="62">
        <v>4</v>
      </c>
      <c r="L17" s="60">
        <v>4</v>
      </c>
      <c r="M17" s="2">
        <v>3</v>
      </c>
      <c r="N17" s="2">
        <v>5</v>
      </c>
      <c r="O17" s="2">
        <v>4</v>
      </c>
      <c r="P17" s="2">
        <v>4</v>
      </c>
      <c r="Q17" s="2">
        <v>4</v>
      </c>
      <c r="R17" s="2">
        <v>4</v>
      </c>
      <c r="S17" s="2">
        <v>4</v>
      </c>
      <c r="T17" s="4"/>
      <c r="U17" s="96"/>
      <c r="V17" s="3" t="s">
        <v>38</v>
      </c>
      <c r="W17" s="8">
        <v>6</v>
      </c>
      <c r="X17" s="8">
        <v>3</v>
      </c>
      <c r="Y17" s="8">
        <v>2</v>
      </c>
      <c r="Z17" s="8">
        <v>3</v>
      </c>
      <c r="AA17" s="8">
        <v>3</v>
      </c>
      <c r="AB17" s="8">
        <v>3</v>
      </c>
      <c r="AC17" s="8">
        <v>3</v>
      </c>
      <c r="AD17" s="8">
        <v>3</v>
      </c>
      <c r="AE17" s="68">
        <v>3</v>
      </c>
      <c r="AF17" s="64">
        <v>4</v>
      </c>
      <c r="AG17" s="8">
        <v>3</v>
      </c>
      <c r="AH17" s="8">
        <v>2</v>
      </c>
      <c r="AI17" s="8">
        <v>3</v>
      </c>
      <c r="AJ17" s="2">
        <v>3</v>
      </c>
      <c r="AK17" s="2">
        <v>3</v>
      </c>
      <c r="AL17" s="8">
        <v>3</v>
      </c>
      <c r="AM17" s="8">
        <v>3</v>
      </c>
    </row>
    <row r="18" spans="1:39" x14ac:dyDescent="0.25">
      <c r="A18" s="96"/>
      <c r="B18" s="3" t="s">
        <v>12</v>
      </c>
      <c r="C18" s="23">
        <v>8</v>
      </c>
      <c r="D18" s="23">
        <v>3</v>
      </c>
      <c r="E18" s="23">
        <v>3</v>
      </c>
      <c r="F18" s="23">
        <v>4</v>
      </c>
      <c r="G18" s="23">
        <v>4</v>
      </c>
      <c r="H18" s="23">
        <v>4</v>
      </c>
      <c r="I18" s="23">
        <v>4</v>
      </c>
      <c r="J18" s="23">
        <v>4</v>
      </c>
      <c r="K18" s="61">
        <v>4</v>
      </c>
      <c r="L18" s="59">
        <v>4</v>
      </c>
      <c r="M18" s="23">
        <v>4</v>
      </c>
      <c r="N18" s="23">
        <v>4</v>
      </c>
      <c r="O18" s="23">
        <v>4</v>
      </c>
      <c r="P18" s="23">
        <v>4</v>
      </c>
      <c r="Q18" s="23">
        <v>4</v>
      </c>
      <c r="R18" s="23">
        <v>4</v>
      </c>
      <c r="S18" s="23">
        <v>4</v>
      </c>
      <c r="T18" s="4"/>
      <c r="U18" s="96"/>
      <c r="V18" s="3" t="s">
        <v>39</v>
      </c>
      <c r="W18" s="25">
        <v>8</v>
      </c>
      <c r="X18" s="25">
        <v>3</v>
      </c>
      <c r="Y18" s="25">
        <v>2</v>
      </c>
      <c r="Z18" s="25">
        <v>3</v>
      </c>
      <c r="AA18" s="25">
        <v>3</v>
      </c>
      <c r="AB18" s="25">
        <v>3</v>
      </c>
      <c r="AC18" s="25">
        <v>3</v>
      </c>
      <c r="AD18" s="25">
        <v>3</v>
      </c>
      <c r="AE18" s="67">
        <v>3</v>
      </c>
      <c r="AF18" s="63">
        <v>3</v>
      </c>
      <c r="AG18" s="25">
        <v>1</v>
      </c>
      <c r="AH18" s="25">
        <v>3</v>
      </c>
      <c r="AI18" s="25">
        <v>3</v>
      </c>
      <c r="AJ18" s="23">
        <v>3</v>
      </c>
      <c r="AK18" s="23">
        <v>4</v>
      </c>
      <c r="AL18" s="25">
        <v>3</v>
      </c>
      <c r="AM18" s="25">
        <v>3</v>
      </c>
    </row>
    <row r="19" spans="1:39" x14ac:dyDescent="0.25">
      <c r="A19" s="96"/>
      <c r="B19" s="3" t="s">
        <v>13</v>
      </c>
      <c r="C19" s="2">
        <v>8</v>
      </c>
      <c r="D19" s="2">
        <v>4</v>
      </c>
      <c r="E19" s="2">
        <v>3</v>
      </c>
      <c r="F19" s="2">
        <v>4</v>
      </c>
      <c r="G19" s="2">
        <v>4</v>
      </c>
      <c r="H19" s="2">
        <v>4</v>
      </c>
      <c r="I19" s="2">
        <v>4</v>
      </c>
      <c r="J19" s="2">
        <v>4</v>
      </c>
      <c r="K19" s="62">
        <v>3</v>
      </c>
      <c r="L19" s="60">
        <v>5</v>
      </c>
      <c r="M19" s="2">
        <v>4</v>
      </c>
      <c r="N19" s="2">
        <v>4</v>
      </c>
      <c r="O19" s="2">
        <v>4</v>
      </c>
      <c r="P19" s="2">
        <v>4</v>
      </c>
      <c r="Q19" s="2">
        <v>4</v>
      </c>
      <c r="R19" s="2">
        <v>4</v>
      </c>
      <c r="S19" s="2">
        <v>4</v>
      </c>
      <c r="T19" s="4"/>
      <c r="U19" s="96"/>
      <c r="V19" s="3" t="s">
        <v>40</v>
      </c>
      <c r="W19" s="8">
        <v>8</v>
      </c>
      <c r="X19" s="8">
        <v>3</v>
      </c>
      <c r="Y19" s="8">
        <v>3</v>
      </c>
      <c r="Z19" s="8">
        <v>3</v>
      </c>
      <c r="AA19" s="8">
        <v>3</v>
      </c>
      <c r="AB19" s="8">
        <v>3</v>
      </c>
      <c r="AC19" s="8">
        <v>3</v>
      </c>
      <c r="AD19" s="8">
        <v>3</v>
      </c>
      <c r="AE19" s="68">
        <v>3</v>
      </c>
      <c r="AF19" s="64">
        <v>2</v>
      </c>
      <c r="AG19" s="8">
        <v>3</v>
      </c>
      <c r="AH19" s="8">
        <v>3</v>
      </c>
      <c r="AI19" s="8">
        <v>2</v>
      </c>
      <c r="AJ19" s="2">
        <v>3</v>
      </c>
      <c r="AK19" s="2">
        <v>3</v>
      </c>
      <c r="AL19" s="8">
        <v>3</v>
      </c>
      <c r="AM19" s="8">
        <v>2</v>
      </c>
    </row>
    <row r="20" spans="1:39" x14ac:dyDescent="0.25">
      <c r="A20" s="96"/>
      <c r="B20" s="3" t="s">
        <v>14</v>
      </c>
      <c r="C20" s="23">
        <v>8</v>
      </c>
      <c r="D20" s="23">
        <v>4</v>
      </c>
      <c r="E20" s="23">
        <v>4</v>
      </c>
      <c r="F20" s="23">
        <v>5</v>
      </c>
      <c r="G20" s="23">
        <v>3</v>
      </c>
      <c r="H20" s="23">
        <v>4</v>
      </c>
      <c r="I20" s="23">
        <v>4</v>
      </c>
      <c r="J20" s="23">
        <v>4</v>
      </c>
      <c r="K20" s="61">
        <v>4</v>
      </c>
      <c r="L20" s="59">
        <v>4</v>
      </c>
      <c r="M20" s="23">
        <v>4</v>
      </c>
      <c r="N20" s="23">
        <v>4</v>
      </c>
      <c r="O20" s="23">
        <v>4</v>
      </c>
      <c r="P20" s="23">
        <v>4</v>
      </c>
      <c r="Q20" s="23">
        <v>4</v>
      </c>
      <c r="R20" s="23">
        <v>4</v>
      </c>
      <c r="S20" s="23">
        <v>4</v>
      </c>
      <c r="T20" s="4"/>
      <c r="U20" s="96"/>
      <c r="V20" s="3" t="s">
        <v>41</v>
      </c>
      <c r="W20" s="25">
        <v>7</v>
      </c>
      <c r="X20" s="25">
        <v>3</v>
      </c>
      <c r="Y20" s="25">
        <v>3</v>
      </c>
      <c r="Z20" s="25">
        <v>3</v>
      </c>
      <c r="AA20" s="25">
        <v>3</v>
      </c>
      <c r="AB20" s="25">
        <v>3</v>
      </c>
      <c r="AC20" s="25">
        <v>3</v>
      </c>
      <c r="AD20" s="25">
        <v>4</v>
      </c>
      <c r="AE20" s="67">
        <v>3</v>
      </c>
      <c r="AF20" s="63">
        <v>3</v>
      </c>
      <c r="AG20" s="25">
        <v>3</v>
      </c>
      <c r="AH20" s="25">
        <v>2</v>
      </c>
      <c r="AI20" s="25">
        <v>3</v>
      </c>
      <c r="AJ20" s="23">
        <v>3</v>
      </c>
      <c r="AK20" s="23">
        <v>3</v>
      </c>
      <c r="AL20" s="25">
        <v>3</v>
      </c>
      <c r="AM20" s="25">
        <v>3</v>
      </c>
    </row>
    <row r="21" spans="1:39" x14ac:dyDescent="0.25">
      <c r="A21" s="96"/>
      <c r="B21" s="3" t="s">
        <v>15</v>
      </c>
      <c r="C21" s="2">
        <v>8</v>
      </c>
      <c r="D21" s="2">
        <v>4</v>
      </c>
      <c r="E21" s="2">
        <v>4</v>
      </c>
      <c r="F21" s="2">
        <v>4</v>
      </c>
      <c r="G21" s="2">
        <v>4</v>
      </c>
      <c r="H21" s="2">
        <v>4</v>
      </c>
      <c r="I21" s="2">
        <v>4</v>
      </c>
      <c r="J21" s="2">
        <v>5</v>
      </c>
      <c r="K21" s="62">
        <v>6</v>
      </c>
      <c r="L21" s="60">
        <v>4</v>
      </c>
      <c r="M21" s="2">
        <v>4</v>
      </c>
      <c r="N21" s="2">
        <v>4</v>
      </c>
      <c r="O21" s="2">
        <v>4</v>
      </c>
      <c r="P21" s="2">
        <v>4</v>
      </c>
      <c r="Q21" s="2">
        <v>4</v>
      </c>
      <c r="R21" s="2">
        <v>4</v>
      </c>
      <c r="S21" s="2">
        <v>3</v>
      </c>
      <c r="T21" s="4"/>
      <c r="U21" s="96"/>
      <c r="V21" s="3" t="s">
        <v>42</v>
      </c>
      <c r="W21" s="8">
        <v>8</v>
      </c>
      <c r="X21" s="8">
        <v>3</v>
      </c>
      <c r="Y21" s="8">
        <v>3</v>
      </c>
      <c r="Z21" s="8">
        <v>3</v>
      </c>
      <c r="AA21" s="8">
        <v>3</v>
      </c>
      <c r="AB21" s="8">
        <v>3</v>
      </c>
      <c r="AC21" s="8">
        <v>3</v>
      </c>
      <c r="AD21" s="8">
        <v>3</v>
      </c>
      <c r="AE21" s="68">
        <v>3</v>
      </c>
      <c r="AF21" s="64">
        <v>3</v>
      </c>
      <c r="AG21" s="8">
        <v>3</v>
      </c>
      <c r="AH21" s="8">
        <v>3</v>
      </c>
      <c r="AI21" s="8">
        <v>3</v>
      </c>
      <c r="AJ21" s="2">
        <v>3</v>
      </c>
      <c r="AK21" s="2">
        <v>3</v>
      </c>
      <c r="AL21" s="8">
        <v>3</v>
      </c>
      <c r="AM21" s="8">
        <v>3</v>
      </c>
    </row>
    <row r="22" spans="1:39" x14ac:dyDescent="0.25">
      <c r="A22" s="96"/>
      <c r="B22" s="3" t="s">
        <v>16</v>
      </c>
      <c r="C22" s="23">
        <v>8</v>
      </c>
      <c r="D22" s="23">
        <v>4</v>
      </c>
      <c r="E22" s="23">
        <v>4</v>
      </c>
      <c r="F22" s="23">
        <v>4</v>
      </c>
      <c r="G22" s="23">
        <v>4</v>
      </c>
      <c r="H22" s="23">
        <v>4</v>
      </c>
      <c r="I22" s="23">
        <v>4</v>
      </c>
      <c r="J22" s="23">
        <v>4</v>
      </c>
      <c r="K22" s="61">
        <v>5</v>
      </c>
      <c r="L22" s="59">
        <v>4</v>
      </c>
      <c r="M22" s="23">
        <v>4</v>
      </c>
      <c r="N22" s="23">
        <v>4</v>
      </c>
      <c r="O22" s="23">
        <v>4</v>
      </c>
      <c r="P22" s="23">
        <v>4</v>
      </c>
      <c r="Q22" s="23">
        <v>4</v>
      </c>
      <c r="R22" s="23">
        <v>4</v>
      </c>
      <c r="S22" s="23">
        <v>4</v>
      </c>
      <c r="T22" s="4"/>
      <c r="U22" s="96"/>
      <c r="V22" s="3" t="s">
        <v>43</v>
      </c>
      <c r="W22" s="25">
        <v>7</v>
      </c>
      <c r="X22" s="25">
        <v>3</v>
      </c>
      <c r="Y22" s="25">
        <v>3</v>
      </c>
      <c r="Z22" s="25">
        <v>3</v>
      </c>
      <c r="AA22" s="25">
        <v>4</v>
      </c>
      <c r="AB22" s="25">
        <v>3</v>
      </c>
      <c r="AC22" s="25">
        <v>4</v>
      </c>
      <c r="AD22" s="25">
        <v>3</v>
      </c>
      <c r="AE22" s="67">
        <v>3</v>
      </c>
      <c r="AF22" s="63">
        <v>3</v>
      </c>
      <c r="AG22" s="25">
        <v>3</v>
      </c>
      <c r="AH22" s="25">
        <v>3</v>
      </c>
      <c r="AI22" s="25">
        <v>3</v>
      </c>
      <c r="AJ22" s="23">
        <v>3</v>
      </c>
      <c r="AK22" s="23">
        <v>3</v>
      </c>
      <c r="AL22" s="25">
        <v>3</v>
      </c>
      <c r="AM22" s="25">
        <v>2</v>
      </c>
    </row>
    <row r="23" spans="1:39" x14ac:dyDescent="0.25">
      <c r="A23" s="96"/>
      <c r="B23" s="3" t="s">
        <v>17</v>
      </c>
      <c r="C23" s="2">
        <v>8</v>
      </c>
      <c r="D23" s="2">
        <v>4</v>
      </c>
      <c r="E23" s="2">
        <v>4</v>
      </c>
      <c r="F23" s="2">
        <v>4</v>
      </c>
      <c r="G23" s="2">
        <v>4</v>
      </c>
      <c r="H23" s="2">
        <v>4</v>
      </c>
      <c r="I23" s="2">
        <v>4</v>
      </c>
      <c r="J23" s="2">
        <v>4</v>
      </c>
      <c r="K23" s="62">
        <v>4</v>
      </c>
      <c r="L23" s="60">
        <v>4</v>
      </c>
      <c r="M23" s="2">
        <v>4</v>
      </c>
      <c r="N23" s="2">
        <v>4</v>
      </c>
      <c r="O23" s="2">
        <v>4</v>
      </c>
      <c r="P23" s="2">
        <v>4</v>
      </c>
      <c r="Q23" s="2">
        <v>4</v>
      </c>
      <c r="R23" s="2">
        <v>4</v>
      </c>
      <c r="S23" s="2">
        <v>4</v>
      </c>
      <c r="T23" s="4"/>
      <c r="U23" s="96"/>
      <c r="V23" s="3" t="s">
        <v>44</v>
      </c>
      <c r="W23" s="8">
        <v>8</v>
      </c>
      <c r="X23" s="8">
        <v>3</v>
      </c>
      <c r="Y23" s="8">
        <v>3</v>
      </c>
      <c r="Z23" s="8">
        <v>3</v>
      </c>
      <c r="AA23" s="8">
        <v>3</v>
      </c>
      <c r="AB23" s="8">
        <v>3</v>
      </c>
      <c r="AC23" s="8">
        <v>3</v>
      </c>
      <c r="AD23" s="8">
        <v>3</v>
      </c>
      <c r="AE23" s="68">
        <v>3</v>
      </c>
      <c r="AF23" s="64">
        <v>3</v>
      </c>
      <c r="AG23" s="8">
        <v>3</v>
      </c>
      <c r="AH23" s="8">
        <v>3</v>
      </c>
      <c r="AI23" s="8">
        <v>3</v>
      </c>
      <c r="AJ23" s="2">
        <v>3</v>
      </c>
      <c r="AK23" s="2">
        <v>3</v>
      </c>
      <c r="AL23" s="8">
        <v>3</v>
      </c>
      <c r="AM23" s="8">
        <v>3</v>
      </c>
    </row>
    <row r="24" spans="1:39" x14ac:dyDescent="0.25">
      <c r="A24" s="96"/>
      <c r="B24" s="3" t="s">
        <v>18</v>
      </c>
      <c r="C24" s="23">
        <v>7</v>
      </c>
      <c r="D24" s="23">
        <v>4</v>
      </c>
      <c r="E24" s="23">
        <v>4</v>
      </c>
      <c r="F24" s="23">
        <v>4</v>
      </c>
      <c r="G24" s="23">
        <v>4</v>
      </c>
      <c r="H24" s="23">
        <v>4</v>
      </c>
      <c r="I24" s="23">
        <v>4</v>
      </c>
      <c r="J24" s="23">
        <v>4</v>
      </c>
      <c r="K24" s="61">
        <v>3</v>
      </c>
      <c r="L24" s="59">
        <v>4</v>
      </c>
      <c r="M24" s="23">
        <v>4</v>
      </c>
      <c r="N24" s="23">
        <v>4</v>
      </c>
      <c r="O24" s="23">
        <v>4</v>
      </c>
      <c r="P24" s="23">
        <v>4</v>
      </c>
      <c r="Q24" s="23">
        <v>4</v>
      </c>
      <c r="R24" s="23">
        <v>6</v>
      </c>
      <c r="S24" s="23">
        <v>4</v>
      </c>
      <c r="T24" s="4"/>
      <c r="U24" s="96"/>
      <c r="V24" s="3" t="s">
        <v>45</v>
      </c>
      <c r="W24" s="25">
        <v>8</v>
      </c>
      <c r="X24" s="25">
        <v>3</v>
      </c>
      <c r="Y24" s="25">
        <v>3</v>
      </c>
      <c r="Z24" s="25">
        <v>3</v>
      </c>
      <c r="AA24" s="25">
        <v>3</v>
      </c>
      <c r="AB24" s="25">
        <v>3</v>
      </c>
      <c r="AC24" s="25">
        <v>3</v>
      </c>
      <c r="AD24" s="25">
        <v>3</v>
      </c>
      <c r="AE24" s="67">
        <v>3</v>
      </c>
      <c r="AF24" s="63">
        <v>4</v>
      </c>
      <c r="AG24" s="25">
        <v>3</v>
      </c>
      <c r="AH24" s="25">
        <v>3</v>
      </c>
      <c r="AI24" s="25">
        <v>3</v>
      </c>
      <c r="AJ24" s="23">
        <v>3</v>
      </c>
      <c r="AK24" s="23">
        <v>3</v>
      </c>
      <c r="AL24" s="25">
        <v>3</v>
      </c>
      <c r="AM24" s="25">
        <v>3</v>
      </c>
    </row>
    <row r="25" spans="1:39" x14ac:dyDescent="0.25">
      <c r="A25" s="96"/>
      <c r="B25" s="3" t="s">
        <v>19</v>
      </c>
      <c r="C25" s="2">
        <v>8</v>
      </c>
      <c r="D25" s="2">
        <v>6</v>
      </c>
      <c r="E25" s="2">
        <v>4</v>
      </c>
      <c r="F25" s="2">
        <v>4</v>
      </c>
      <c r="G25" s="2">
        <v>4</v>
      </c>
      <c r="H25" s="2">
        <v>4</v>
      </c>
      <c r="I25" s="2">
        <v>4</v>
      </c>
      <c r="J25" s="2">
        <v>4</v>
      </c>
      <c r="K25" s="62">
        <v>7</v>
      </c>
      <c r="L25" s="60">
        <v>4</v>
      </c>
      <c r="M25" s="2">
        <v>4</v>
      </c>
      <c r="N25" s="2">
        <v>4</v>
      </c>
      <c r="O25" s="2">
        <v>4</v>
      </c>
      <c r="P25" s="2">
        <v>4</v>
      </c>
      <c r="Q25" s="2">
        <v>4</v>
      </c>
      <c r="R25" s="2">
        <v>4</v>
      </c>
      <c r="S25" s="2">
        <v>4</v>
      </c>
      <c r="T25" s="4"/>
      <c r="U25" s="96"/>
      <c r="V25" s="3" t="s">
        <v>46</v>
      </c>
      <c r="W25" s="8">
        <v>8</v>
      </c>
      <c r="X25" s="8">
        <v>1</v>
      </c>
      <c r="Y25" s="8">
        <v>3</v>
      </c>
      <c r="Z25" s="8">
        <v>3</v>
      </c>
      <c r="AA25" s="8">
        <v>3</v>
      </c>
      <c r="AB25" s="8">
        <v>3</v>
      </c>
      <c r="AC25" s="8">
        <v>3</v>
      </c>
      <c r="AD25" s="8">
        <v>3</v>
      </c>
      <c r="AE25" s="68">
        <v>3</v>
      </c>
      <c r="AF25" s="64">
        <v>3</v>
      </c>
      <c r="AG25" s="8">
        <v>3</v>
      </c>
      <c r="AH25" s="8">
        <v>3</v>
      </c>
      <c r="AI25" s="8">
        <v>3</v>
      </c>
      <c r="AJ25" s="2">
        <v>3</v>
      </c>
      <c r="AK25" s="2">
        <v>3</v>
      </c>
      <c r="AL25" s="8">
        <v>3</v>
      </c>
      <c r="AM25" s="8">
        <v>3</v>
      </c>
    </row>
    <row r="26" spans="1:39" x14ac:dyDescent="0.25">
      <c r="A26" s="96"/>
      <c r="B26" s="3" t="s">
        <v>20</v>
      </c>
      <c r="C26" s="23">
        <v>8</v>
      </c>
      <c r="D26" s="23">
        <v>4</v>
      </c>
      <c r="E26" s="23">
        <v>4</v>
      </c>
      <c r="F26" s="23">
        <v>2</v>
      </c>
      <c r="G26" s="23">
        <v>4</v>
      </c>
      <c r="H26" s="23">
        <v>4</v>
      </c>
      <c r="I26" s="23">
        <v>4</v>
      </c>
      <c r="J26" s="23">
        <v>4</v>
      </c>
      <c r="K26" s="61">
        <v>3</v>
      </c>
      <c r="L26" s="59">
        <v>4</v>
      </c>
      <c r="M26" s="23">
        <v>4</v>
      </c>
      <c r="N26" s="23">
        <v>4</v>
      </c>
      <c r="O26" s="23">
        <v>4</v>
      </c>
      <c r="P26" s="23">
        <v>4</v>
      </c>
      <c r="Q26" s="23">
        <v>3</v>
      </c>
      <c r="R26" s="23">
        <v>4</v>
      </c>
      <c r="S26" s="23">
        <v>4</v>
      </c>
      <c r="T26" s="4"/>
      <c r="U26" s="96"/>
      <c r="V26" s="3" t="s">
        <v>47</v>
      </c>
      <c r="W26" s="24"/>
      <c r="X26" s="24"/>
      <c r="Y26" s="24"/>
      <c r="Z26" s="24"/>
      <c r="AA26" s="24"/>
      <c r="AB26" s="24"/>
      <c r="AC26" s="24"/>
      <c r="AD26" s="24"/>
      <c r="AE26" s="69"/>
      <c r="AF26" s="65"/>
      <c r="AG26" s="24"/>
      <c r="AH26" s="24"/>
      <c r="AI26" s="24"/>
      <c r="AJ26" s="24"/>
      <c r="AK26" s="24"/>
      <c r="AL26" s="24"/>
      <c r="AM26" s="24"/>
    </row>
    <row r="27" spans="1:39" x14ac:dyDescent="0.25">
      <c r="A27" s="96"/>
      <c r="B27" s="3" t="s">
        <v>21</v>
      </c>
      <c r="C27" s="2">
        <v>8</v>
      </c>
      <c r="D27" s="2">
        <v>4</v>
      </c>
      <c r="E27" s="2">
        <v>4</v>
      </c>
      <c r="F27" s="2">
        <v>4</v>
      </c>
      <c r="G27" s="2">
        <v>4</v>
      </c>
      <c r="H27" s="2">
        <v>4</v>
      </c>
      <c r="I27" s="2">
        <v>4</v>
      </c>
      <c r="J27" s="2">
        <v>4</v>
      </c>
      <c r="K27" s="62">
        <v>4</v>
      </c>
      <c r="L27" s="60">
        <v>3</v>
      </c>
      <c r="M27" s="2">
        <v>4</v>
      </c>
      <c r="N27" s="2">
        <v>4</v>
      </c>
      <c r="O27" s="2">
        <v>4</v>
      </c>
      <c r="P27" s="2">
        <v>4</v>
      </c>
      <c r="Q27" s="2">
        <v>4</v>
      </c>
      <c r="R27" s="2">
        <v>4</v>
      </c>
      <c r="S27" s="2">
        <v>4</v>
      </c>
      <c r="T27" s="4"/>
      <c r="U27" s="96"/>
      <c r="V27" s="3" t="s">
        <v>48</v>
      </c>
      <c r="W27" s="7"/>
      <c r="X27" s="7"/>
      <c r="Y27" s="7"/>
      <c r="Z27" s="7"/>
      <c r="AA27" s="7"/>
      <c r="AB27" s="7"/>
      <c r="AC27" s="7"/>
      <c r="AD27" s="7"/>
      <c r="AE27" s="70"/>
      <c r="AF27" s="66"/>
      <c r="AG27" s="7"/>
      <c r="AH27" s="7"/>
      <c r="AI27" s="7"/>
      <c r="AJ27" s="7"/>
      <c r="AK27" s="7"/>
      <c r="AL27" s="7"/>
      <c r="AM27" s="7"/>
    </row>
    <row r="28" spans="1:39" x14ac:dyDescent="0.25">
      <c r="A28" s="96"/>
      <c r="B28" s="3" t="s">
        <v>22</v>
      </c>
      <c r="C28" s="23">
        <v>8</v>
      </c>
      <c r="D28" s="23">
        <v>4</v>
      </c>
      <c r="E28" s="23">
        <v>3</v>
      </c>
      <c r="F28" s="23">
        <v>4</v>
      </c>
      <c r="G28" s="23">
        <v>4</v>
      </c>
      <c r="H28" s="23">
        <v>4</v>
      </c>
      <c r="I28" s="23">
        <v>4</v>
      </c>
      <c r="J28" s="23">
        <v>4</v>
      </c>
      <c r="K28" s="61">
        <v>4</v>
      </c>
      <c r="L28" s="59">
        <v>4</v>
      </c>
      <c r="M28" s="23">
        <v>4</v>
      </c>
      <c r="N28" s="23">
        <v>4</v>
      </c>
      <c r="O28" s="23">
        <v>4</v>
      </c>
      <c r="P28" s="23">
        <v>4</v>
      </c>
      <c r="Q28" s="23">
        <v>4</v>
      </c>
      <c r="R28" s="23">
        <v>4</v>
      </c>
      <c r="S28" s="23">
        <v>4</v>
      </c>
      <c r="T28" s="4"/>
      <c r="U28" s="96"/>
      <c r="V28" s="3" t="s">
        <v>49</v>
      </c>
      <c r="W28" s="24"/>
      <c r="X28" s="24"/>
      <c r="Y28" s="24"/>
      <c r="Z28" s="24"/>
      <c r="AA28" s="24"/>
      <c r="AB28" s="24"/>
      <c r="AC28" s="24"/>
      <c r="AD28" s="24"/>
      <c r="AE28" s="69"/>
      <c r="AF28" s="65"/>
      <c r="AG28" s="24"/>
      <c r="AH28" s="24"/>
      <c r="AI28" s="24"/>
      <c r="AJ28" s="24"/>
      <c r="AK28" s="24"/>
      <c r="AL28" s="24"/>
      <c r="AM28" s="24"/>
    </row>
    <row r="29" spans="1:39" x14ac:dyDescent="0.25">
      <c r="A29" s="96"/>
      <c r="B29" s="3" t="s">
        <v>23</v>
      </c>
      <c r="C29" s="2">
        <v>8</v>
      </c>
      <c r="D29" s="2">
        <v>4</v>
      </c>
      <c r="E29" s="2">
        <v>4</v>
      </c>
      <c r="F29" s="2">
        <v>4</v>
      </c>
      <c r="G29" s="2">
        <v>3</v>
      </c>
      <c r="H29" s="2">
        <v>4</v>
      </c>
      <c r="I29" s="2">
        <v>4</v>
      </c>
      <c r="J29" s="2">
        <v>4</v>
      </c>
      <c r="K29" s="62">
        <v>4</v>
      </c>
      <c r="L29" s="60">
        <v>4</v>
      </c>
      <c r="M29" s="2">
        <v>4</v>
      </c>
      <c r="N29" s="2">
        <v>4</v>
      </c>
      <c r="O29" s="2">
        <v>4</v>
      </c>
      <c r="P29" s="2">
        <v>4</v>
      </c>
      <c r="Q29" s="2">
        <v>4</v>
      </c>
      <c r="R29" s="2">
        <v>4</v>
      </c>
      <c r="S29" s="2">
        <v>4</v>
      </c>
      <c r="T29" s="4"/>
      <c r="U29" s="96"/>
      <c r="V29" s="3" t="s">
        <v>50</v>
      </c>
      <c r="W29" s="7"/>
      <c r="X29" s="7"/>
      <c r="Y29" s="7"/>
      <c r="Z29" s="7"/>
      <c r="AA29" s="7"/>
      <c r="AB29" s="7"/>
      <c r="AC29" s="7"/>
      <c r="AD29" s="8">
        <v>1</v>
      </c>
      <c r="AE29" s="70"/>
      <c r="AF29" s="66"/>
      <c r="AG29" s="7"/>
      <c r="AH29" s="7"/>
      <c r="AI29" s="7"/>
      <c r="AJ29" s="7"/>
      <c r="AK29" s="7"/>
      <c r="AL29" s="7"/>
      <c r="AM29" s="7"/>
    </row>
    <row r="30" spans="1:39" x14ac:dyDescent="0.25">
      <c r="A30" s="96"/>
      <c r="B30" s="3" t="s">
        <v>24</v>
      </c>
      <c r="C30" s="23">
        <v>8</v>
      </c>
      <c r="D30" s="23">
        <v>4</v>
      </c>
      <c r="E30" s="23">
        <v>4</v>
      </c>
      <c r="F30" s="23">
        <v>4</v>
      </c>
      <c r="G30" s="23">
        <v>4</v>
      </c>
      <c r="H30" s="23">
        <v>4</v>
      </c>
      <c r="I30" s="23">
        <v>4</v>
      </c>
      <c r="J30" s="23">
        <v>4</v>
      </c>
      <c r="K30" s="61">
        <v>4</v>
      </c>
      <c r="L30" s="59">
        <v>4</v>
      </c>
      <c r="M30" s="23">
        <v>4</v>
      </c>
      <c r="N30" s="23">
        <v>4</v>
      </c>
      <c r="O30" s="23">
        <v>4</v>
      </c>
      <c r="P30" s="23">
        <v>4</v>
      </c>
      <c r="Q30" s="23">
        <v>4</v>
      </c>
      <c r="R30" s="23">
        <v>4</v>
      </c>
      <c r="S30" s="23">
        <v>4</v>
      </c>
      <c r="T30" s="4"/>
      <c r="U30" s="96"/>
      <c r="V30" s="4"/>
      <c r="W30" s="4"/>
      <c r="X30" s="4"/>
      <c r="Y30" s="4"/>
      <c r="Z30" s="4"/>
      <c r="AA30" s="4"/>
      <c r="AB30" s="4"/>
      <c r="AC30" s="4"/>
      <c r="AD30" s="4"/>
      <c r="AE30" s="4"/>
      <c r="AF30" s="4"/>
      <c r="AG30" s="4"/>
      <c r="AH30" s="4"/>
      <c r="AI30" s="4"/>
      <c r="AJ30" s="4"/>
      <c r="AK30" s="9"/>
    </row>
    <row r="31" spans="1:39" x14ac:dyDescent="0.25">
      <c r="A31" s="4"/>
      <c r="B31" s="4"/>
      <c r="C31" s="4" t="s">
        <v>94</v>
      </c>
      <c r="D31" s="4"/>
      <c r="E31" s="42">
        <f>SUM(C6:K30)</f>
        <v>1325</v>
      </c>
      <c r="F31" s="4"/>
      <c r="G31" s="4"/>
      <c r="H31" s="4"/>
      <c r="I31" s="4"/>
      <c r="J31" s="4"/>
      <c r="K31" s="4"/>
      <c r="L31" s="4"/>
      <c r="M31" s="4"/>
      <c r="N31" s="4"/>
      <c r="O31" s="4"/>
      <c r="P31" s="4"/>
      <c r="Q31" s="4"/>
      <c r="R31" s="4"/>
      <c r="S31" s="4"/>
      <c r="T31" s="4"/>
      <c r="U31" s="4"/>
      <c r="V31" s="4"/>
      <c r="W31" s="4" t="s">
        <v>94</v>
      </c>
      <c r="X31" s="4"/>
      <c r="Y31" s="9">
        <f>SUM(W6:AE29)</f>
        <v>683</v>
      </c>
      <c r="Z31" s="4"/>
      <c r="AA31" s="4"/>
      <c r="AB31" s="4"/>
      <c r="AC31" s="4"/>
      <c r="AD31" s="4"/>
      <c r="AE31" s="4"/>
      <c r="AF31" s="4"/>
      <c r="AG31" s="4"/>
      <c r="AH31" s="4"/>
      <c r="AI31" s="4"/>
      <c r="AJ31" s="4"/>
      <c r="AK31" s="9"/>
    </row>
    <row r="32" spans="1:39" x14ac:dyDescent="0.25">
      <c r="A32" s="4"/>
      <c r="B32" s="4"/>
      <c r="C32" s="4" t="s">
        <v>95</v>
      </c>
      <c r="D32" s="4"/>
      <c r="E32" s="42">
        <f>SUM(L6:S30)</f>
        <v>827</v>
      </c>
      <c r="F32" s="4"/>
      <c r="G32" s="4"/>
      <c r="H32" s="4"/>
      <c r="I32" s="4"/>
      <c r="J32" s="4"/>
      <c r="K32" s="4"/>
      <c r="L32" s="4"/>
      <c r="M32" s="4"/>
      <c r="N32" s="4"/>
      <c r="O32" s="4"/>
      <c r="P32" s="4"/>
      <c r="Q32" s="4"/>
      <c r="R32" s="4"/>
      <c r="S32" s="4"/>
      <c r="T32" s="4"/>
      <c r="U32" s="4"/>
      <c r="V32" s="4"/>
      <c r="W32" s="4" t="s">
        <v>95</v>
      </c>
      <c r="X32" s="4"/>
      <c r="Y32" s="9">
        <f>SUM(AF6:AM29)</f>
        <v>467</v>
      </c>
      <c r="Z32" s="4"/>
      <c r="AA32" s="4"/>
      <c r="AB32" s="4"/>
      <c r="AC32" s="4"/>
      <c r="AD32" s="4"/>
      <c r="AE32" s="4"/>
      <c r="AF32" s="4"/>
      <c r="AG32" s="4"/>
      <c r="AH32" s="4"/>
      <c r="AI32" s="4"/>
      <c r="AJ32" s="4"/>
      <c r="AK32" s="9"/>
    </row>
    <row r="33" spans="1:40" x14ac:dyDescent="0.25">
      <c r="A33" s="4"/>
      <c r="B33" s="4"/>
      <c r="C33" s="4"/>
      <c r="D33" s="4"/>
      <c r="E33" s="4"/>
      <c r="F33" s="4"/>
      <c r="G33" s="4"/>
      <c r="H33" s="4"/>
      <c r="I33" s="4"/>
      <c r="J33" s="4"/>
      <c r="K33" s="4"/>
      <c r="L33" s="4"/>
      <c r="M33" s="4"/>
      <c r="N33" s="4"/>
      <c r="O33" s="4"/>
      <c r="P33" s="4"/>
      <c r="Q33" s="4"/>
      <c r="R33" s="4"/>
      <c r="S33" s="4"/>
      <c r="T33" s="4"/>
      <c r="U33" s="4"/>
      <c r="V33" s="4"/>
      <c r="W33" s="4"/>
      <c r="X33" s="4"/>
      <c r="Y33" s="4"/>
      <c r="Z33" s="4"/>
      <c r="AA33" s="4"/>
      <c r="AB33" s="4"/>
      <c r="AC33" s="4"/>
      <c r="AD33" s="4"/>
      <c r="AE33" s="4"/>
      <c r="AF33" s="4"/>
      <c r="AG33" s="4"/>
      <c r="AH33" s="4"/>
      <c r="AI33" s="4"/>
      <c r="AJ33" s="4"/>
      <c r="AK33" s="9"/>
    </row>
    <row r="34" spans="1:40" ht="26.25" x14ac:dyDescent="0.25">
      <c r="A34" s="4"/>
      <c r="B34" s="99" t="s">
        <v>99</v>
      </c>
      <c r="C34" s="99"/>
      <c r="D34" s="99"/>
      <c r="E34" s="99"/>
      <c r="F34" s="99"/>
      <c r="G34" s="99"/>
      <c r="H34" s="99"/>
      <c r="I34" s="99"/>
      <c r="J34" s="99"/>
      <c r="K34" s="99"/>
      <c r="L34" s="99"/>
      <c r="M34" s="99"/>
      <c r="N34" s="99"/>
      <c r="O34" s="99"/>
      <c r="P34" s="99"/>
      <c r="Q34" s="99"/>
      <c r="R34" s="99"/>
      <c r="S34" s="99"/>
      <c r="T34" s="99"/>
      <c r="U34" s="99"/>
      <c r="V34" s="99"/>
      <c r="W34" s="99"/>
      <c r="X34" s="99"/>
      <c r="Y34" s="99"/>
      <c r="Z34" s="99"/>
      <c r="AA34" s="99"/>
      <c r="AB34" s="99"/>
      <c r="AC34" s="99"/>
      <c r="AD34" s="99"/>
      <c r="AE34" s="99"/>
      <c r="AF34" s="99"/>
      <c r="AG34" s="99"/>
      <c r="AH34" s="99"/>
      <c r="AI34" s="99"/>
      <c r="AJ34" s="4"/>
      <c r="AK34" s="9"/>
    </row>
    <row r="35" spans="1:40" x14ac:dyDescent="0.2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9"/>
    </row>
    <row r="36" spans="1:40" ht="18.75" x14ac:dyDescent="0.3">
      <c r="A36" s="9"/>
      <c r="B36" s="109" t="s">
        <v>92</v>
      </c>
      <c r="C36" s="109"/>
      <c r="D36" s="109"/>
      <c r="E36" s="109"/>
      <c r="F36" s="109"/>
      <c r="G36" s="109"/>
      <c r="H36" s="109"/>
      <c r="I36" s="109"/>
      <c r="J36" s="109"/>
      <c r="K36" s="109"/>
      <c r="L36" s="109"/>
      <c r="M36" s="109"/>
      <c r="N36" s="109"/>
      <c r="O36" s="109"/>
      <c r="P36" s="109"/>
      <c r="Q36" s="109"/>
      <c r="R36" s="109"/>
      <c r="S36" s="109"/>
      <c r="T36" s="9"/>
      <c r="U36" s="9"/>
      <c r="V36" s="9"/>
      <c r="W36" s="110" t="s">
        <v>92</v>
      </c>
      <c r="X36" s="110"/>
      <c r="Y36" s="110"/>
      <c r="Z36" s="110"/>
      <c r="AA36" s="110"/>
      <c r="AB36" s="110"/>
      <c r="AC36" s="110"/>
      <c r="AD36" s="110"/>
      <c r="AE36" s="110"/>
      <c r="AF36" s="110"/>
      <c r="AG36" s="110"/>
      <c r="AH36" s="110"/>
      <c r="AI36" s="110"/>
      <c r="AJ36" s="110"/>
      <c r="AK36" s="110"/>
      <c r="AL36" s="110"/>
      <c r="AM36" s="110"/>
      <c r="AN36" s="41"/>
    </row>
    <row r="37" spans="1:40" ht="36" customHeight="1" x14ac:dyDescent="0.25">
      <c r="A37" s="4"/>
      <c r="B37" s="5"/>
      <c r="C37" s="97" t="s">
        <v>1</v>
      </c>
      <c r="D37" s="97"/>
      <c r="E37" s="97"/>
      <c r="F37" s="97"/>
      <c r="G37" s="97"/>
      <c r="H37" s="97"/>
      <c r="I37" s="97"/>
      <c r="J37" s="97"/>
      <c r="K37" s="97"/>
      <c r="L37" s="97"/>
      <c r="M37" s="97"/>
      <c r="N37" s="97"/>
      <c r="O37" s="97"/>
      <c r="P37" s="97"/>
      <c r="Q37" s="97"/>
      <c r="R37" s="97"/>
      <c r="S37" s="97"/>
      <c r="T37" s="4"/>
      <c r="U37" s="4"/>
      <c r="V37" s="4"/>
      <c r="W37" s="97" t="s">
        <v>1</v>
      </c>
      <c r="X37" s="97"/>
      <c r="Y37" s="97"/>
      <c r="Z37" s="97"/>
      <c r="AA37" s="97"/>
      <c r="AB37" s="97"/>
      <c r="AC37" s="97"/>
      <c r="AD37" s="97"/>
      <c r="AE37" s="97"/>
      <c r="AF37" s="97"/>
      <c r="AG37" s="97"/>
      <c r="AH37" s="97"/>
      <c r="AI37" s="97"/>
      <c r="AJ37" s="97"/>
      <c r="AK37" s="97"/>
      <c r="AL37" s="97"/>
      <c r="AM37" s="97"/>
    </row>
    <row r="38" spans="1:40" ht="15.75" x14ac:dyDescent="0.25">
      <c r="A38" s="4"/>
      <c r="B38" s="5"/>
      <c r="C38" s="98"/>
      <c r="D38" s="98"/>
      <c r="E38" s="98"/>
      <c r="F38" s="98"/>
      <c r="G38" s="98"/>
      <c r="H38" s="98"/>
      <c r="I38" s="98"/>
      <c r="J38" s="98"/>
      <c r="K38" s="98"/>
      <c r="L38" s="98"/>
      <c r="M38" s="98"/>
      <c r="N38" s="98"/>
      <c r="O38" s="98"/>
      <c r="P38" s="98"/>
      <c r="Q38" s="98"/>
      <c r="R38" s="98"/>
      <c r="S38" s="98"/>
      <c r="T38" s="4"/>
      <c r="U38" s="4"/>
      <c r="V38" s="4"/>
      <c r="W38" s="98"/>
      <c r="X38" s="98"/>
      <c r="Y38" s="98"/>
      <c r="Z38" s="98"/>
      <c r="AA38" s="98"/>
      <c r="AB38" s="98"/>
      <c r="AC38" s="98"/>
      <c r="AD38" s="98"/>
      <c r="AE38" s="98"/>
      <c r="AF38" s="98"/>
      <c r="AG38" s="98"/>
      <c r="AH38" s="98"/>
      <c r="AI38" s="98"/>
      <c r="AJ38" s="98"/>
      <c r="AK38" s="98"/>
      <c r="AL38" s="98"/>
      <c r="AM38" s="98"/>
    </row>
    <row r="39" spans="1:40" ht="15.75" x14ac:dyDescent="0.25">
      <c r="A39" s="6" t="s">
        <v>52</v>
      </c>
      <c r="B39" s="1"/>
      <c r="C39" s="3" t="s">
        <v>2</v>
      </c>
      <c r="D39" s="3" t="s">
        <v>3</v>
      </c>
      <c r="E39" s="3" t="s">
        <v>4</v>
      </c>
      <c r="F39" s="3" t="s">
        <v>5</v>
      </c>
      <c r="G39" s="3" t="s">
        <v>6</v>
      </c>
      <c r="H39" s="3" t="s">
        <v>7</v>
      </c>
      <c r="I39" s="3" t="s">
        <v>8</v>
      </c>
      <c r="J39" s="3" t="s">
        <v>9</v>
      </c>
      <c r="K39" s="3" t="s">
        <v>10</v>
      </c>
      <c r="L39" s="3" t="s">
        <v>11</v>
      </c>
      <c r="M39" s="3" t="s">
        <v>25</v>
      </c>
      <c r="N39" s="3" t="s">
        <v>26</v>
      </c>
      <c r="O39" s="3" t="s">
        <v>12</v>
      </c>
      <c r="P39" s="3" t="s">
        <v>13</v>
      </c>
      <c r="Q39" s="3" t="s">
        <v>14</v>
      </c>
      <c r="R39" s="3" t="s">
        <v>15</v>
      </c>
      <c r="S39" s="3" t="s">
        <v>16</v>
      </c>
      <c r="T39" s="4"/>
      <c r="U39" s="6" t="s">
        <v>51</v>
      </c>
      <c r="V39" s="1"/>
      <c r="W39" s="3" t="s">
        <v>2</v>
      </c>
      <c r="X39" s="3" t="s">
        <v>3</v>
      </c>
      <c r="Y39" s="3" t="s">
        <v>4</v>
      </c>
      <c r="Z39" s="3" t="s">
        <v>5</v>
      </c>
      <c r="AA39" s="3" t="s">
        <v>6</v>
      </c>
      <c r="AB39" s="3" t="s">
        <v>7</v>
      </c>
      <c r="AC39" s="3" t="s">
        <v>8</v>
      </c>
      <c r="AD39" s="3" t="s">
        <v>9</v>
      </c>
      <c r="AE39" s="3" t="s">
        <v>10</v>
      </c>
      <c r="AF39" s="3" t="s">
        <v>11</v>
      </c>
      <c r="AG39" s="3" t="s">
        <v>25</v>
      </c>
      <c r="AH39" s="3" t="s">
        <v>26</v>
      </c>
      <c r="AI39" s="3" t="s">
        <v>12</v>
      </c>
      <c r="AJ39" s="3" t="s">
        <v>13</v>
      </c>
      <c r="AK39" s="3" t="s">
        <v>14</v>
      </c>
      <c r="AL39" s="3" t="s">
        <v>15</v>
      </c>
      <c r="AM39" s="3" t="s">
        <v>16</v>
      </c>
    </row>
    <row r="40" spans="1:40" x14ac:dyDescent="0.25">
      <c r="A40" s="96" t="s">
        <v>0</v>
      </c>
      <c r="B40" s="3" t="s">
        <v>2</v>
      </c>
      <c r="C40" s="23">
        <f>IF(C6&lt;16,16-C6,"")</f>
        <v>4</v>
      </c>
      <c r="D40" s="23">
        <f t="shared" ref="D40:G40" si="0">IF(D6&lt;16,16-D6,"")</f>
        <v>2</v>
      </c>
      <c r="E40" s="23">
        <f t="shared" si="0"/>
        <v>3</v>
      </c>
      <c r="F40" s="23">
        <f t="shared" si="0"/>
        <v>4</v>
      </c>
      <c r="G40" s="23">
        <f t="shared" si="0"/>
        <v>1</v>
      </c>
      <c r="H40" s="23">
        <f t="shared" ref="H40:S40" si="1">IF(H6&lt;8,8-H6,"")</f>
        <v>1</v>
      </c>
      <c r="I40" s="23">
        <f t="shared" si="1"/>
        <v>1</v>
      </c>
      <c r="J40" s="23">
        <f t="shared" si="1"/>
        <v>1</v>
      </c>
      <c r="K40" s="23">
        <f t="shared" si="1"/>
        <v>1</v>
      </c>
      <c r="L40" s="23" t="str">
        <f t="shared" si="1"/>
        <v/>
      </c>
      <c r="M40" s="23" t="str">
        <f t="shared" si="1"/>
        <v/>
      </c>
      <c r="N40" s="23" t="str">
        <f t="shared" si="1"/>
        <v/>
      </c>
      <c r="O40" s="23" t="str">
        <f t="shared" si="1"/>
        <v/>
      </c>
      <c r="P40" s="23" t="str">
        <f t="shared" si="1"/>
        <v/>
      </c>
      <c r="Q40" s="23" t="str">
        <f t="shared" si="1"/>
        <v/>
      </c>
      <c r="R40" s="23" t="str">
        <f t="shared" si="1"/>
        <v/>
      </c>
      <c r="S40" s="23">
        <f t="shared" si="1"/>
        <v>2</v>
      </c>
      <c r="T40" s="26"/>
      <c r="U40" s="96" t="s">
        <v>0</v>
      </c>
      <c r="V40" s="3" t="s">
        <v>29</v>
      </c>
      <c r="W40" s="25" t="str">
        <f>IF(W6&lt;5, 5-W6,"")</f>
        <v/>
      </c>
      <c r="X40" s="25">
        <f t="shared" ref="X40:AE46" si="2">IF(X6&lt;5, 5-X6,"")</f>
        <v>2</v>
      </c>
      <c r="Y40" s="25" t="str">
        <f t="shared" si="2"/>
        <v/>
      </c>
      <c r="Z40" s="25" t="str">
        <f t="shared" si="2"/>
        <v/>
      </c>
      <c r="AA40" s="25" t="str">
        <f t="shared" si="2"/>
        <v/>
      </c>
      <c r="AB40" s="25" t="str">
        <f t="shared" si="2"/>
        <v/>
      </c>
      <c r="AC40" s="25" t="str">
        <f t="shared" si="2"/>
        <v/>
      </c>
      <c r="AD40" s="25" t="str">
        <f t="shared" si="2"/>
        <v/>
      </c>
      <c r="AE40" s="25" t="str">
        <f t="shared" si="2"/>
        <v/>
      </c>
      <c r="AF40" s="25" t="str">
        <f t="shared" ref="AF40:AM40" si="3">IF(AF6&lt;3, 3-AF6,"")</f>
        <v/>
      </c>
      <c r="AG40" s="25" t="str">
        <f t="shared" si="3"/>
        <v/>
      </c>
      <c r="AH40" s="25" t="str">
        <f t="shared" si="3"/>
        <v/>
      </c>
      <c r="AI40" s="25" t="str">
        <f t="shared" si="3"/>
        <v/>
      </c>
      <c r="AJ40" s="25" t="str">
        <f t="shared" si="3"/>
        <v/>
      </c>
      <c r="AK40" s="25" t="str">
        <f t="shared" si="3"/>
        <v/>
      </c>
      <c r="AL40" s="25" t="str">
        <f t="shared" si="3"/>
        <v/>
      </c>
      <c r="AM40" s="25" t="str">
        <f t="shared" si="3"/>
        <v/>
      </c>
    </row>
    <row r="41" spans="1:40" x14ac:dyDescent="0.25">
      <c r="A41" s="96"/>
      <c r="B41" s="3" t="s">
        <v>3</v>
      </c>
      <c r="C41" s="2">
        <f>IF(C7&lt;16,16-C7,"")</f>
        <v>2</v>
      </c>
      <c r="D41" s="2">
        <f t="shared" ref="D41:G41" si="4">IF(D7&lt;16,16-D7,"")</f>
        <v>2</v>
      </c>
      <c r="E41" s="2">
        <f t="shared" si="4"/>
        <v>4</v>
      </c>
      <c r="F41" s="2">
        <f t="shared" si="4"/>
        <v>3</v>
      </c>
      <c r="G41" s="2" t="str">
        <f t="shared" si="4"/>
        <v/>
      </c>
      <c r="H41" s="2" t="str">
        <f t="shared" ref="H41:K41" si="5">IF(H7&lt;6,6-H7,"")</f>
        <v/>
      </c>
      <c r="I41" s="2" t="str">
        <f t="shared" si="5"/>
        <v/>
      </c>
      <c r="J41" s="2" t="str">
        <f t="shared" si="5"/>
        <v/>
      </c>
      <c r="K41" s="2" t="str">
        <f t="shared" si="5"/>
        <v/>
      </c>
      <c r="L41" s="2" t="str">
        <f t="shared" ref="L41:S41" si="6">IF(L7&lt;4,4-L7,"")</f>
        <v/>
      </c>
      <c r="M41" s="2" t="str">
        <f t="shared" si="6"/>
        <v/>
      </c>
      <c r="N41" s="2" t="str">
        <f t="shared" si="6"/>
        <v/>
      </c>
      <c r="O41" s="2" t="str">
        <f t="shared" si="6"/>
        <v/>
      </c>
      <c r="P41" s="2" t="str">
        <f t="shared" si="6"/>
        <v/>
      </c>
      <c r="Q41" s="2" t="str">
        <f t="shared" si="6"/>
        <v/>
      </c>
      <c r="R41" s="2" t="str">
        <f t="shared" si="6"/>
        <v/>
      </c>
      <c r="S41" s="2" t="str">
        <f t="shared" si="6"/>
        <v/>
      </c>
      <c r="T41" s="4"/>
      <c r="U41" s="96"/>
      <c r="V41" s="3" t="s">
        <v>30</v>
      </c>
      <c r="W41" s="40">
        <f t="shared" ref="W41:W59" si="7">IF(W7&lt;8, 8-W7,"")</f>
        <v>2</v>
      </c>
      <c r="X41" s="8">
        <f>IF(X7&lt;5,5-X7,"")</f>
        <v>2</v>
      </c>
      <c r="Y41" s="8">
        <f t="shared" ref="Y41:AE47" si="8">IF(Y7&lt;5,5-Y7,"")</f>
        <v>5</v>
      </c>
      <c r="Z41" s="8" t="str">
        <f t="shared" si="8"/>
        <v/>
      </c>
      <c r="AA41" s="8" t="str">
        <f t="shared" si="8"/>
        <v/>
      </c>
      <c r="AB41" s="8" t="str">
        <f t="shared" si="8"/>
        <v/>
      </c>
      <c r="AC41" s="8" t="str">
        <f t="shared" si="8"/>
        <v/>
      </c>
      <c r="AD41" s="8" t="str">
        <f t="shared" si="8"/>
        <v/>
      </c>
      <c r="AE41" s="8" t="str">
        <f t="shared" si="8"/>
        <v/>
      </c>
      <c r="AF41" s="8" t="str">
        <f t="shared" ref="AF41:AM41" si="9">IF(AF7&lt;3,3-AF7,"")</f>
        <v/>
      </c>
      <c r="AG41" s="8" t="str">
        <f t="shared" si="9"/>
        <v/>
      </c>
      <c r="AH41" s="8" t="str">
        <f t="shared" si="9"/>
        <v/>
      </c>
      <c r="AI41" s="8" t="str">
        <f t="shared" si="9"/>
        <v/>
      </c>
      <c r="AJ41" s="8" t="str">
        <f t="shared" si="9"/>
        <v/>
      </c>
      <c r="AK41" s="8" t="str">
        <f t="shared" si="9"/>
        <v/>
      </c>
      <c r="AL41" s="8" t="str">
        <f t="shared" si="9"/>
        <v/>
      </c>
      <c r="AM41" s="8">
        <f t="shared" si="9"/>
        <v>1</v>
      </c>
    </row>
    <row r="42" spans="1:40" x14ac:dyDescent="0.25">
      <c r="A42" s="96"/>
      <c r="B42" s="3" t="s">
        <v>4</v>
      </c>
      <c r="C42" s="23">
        <f t="shared" ref="C42:G42" si="10">IF(C8&lt;16,16-C8,"")</f>
        <v>1</v>
      </c>
      <c r="D42" s="23" t="str">
        <f t="shared" si="10"/>
        <v/>
      </c>
      <c r="E42" s="23">
        <f t="shared" si="10"/>
        <v>5</v>
      </c>
      <c r="F42" s="23" t="str">
        <f t="shared" si="10"/>
        <v/>
      </c>
      <c r="G42" s="23" t="str">
        <f t="shared" si="10"/>
        <v/>
      </c>
      <c r="H42" s="23" t="str">
        <f t="shared" ref="H42:K42" si="11">IF(H8&lt;6,6-H8,"")</f>
        <v/>
      </c>
      <c r="I42" s="23">
        <f t="shared" si="11"/>
        <v>1</v>
      </c>
      <c r="J42" s="23" t="str">
        <f t="shared" si="11"/>
        <v/>
      </c>
      <c r="K42" s="23" t="str">
        <f t="shared" si="11"/>
        <v/>
      </c>
      <c r="L42" s="23" t="str">
        <f t="shared" ref="L42:S42" si="12">IF(L8&lt;4,4-L8,"")</f>
        <v/>
      </c>
      <c r="M42" s="23" t="str">
        <f t="shared" si="12"/>
        <v/>
      </c>
      <c r="N42" s="23" t="str">
        <f t="shared" si="12"/>
        <v/>
      </c>
      <c r="O42" s="23" t="str">
        <f t="shared" si="12"/>
        <v/>
      </c>
      <c r="P42" s="23" t="str">
        <f t="shared" si="12"/>
        <v/>
      </c>
      <c r="Q42" s="23" t="str">
        <f t="shared" si="12"/>
        <v/>
      </c>
      <c r="R42" s="23" t="str">
        <f t="shared" si="12"/>
        <v/>
      </c>
      <c r="S42" s="23" t="str">
        <f t="shared" si="12"/>
        <v/>
      </c>
      <c r="T42" s="4"/>
      <c r="U42" s="96"/>
      <c r="V42" s="3" t="s">
        <v>31</v>
      </c>
      <c r="W42" s="25">
        <f t="shared" si="7"/>
        <v>3</v>
      </c>
      <c r="X42" s="25" t="str">
        <f t="shared" si="2"/>
        <v/>
      </c>
      <c r="Y42" s="25" t="str">
        <f t="shared" si="2"/>
        <v/>
      </c>
      <c r="Z42" s="25" t="str">
        <f t="shared" si="2"/>
        <v/>
      </c>
      <c r="AA42" s="25">
        <f t="shared" si="2"/>
        <v>2</v>
      </c>
      <c r="AB42" s="25" t="str">
        <f t="shared" si="2"/>
        <v/>
      </c>
      <c r="AC42" s="25" t="str">
        <f t="shared" si="2"/>
        <v/>
      </c>
      <c r="AD42" s="25" t="str">
        <f t="shared" si="2"/>
        <v/>
      </c>
      <c r="AE42" s="25">
        <f t="shared" si="2"/>
        <v>1</v>
      </c>
      <c r="AF42" s="25" t="str">
        <f t="shared" ref="AF42:AM42" si="13">IF(AF8&lt;3, 3-AF8,"")</f>
        <v/>
      </c>
      <c r="AG42" s="25">
        <f t="shared" si="13"/>
        <v>2</v>
      </c>
      <c r="AH42" s="25" t="str">
        <f t="shared" si="13"/>
        <v/>
      </c>
      <c r="AI42" s="25" t="str">
        <f t="shared" si="13"/>
        <v/>
      </c>
      <c r="AJ42" s="25" t="str">
        <f t="shared" si="13"/>
        <v/>
      </c>
      <c r="AK42" s="25">
        <f t="shared" si="13"/>
        <v>1</v>
      </c>
      <c r="AL42" s="25" t="str">
        <f t="shared" si="13"/>
        <v/>
      </c>
      <c r="AM42" s="25" t="str">
        <f t="shared" si="13"/>
        <v/>
      </c>
    </row>
    <row r="43" spans="1:40" x14ac:dyDescent="0.25">
      <c r="A43" s="96"/>
      <c r="B43" s="3" t="s">
        <v>5</v>
      </c>
      <c r="C43" s="2">
        <f t="shared" ref="C43:G43" si="14">IF(C9&lt;16,16-C9,"")</f>
        <v>3</v>
      </c>
      <c r="D43" s="2" t="str">
        <f t="shared" si="14"/>
        <v/>
      </c>
      <c r="E43" s="2">
        <f t="shared" si="14"/>
        <v>1</v>
      </c>
      <c r="F43" s="2">
        <f t="shared" si="14"/>
        <v>3</v>
      </c>
      <c r="G43" s="2" t="str">
        <f t="shared" si="14"/>
        <v/>
      </c>
      <c r="H43" s="2" t="str">
        <f t="shared" ref="H43:K43" si="15">IF(H9&lt;6,6-H9,"")</f>
        <v/>
      </c>
      <c r="I43" s="2" t="str">
        <f t="shared" si="15"/>
        <v/>
      </c>
      <c r="J43" s="2" t="str">
        <f t="shared" si="15"/>
        <v/>
      </c>
      <c r="K43" s="2">
        <f t="shared" si="15"/>
        <v>1</v>
      </c>
      <c r="L43" s="2" t="str">
        <f t="shared" ref="L43:S43" si="16">IF(L9&lt;4,4-L9,"")</f>
        <v/>
      </c>
      <c r="M43" s="2" t="str">
        <f t="shared" si="16"/>
        <v/>
      </c>
      <c r="N43" s="2" t="str">
        <f t="shared" si="16"/>
        <v/>
      </c>
      <c r="O43" s="2" t="str">
        <f t="shared" si="16"/>
        <v/>
      </c>
      <c r="P43" s="2" t="str">
        <f t="shared" si="16"/>
        <v/>
      </c>
      <c r="Q43" s="2" t="str">
        <f t="shared" si="16"/>
        <v/>
      </c>
      <c r="R43" s="2" t="str">
        <f t="shared" si="16"/>
        <v/>
      </c>
      <c r="S43" s="2" t="str">
        <f t="shared" si="16"/>
        <v/>
      </c>
      <c r="T43" s="4"/>
      <c r="U43" s="96"/>
      <c r="V43" s="3" t="s">
        <v>32</v>
      </c>
      <c r="W43" s="40" t="str">
        <f t="shared" si="7"/>
        <v/>
      </c>
      <c r="X43" s="8" t="str">
        <f>IF(X9&lt;5,5-X9,"")</f>
        <v/>
      </c>
      <c r="Y43" s="8" t="str">
        <f t="shared" si="8"/>
        <v/>
      </c>
      <c r="Z43" s="8">
        <f t="shared" si="8"/>
        <v>2</v>
      </c>
      <c r="AA43" s="8" t="str">
        <f t="shared" si="8"/>
        <v/>
      </c>
      <c r="AB43" s="8" t="str">
        <f t="shared" si="8"/>
        <v/>
      </c>
      <c r="AC43" s="8" t="str">
        <f t="shared" si="8"/>
        <v/>
      </c>
      <c r="AD43" s="8" t="str">
        <f t="shared" si="8"/>
        <v/>
      </c>
      <c r="AE43" s="8" t="str">
        <f t="shared" si="8"/>
        <v/>
      </c>
      <c r="AF43" s="8" t="str">
        <f t="shared" ref="AF43:AM43" si="17">IF(AF9&lt;3,3-AF9,"")</f>
        <v/>
      </c>
      <c r="AG43" s="8" t="str">
        <f t="shared" si="17"/>
        <v/>
      </c>
      <c r="AH43" s="8" t="str">
        <f t="shared" si="17"/>
        <v/>
      </c>
      <c r="AI43" s="8" t="str">
        <f t="shared" si="17"/>
        <v/>
      </c>
      <c r="AJ43" s="8" t="str">
        <f t="shared" si="17"/>
        <v/>
      </c>
      <c r="AK43" s="8" t="str">
        <f t="shared" si="17"/>
        <v/>
      </c>
      <c r="AL43" s="8" t="str">
        <f t="shared" si="17"/>
        <v/>
      </c>
      <c r="AM43" s="8">
        <f t="shared" si="17"/>
        <v>1</v>
      </c>
    </row>
    <row r="44" spans="1:40" x14ac:dyDescent="0.25">
      <c r="A44" s="96"/>
      <c r="B44" s="3" t="s">
        <v>6</v>
      </c>
      <c r="C44" s="23">
        <f t="shared" ref="C44:G44" si="18">IF(C10&lt;16,16-C10,"")</f>
        <v>3</v>
      </c>
      <c r="D44" s="23" t="str">
        <f t="shared" si="18"/>
        <v/>
      </c>
      <c r="E44" s="23">
        <f t="shared" si="18"/>
        <v>1</v>
      </c>
      <c r="F44" s="23">
        <f t="shared" si="18"/>
        <v>3</v>
      </c>
      <c r="G44" s="23" t="str">
        <f t="shared" si="18"/>
        <v/>
      </c>
      <c r="H44" s="23" t="str">
        <f t="shared" ref="H44:K44" si="19">IF(H10&lt;6,6-H10,"")</f>
        <v/>
      </c>
      <c r="I44" s="23" t="str">
        <f t="shared" si="19"/>
        <v/>
      </c>
      <c r="J44" s="23" t="str">
        <f t="shared" si="19"/>
        <v/>
      </c>
      <c r="K44" s="23">
        <f t="shared" si="19"/>
        <v>1</v>
      </c>
      <c r="L44" s="23" t="str">
        <f t="shared" ref="L44:S44" si="20">IF(L10&lt;4,4-L10,"")</f>
        <v/>
      </c>
      <c r="M44" s="23">
        <f t="shared" si="20"/>
        <v>1</v>
      </c>
      <c r="N44" s="23" t="str">
        <f t="shared" si="20"/>
        <v/>
      </c>
      <c r="O44" s="23" t="str">
        <f t="shared" si="20"/>
        <v/>
      </c>
      <c r="P44" s="23" t="str">
        <f t="shared" si="20"/>
        <v/>
      </c>
      <c r="Q44" s="23" t="str">
        <f t="shared" si="20"/>
        <v/>
      </c>
      <c r="R44" s="23">
        <f t="shared" si="20"/>
        <v>1</v>
      </c>
      <c r="S44" s="23" t="str">
        <f t="shared" si="20"/>
        <v/>
      </c>
      <c r="T44" s="4"/>
      <c r="U44" s="96"/>
      <c r="V44" s="3" t="s">
        <v>33</v>
      </c>
      <c r="W44" s="25">
        <f t="shared" si="7"/>
        <v>7</v>
      </c>
      <c r="X44" s="25" t="str">
        <f t="shared" si="2"/>
        <v/>
      </c>
      <c r="Y44" s="25" t="str">
        <f t="shared" si="2"/>
        <v/>
      </c>
      <c r="Z44" s="25" t="str">
        <f t="shared" si="2"/>
        <v/>
      </c>
      <c r="AA44" s="25" t="str">
        <f t="shared" si="2"/>
        <v/>
      </c>
      <c r="AB44" s="25">
        <f t="shared" si="2"/>
        <v>1</v>
      </c>
      <c r="AC44" s="25">
        <f t="shared" si="2"/>
        <v>2</v>
      </c>
      <c r="AD44" s="25" t="str">
        <f t="shared" si="2"/>
        <v/>
      </c>
      <c r="AE44" s="25" t="str">
        <f t="shared" si="2"/>
        <v/>
      </c>
      <c r="AF44" s="25" t="str">
        <f t="shared" ref="AF44:AM44" si="21">IF(AF10&lt;3, 3-AF10,"")</f>
        <v/>
      </c>
      <c r="AG44" s="25" t="str">
        <f t="shared" si="21"/>
        <v/>
      </c>
      <c r="AH44" s="25" t="str">
        <f t="shared" si="21"/>
        <v/>
      </c>
      <c r="AI44" s="25" t="str">
        <f t="shared" si="21"/>
        <v/>
      </c>
      <c r="AJ44" s="25" t="str">
        <f t="shared" si="21"/>
        <v/>
      </c>
      <c r="AK44" s="25" t="str">
        <f t="shared" si="21"/>
        <v/>
      </c>
      <c r="AL44" s="25" t="str">
        <f t="shared" si="21"/>
        <v/>
      </c>
      <c r="AM44" s="25" t="str">
        <f t="shared" si="21"/>
        <v/>
      </c>
    </row>
    <row r="45" spans="1:40" x14ac:dyDescent="0.25">
      <c r="A45" s="96"/>
      <c r="B45" s="3" t="s">
        <v>7</v>
      </c>
      <c r="C45" s="2" t="str">
        <f t="shared" ref="C45:C64" si="22">IF(C11&lt;8,8-C11,"")</f>
        <v/>
      </c>
      <c r="D45" s="2" t="str">
        <f t="shared" ref="D45:K45" si="23">IF(D11&lt;6,6-D11,"")</f>
        <v/>
      </c>
      <c r="E45" s="2" t="str">
        <f t="shared" si="23"/>
        <v/>
      </c>
      <c r="F45" s="2">
        <f t="shared" si="23"/>
        <v>1</v>
      </c>
      <c r="G45" s="2" t="str">
        <f t="shared" si="23"/>
        <v/>
      </c>
      <c r="H45" s="2">
        <f t="shared" si="23"/>
        <v>1</v>
      </c>
      <c r="I45" s="2">
        <f t="shared" si="23"/>
        <v>1</v>
      </c>
      <c r="J45" s="2" t="str">
        <f t="shared" si="23"/>
        <v/>
      </c>
      <c r="K45" s="2" t="str">
        <f t="shared" si="23"/>
        <v/>
      </c>
      <c r="L45" s="2" t="str">
        <f t="shared" ref="L45:S45" si="24">IF(L11&lt;4,4-L11,"")</f>
        <v/>
      </c>
      <c r="M45" s="2" t="str">
        <f t="shared" si="24"/>
        <v/>
      </c>
      <c r="N45" s="2" t="str">
        <f t="shared" si="24"/>
        <v/>
      </c>
      <c r="O45" s="2" t="str">
        <f t="shared" si="24"/>
        <v/>
      </c>
      <c r="P45" s="2" t="str">
        <f t="shared" si="24"/>
        <v/>
      </c>
      <c r="Q45" s="2">
        <f t="shared" si="24"/>
        <v>1</v>
      </c>
      <c r="R45" s="2" t="str">
        <f t="shared" si="24"/>
        <v/>
      </c>
      <c r="S45" s="2" t="str">
        <f t="shared" si="24"/>
        <v/>
      </c>
      <c r="T45" s="4"/>
      <c r="U45" s="96"/>
      <c r="V45" s="3" t="s">
        <v>34</v>
      </c>
      <c r="W45" s="40">
        <f t="shared" si="7"/>
        <v>7</v>
      </c>
      <c r="X45" s="8" t="str">
        <f>IF(X11&lt;5,5-X11,"")</f>
        <v/>
      </c>
      <c r="Y45" s="8">
        <f t="shared" si="8"/>
        <v>2</v>
      </c>
      <c r="Z45" s="8" t="str">
        <f t="shared" si="8"/>
        <v/>
      </c>
      <c r="AA45" s="8">
        <f t="shared" si="8"/>
        <v>3</v>
      </c>
      <c r="AB45" s="8">
        <f t="shared" si="8"/>
        <v>1</v>
      </c>
      <c r="AC45" s="8">
        <f t="shared" si="8"/>
        <v>1</v>
      </c>
      <c r="AD45" s="8" t="str">
        <f t="shared" si="8"/>
        <v/>
      </c>
      <c r="AE45" s="8" t="str">
        <f t="shared" si="8"/>
        <v/>
      </c>
      <c r="AF45" s="8" t="str">
        <f t="shared" ref="AF45:AM45" si="25">IF(AF11&lt;3,3-AF11,"")</f>
        <v/>
      </c>
      <c r="AG45" s="8" t="str">
        <f t="shared" si="25"/>
        <v/>
      </c>
      <c r="AH45" s="8" t="str">
        <f t="shared" si="25"/>
        <v/>
      </c>
      <c r="AI45" s="8" t="str">
        <f t="shared" si="25"/>
        <v/>
      </c>
      <c r="AJ45" s="8" t="str">
        <f t="shared" si="25"/>
        <v/>
      </c>
      <c r="AK45" s="8" t="str">
        <f t="shared" si="25"/>
        <v/>
      </c>
      <c r="AL45" s="8" t="str">
        <f t="shared" si="25"/>
        <v/>
      </c>
      <c r="AM45" s="8" t="str">
        <f t="shared" si="25"/>
        <v/>
      </c>
    </row>
    <row r="46" spans="1:40" x14ac:dyDescent="0.25">
      <c r="A46" s="96"/>
      <c r="B46" s="3" t="s">
        <v>8</v>
      </c>
      <c r="C46" s="23">
        <f t="shared" si="22"/>
        <v>3</v>
      </c>
      <c r="D46" s="23" t="str">
        <f t="shared" ref="D46:K46" si="26">IF(D12&lt;6,6-D12,"")</f>
        <v/>
      </c>
      <c r="E46" s="23">
        <f t="shared" si="26"/>
        <v>1</v>
      </c>
      <c r="F46" s="23" t="str">
        <f t="shared" si="26"/>
        <v/>
      </c>
      <c r="G46" s="23" t="str">
        <f t="shared" si="26"/>
        <v/>
      </c>
      <c r="H46" s="23" t="str">
        <f t="shared" si="26"/>
        <v/>
      </c>
      <c r="I46" s="23">
        <f t="shared" si="26"/>
        <v>1</v>
      </c>
      <c r="J46" s="23" t="str">
        <f t="shared" si="26"/>
        <v/>
      </c>
      <c r="K46" s="23" t="str">
        <f t="shared" si="26"/>
        <v/>
      </c>
      <c r="L46" s="23" t="str">
        <f t="shared" ref="L46:S46" si="27">IF(L12&lt;4,4-L12,"")</f>
        <v/>
      </c>
      <c r="M46" s="23" t="str">
        <f t="shared" si="27"/>
        <v/>
      </c>
      <c r="N46" s="23" t="str">
        <f t="shared" si="27"/>
        <v/>
      </c>
      <c r="O46" s="23" t="str">
        <f t="shared" si="27"/>
        <v/>
      </c>
      <c r="P46" s="23" t="str">
        <f t="shared" si="27"/>
        <v/>
      </c>
      <c r="Q46" s="23" t="str">
        <f t="shared" si="27"/>
        <v/>
      </c>
      <c r="R46" s="23" t="str">
        <f t="shared" si="27"/>
        <v/>
      </c>
      <c r="S46" s="23" t="str">
        <f t="shared" si="27"/>
        <v/>
      </c>
      <c r="T46" s="4"/>
      <c r="U46" s="96"/>
      <c r="V46" s="3" t="s">
        <v>35</v>
      </c>
      <c r="W46" s="25">
        <f t="shared" si="7"/>
        <v>8</v>
      </c>
      <c r="X46" s="25">
        <f t="shared" si="2"/>
        <v>1</v>
      </c>
      <c r="Y46" s="25" t="str">
        <f t="shared" si="2"/>
        <v/>
      </c>
      <c r="Z46" s="25">
        <f t="shared" si="2"/>
        <v>1</v>
      </c>
      <c r="AA46" s="25" t="str">
        <f t="shared" si="2"/>
        <v/>
      </c>
      <c r="AB46" s="25" t="str">
        <f t="shared" si="2"/>
        <v/>
      </c>
      <c r="AC46" s="25" t="str">
        <f t="shared" si="2"/>
        <v/>
      </c>
      <c r="AD46" s="25" t="str">
        <f t="shared" si="2"/>
        <v/>
      </c>
      <c r="AE46" s="25" t="str">
        <f t="shared" si="2"/>
        <v/>
      </c>
      <c r="AF46" s="25">
        <f t="shared" ref="AF46:AM46" si="28">IF(AF12&lt;3, 3-AF12,"")</f>
        <v>1</v>
      </c>
      <c r="AG46" s="25" t="str">
        <f t="shared" si="28"/>
        <v/>
      </c>
      <c r="AH46" s="25" t="str">
        <f t="shared" si="28"/>
        <v/>
      </c>
      <c r="AI46" s="25" t="str">
        <f t="shared" si="28"/>
        <v/>
      </c>
      <c r="AJ46" s="25" t="str">
        <f t="shared" si="28"/>
        <v/>
      </c>
      <c r="AK46" s="25" t="str">
        <f t="shared" si="28"/>
        <v/>
      </c>
      <c r="AL46" s="25" t="str">
        <f t="shared" si="28"/>
        <v/>
      </c>
      <c r="AM46" s="25" t="str">
        <f t="shared" si="28"/>
        <v/>
      </c>
    </row>
    <row r="47" spans="1:40" x14ac:dyDescent="0.25">
      <c r="A47" s="96"/>
      <c r="B47" s="3" t="s">
        <v>9</v>
      </c>
      <c r="C47" s="2">
        <f t="shared" si="22"/>
        <v>1</v>
      </c>
      <c r="D47" s="2" t="str">
        <f t="shared" ref="D47:K47" si="29">IF(D13&lt;6,6-D13,"")</f>
        <v/>
      </c>
      <c r="E47" s="2" t="str">
        <f t="shared" si="29"/>
        <v/>
      </c>
      <c r="F47" s="2" t="str">
        <f t="shared" si="29"/>
        <v/>
      </c>
      <c r="G47" s="2" t="str">
        <f t="shared" si="29"/>
        <v/>
      </c>
      <c r="H47" s="2" t="str">
        <f t="shared" si="29"/>
        <v/>
      </c>
      <c r="I47" s="2" t="str">
        <f t="shared" si="29"/>
        <v/>
      </c>
      <c r="J47" s="2" t="str">
        <f t="shared" si="29"/>
        <v/>
      </c>
      <c r="K47" s="2" t="str">
        <f t="shared" si="29"/>
        <v/>
      </c>
      <c r="L47" s="2" t="str">
        <f t="shared" ref="L47:S47" si="30">IF(L13&lt;4,4-L13,"")</f>
        <v/>
      </c>
      <c r="M47" s="2" t="str">
        <f t="shared" si="30"/>
        <v/>
      </c>
      <c r="N47" s="2">
        <f t="shared" si="30"/>
        <v>1</v>
      </c>
      <c r="O47" s="2" t="str">
        <f t="shared" si="30"/>
        <v/>
      </c>
      <c r="P47" s="2" t="str">
        <f t="shared" si="30"/>
        <v/>
      </c>
      <c r="Q47" s="2" t="str">
        <f t="shared" si="30"/>
        <v/>
      </c>
      <c r="R47" s="2" t="str">
        <f t="shared" si="30"/>
        <v/>
      </c>
      <c r="S47" s="2" t="str">
        <f t="shared" si="30"/>
        <v/>
      </c>
      <c r="T47" s="4"/>
      <c r="U47" s="96"/>
      <c r="V47" s="3" t="s">
        <v>36</v>
      </c>
      <c r="W47" s="40">
        <f>IF(W13&lt;12,12-W13,"")</f>
        <v>7</v>
      </c>
      <c r="X47" s="8" t="str">
        <f>IF(X13&lt;5,5-X13,"")</f>
        <v/>
      </c>
      <c r="Y47" s="8">
        <f t="shared" si="8"/>
        <v>1</v>
      </c>
      <c r="Z47" s="8" t="str">
        <f t="shared" si="8"/>
        <v/>
      </c>
      <c r="AA47" s="8">
        <f t="shared" si="8"/>
        <v>1</v>
      </c>
      <c r="AB47" s="8">
        <f t="shared" si="8"/>
        <v>2</v>
      </c>
      <c r="AC47" s="8" t="str">
        <f t="shared" si="8"/>
        <v/>
      </c>
      <c r="AD47" s="8" t="str">
        <f t="shared" si="8"/>
        <v/>
      </c>
      <c r="AE47" s="8" t="str">
        <f t="shared" si="8"/>
        <v/>
      </c>
      <c r="AF47" s="8">
        <f t="shared" ref="AF47:AM47" si="31">IF(AF13&lt;3,3-AF13,"")</f>
        <v>1</v>
      </c>
      <c r="AG47" s="8" t="str">
        <f t="shared" si="31"/>
        <v/>
      </c>
      <c r="AH47" s="8" t="str">
        <f t="shared" si="31"/>
        <v/>
      </c>
      <c r="AI47" s="8" t="str">
        <f t="shared" si="31"/>
        <v/>
      </c>
      <c r="AJ47" s="8" t="str">
        <f t="shared" si="31"/>
        <v/>
      </c>
      <c r="AK47" s="8">
        <f t="shared" si="31"/>
        <v>1</v>
      </c>
      <c r="AL47" s="8">
        <f t="shared" si="31"/>
        <v>2</v>
      </c>
      <c r="AM47" s="8" t="str">
        <f t="shared" si="31"/>
        <v/>
      </c>
    </row>
    <row r="48" spans="1:40" x14ac:dyDescent="0.25">
      <c r="A48" s="96"/>
      <c r="B48" s="3" t="s">
        <v>10</v>
      </c>
      <c r="C48" s="23">
        <f t="shared" si="22"/>
        <v>1</v>
      </c>
      <c r="D48" s="23" t="str">
        <f t="shared" ref="D48:K48" si="32">IF(D14&lt;6,6-D14,"")</f>
        <v/>
      </c>
      <c r="E48" s="23">
        <f t="shared" si="32"/>
        <v>2</v>
      </c>
      <c r="F48" s="23" t="str">
        <f t="shared" si="32"/>
        <v/>
      </c>
      <c r="G48" s="23" t="str">
        <f t="shared" si="32"/>
        <v/>
      </c>
      <c r="H48" s="23" t="str">
        <f t="shared" si="32"/>
        <v/>
      </c>
      <c r="I48" s="23">
        <f t="shared" si="32"/>
        <v>1</v>
      </c>
      <c r="J48" s="23" t="str">
        <f t="shared" si="32"/>
        <v/>
      </c>
      <c r="K48" s="23" t="str">
        <f t="shared" si="32"/>
        <v/>
      </c>
      <c r="L48" s="23" t="str">
        <f t="shared" ref="L48:S48" si="33">IF(L14&lt;4,4-L14,"")</f>
        <v/>
      </c>
      <c r="M48" s="23">
        <f t="shared" si="33"/>
        <v>1</v>
      </c>
      <c r="N48" s="23" t="str">
        <f t="shared" si="33"/>
        <v/>
      </c>
      <c r="O48" s="23" t="str">
        <f t="shared" si="33"/>
        <v/>
      </c>
      <c r="P48" s="23" t="str">
        <f t="shared" si="33"/>
        <v/>
      </c>
      <c r="Q48" s="23" t="str">
        <f t="shared" si="33"/>
        <v/>
      </c>
      <c r="R48" s="23">
        <f t="shared" si="33"/>
        <v>2</v>
      </c>
      <c r="S48" s="23" t="str">
        <f t="shared" si="33"/>
        <v/>
      </c>
      <c r="T48" s="4"/>
      <c r="U48" s="96"/>
      <c r="V48" s="3" t="s">
        <v>37</v>
      </c>
      <c r="W48" s="25">
        <f t="shared" si="7"/>
        <v>5</v>
      </c>
      <c r="X48" s="25" t="str">
        <f t="shared" ref="X48:AM48" si="34">IF(X14&lt;3, 3-X14,"")</f>
        <v/>
      </c>
      <c r="Y48" s="25">
        <f t="shared" si="34"/>
        <v>1</v>
      </c>
      <c r="Z48" s="25">
        <f t="shared" si="34"/>
        <v>1</v>
      </c>
      <c r="AA48" s="25" t="str">
        <f t="shared" si="34"/>
        <v/>
      </c>
      <c r="AB48" s="25" t="str">
        <f t="shared" si="34"/>
        <v/>
      </c>
      <c r="AC48" s="25" t="str">
        <f t="shared" si="34"/>
        <v/>
      </c>
      <c r="AD48" s="25">
        <f t="shared" si="34"/>
        <v>1</v>
      </c>
      <c r="AE48" s="25">
        <f t="shared" si="34"/>
        <v>1</v>
      </c>
      <c r="AF48" s="25" t="str">
        <f t="shared" si="34"/>
        <v/>
      </c>
      <c r="AG48" s="25" t="str">
        <f t="shared" si="34"/>
        <v/>
      </c>
      <c r="AH48" s="25" t="str">
        <f t="shared" si="34"/>
        <v/>
      </c>
      <c r="AI48" s="25" t="str">
        <f t="shared" si="34"/>
        <v/>
      </c>
      <c r="AJ48" s="25" t="str">
        <f t="shared" si="34"/>
        <v/>
      </c>
      <c r="AK48" s="25" t="str">
        <f t="shared" si="34"/>
        <v/>
      </c>
      <c r="AL48" s="25" t="str">
        <f t="shared" si="34"/>
        <v/>
      </c>
      <c r="AM48" s="25" t="str">
        <f t="shared" si="34"/>
        <v/>
      </c>
    </row>
    <row r="49" spans="1:39" x14ac:dyDescent="0.25">
      <c r="A49" s="96"/>
      <c r="B49" s="3" t="s">
        <v>11</v>
      </c>
      <c r="C49" s="2">
        <f t="shared" si="22"/>
        <v>1</v>
      </c>
      <c r="D49" s="2">
        <f t="shared" ref="D49:S49" si="35">IF(D15&lt;4,4-D15,"")</f>
        <v>1</v>
      </c>
      <c r="E49" s="2" t="str">
        <f t="shared" si="35"/>
        <v/>
      </c>
      <c r="F49" s="2" t="str">
        <f t="shared" si="35"/>
        <v/>
      </c>
      <c r="G49" s="2" t="str">
        <f t="shared" si="35"/>
        <v/>
      </c>
      <c r="H49" s="2" t="str">
        <f t="shared" si="35"/>
        <v/>
      </c>
      <c r="I49" s="2" t="str">
        <f t="shared" si="35"/>
        <v/>
      </c>
      <c r="J49" s="2" t="str">
        <f t="shared" si="35"/>
        <v/>
      </c>
      <c r="K49" s="2" t="str">
        <f t="shared" si="35"/>
        <v/>
      </c>
      <c r="L49" s="2" t="str">
        <f t="shared" si="35"/>
        <v/>
      </c>
      <c r="M49" s="2" t="str">
        <f t="shared" si="35"/>
        <v/>
      </c>
      <c r="N49" s="2" t="str">
        <f t="shared" si="35"/>
        <v/>
      </c>
      <c r="O49" s="2" t="str">
        <f t="shared" si="35"/>
        <v/>
      </c>
      <c r="P49" s="2" t="str">
        <f t="shared" si="35"/>
        <v/>
      </c>
      <c r="Q49" s="2" t="str">
        <f t="shared" si="35"/>
        <v/>
      </c>
      <c r="R49" s="2" t="str">
        <f t="shared" si="35"/>
        <v/>
      </c>
      <c r="S49" s="2" t="str">
        <f t="shared" si="35"/>
        <v/>
      </c>
      <c r="T49" s="4"/>
      <c r="U49" s="96"/>
      <c r="V49" s="3" t="s">
        <v>54</v>
      </c>
      <c r="W49" s="40">
        <f t="shared" si="7"/>
        <v>7</v>
      </c>
      <c r="X49" s="8" t="str">
        <f t="shared" ref="X49:AM49" si="36">IF(X15&lt;3,3-X15,"")</f>
        <v/>
      </c>
      <c r="Y49" s="8">
        <f t="shared" si="36"/>
        <v>2</v>
      </c>
      <c r="Z49" s="8" t="str">
        <f t="shared" si="36"/>
        <v/>
      </c>
      <c r="AA49" s="8" t="str">
        <f t="shared" si="36"/>
        <v/>
      </c>
      <c r="AB49" s="8" t="str">
        <f t="shared" si="36"/>
        <v/>
      </c>
      <c r="AC49" s="8" t="str">
        <f t="shared" si="36"/>
        <v/>
      </c>
      <c r="AD49" s="8" t="str">
        <f t="shared" si="36"/>
        <v/>
      </c>
      <c r="AE49" s="8">
        <f t="shared" si="36"/>
        <v>1</v>
      </c>
      <c r="AF49" s="8" t="str">
        <f t="shared" si="36"/>
        <v/>
      </c>
      <c r="AG49" s="8" t="str">
        <f t="shared" si="36"/>
        <v/>
      </c>
      <c r="AH49" s="8" t="str">
        <f t="shared" si="36"/>
        <v/>
      </c>
      <c r="AI49" s="8" t="str">
        <f t="shared" si="36"/>
        <v/>
      </c>
      <c r="AJ49" s="8" t="str">
        <f t="shared" si="36"/>
        <v/>
      </c>
      <c r="AK49" s="8" t="str">
        <f t="shared" si="36"/>
        <v/>
      </c>
      <c r="AL49" s="8" t="str">
        <f t="shared" si="36"/>
        <v/>
      </c>
      <c r="AM49" s="8" t="str">
        <f t="shared" si="36"/>
        <v/>
      </c>
    </row>
    <row r="50" spans="1:39" x14ac:dyDescent="0.25">
      <c r="A50" s="96"/>
      <c r="B50" s="3" t="s">
        <v>25</v>
      </c>
      <c r="C50" s="23" t="str">
        <f t="shared" si="22"/>
        <v/>
      </c>
      <c r="D50" s="23">
        <f t="shared" ref="D50:S50" si="37">IF(D16&lt;4,4-D16,"")</f>
        <v>1</v>
      </c>
      <c r="E50" s="23">
        <f t="shared" si="37"/>
        <v>3</v>
      </c>
      <c r="F50" s="23" t="str">
        <f t="shared" si="37"/>
        <v/>
      </c>
      <c r="G50" s="23" t="str">
        <f t="shared" si="37"/>
        <v/>
      </c>
      <c r="H50" s="23" t="str">
        <f t="shared" si="37"/>
        <v/>
      </c>
      <c r="I50" s="23" t="str">
        <f t="shared" si="37"/>
        <v/>
      </c>
      <c r="J50" s="23" t="str">
        <f t="shared" si="37"/>
        <v/>
      </c>
      <c r="K50" s="23" t="str">
        <f t="shared" si="37"/>
        <v/>
      </c>
      <c r="L50" s="23" t="str">
        <f t="shared" si="37"/>
        <v/>
      </c>
      <c r="M50" s="23" t="str">
        <f t="shared" si="37"/>
        <v/>
      </c>
      <c r="N50" s="23" t="str">
        <f t="shared" si="37"/>
        <v/>
      </c>
      <c r="O50" s="23" t="str">
        <f t="shared" si="37"/>
        <v/>
      </c>
      <c r="P50" s="23" t="str">
        <f t="shared" si="37"/>
        <v/>
      </c>
      <c r="Q50" s="23" t="str">
        <f t="shared" si="37"/>
        <v/>
      </c>
      <c r="R50" s="23" t="str">
        <f t="shared" si="37"/>
        <v/>
      </c>
      <c r="S50" s="23" t="str">
        <f t="shared" si="37"/>
        <v/>
      </c>
      <c r="T50" s="4"/>
      <c r="U50" s="96"/>
      <c r="V50" s="3" t="s">
        <v>55</v>
      </c>
      <c r="W50" s="25">
        <f t="shared" si="7"/>
        <v>8</v>
      </c>
      <c r="X50" s="25" t="str">
        <f t="shared" ref="X50:AM50" si="38">IF(X16&lt;3, 3-X16,"")</f>
        <v/>
      </c>
      <c r="Y50" s="25" t="str">
        <f t="shared" si="38"/>
        <v/>
      </c>
      <c r="Z50" s="25" t="str">
        <f t="shared" si="38"/>
        <v/>
      </c>
      <c r="AA50" s="25" t="str">
        <f t="shared" si="38"/>
        <v/>
      </c>
      <c r="AB50" s="25" t="str">
        <f t="shared" si="38"/>
        <v/>
      </c>
      <c r="AC50" s="25" t="str">
        <f t="shared" si="38"/>
        <v/>
      </c>
      <c r="AD50" s="25" t="str">
        <f t="shared" si="38"/>
        <v/>
      </c>
      <c r="AE50" s="25" t="str">
        <f t="shared" si="38"/>
        <v/>
      </c>
      <c r="AF50" s="25" t="str">
        <f t="shared" si="38"/>
        <v/>
      </c>
      <c r="AG50" s="25" t="str">
        <f t="shared" si="38"/>
        <v/>
      </c>
      <c r="AH50" s="25" t="str">
        <f t="shared" si="38"/>
        <v/>
      </c>
      <c r="AI50" s="25" t="str">
        <f t="shared" si="38"/>
        <v/>
      </c>
      <c r="AJ50" s="25" t="str">
        <f t="shared" si="38"/>
        <v/>
      </c>
      <c r="AK50" s="25" t="str">
        <f t="shared" si="38"/>
        <v/>
      </c>
      <c r="AL50" s="25" t="str">
        <f t="shared" si="38"/>
        <v/>
      </c>
      <c r="AM50" s="25" t="str">
        <f t="shared" si="38"/>
        <v/>
      </c>
    </row>
    <row r="51" spans="1:39" x14ac:dyDescent="0.25">
      <c r="A51" s="96"/>
      <c r="B51" s="3" t="s">
        <v>26</v>
      </c>
      <c r="C51" s="2" t="str">
        <f t="shared" si="22"/>
        <v/>
      </c>
      <c r="D51" s="2" t="str">
        <f t="shared" ref="D51:S51" si="39">IF(D17&lt;4,4-D17,"")</f>
        <v/>
      </c>
      <c r="E51" s="2" t="str">
        <f t="shared" si="39"/>
        <v/>
      </c>
      <c r="F51" s="2" t="str">
        <f t="shared" si="39"/>
        <v/>
      </c>
      <c r="G51" s="2">
        <f t="shared" si="39"/>
        <v>1</v>
      </c>
      <c r="H51" s="2" t="str">
        <f t="shared" si="39"/>
        <v/>
      </c>
      <c r="I51" s="2" t="str">
        <f t="shared" si="39"/>
        <v/>
      </c>
      <c r="J51" s="2" t="str">
        <f t="shared" si="39"/>
        <v/>
      </c>
      <c r="K51" s="2" t="str">
        <f t="shared" si="39"/>
        <v/>
      </c>
      <c r="L51" s="2" t="str">
        <f t="shared" si="39"/>
        <v/>
      </c>
      <c r="M51" s="2">
        <f t="shared" si="39"/>
        <v>1</v>
      </c>
      <c r="N51" s="2" t="str">
        <f t="shared" si="39"/>
        <v/>
      </c>
      <c r="O51" s="2" t="str">
        <f t="shared" si="39"/>
        <v/>
      </c>
      <c r="P51" s="2" t="str">
        <f t="shared" si="39"/>
        <v/>
      </c>
      <c r="Q51" s="2" t="str">
        <f t="shared" si="39"/>
        <v/>
      </c>
      <c r="R51" s="2" t="str">
        <f t="shared" si="39"/>
        <v/>
      </c>
      <c r="S51" s="2" t="str">
        <f t="shared" si="39"/>
        <v/>
      </c>
      <c r="T51" s="4"/>
      <c r="U51" s="96"/>
      <c r="V51" s="3" t="s">
        <v>38</v>
      </c>
      <c r="W51" s="40">
        <f t="shared" si="7"/>
        <v>2</v>
      </c>
      <c r="X51" s="8" t="str">
        <f t="shared" ref="X51:AM51" si="40">IF(X17&lt;3,3-X17,"")</f>
        <v/>
      </c>
      <c r="Y51" s="8">
        <f t="shared" si="40"/>
        <v>1</v>
      </c>
      <c r="Z51" s="8" t="str">
        <f t="shared" si="40"/>
        <v/>
      </c>
      <c r="AA51" s="8" t="str">
        <f t="shared" si="40"/>
        <v/>
      </c>
      <c r="AB51" s="8" t="str">
        <f t="shared" si="40"/>
        <v/>
      </c>
      <c r="AC51" s="8" t="str">
        <f t="shared" si="40"/>
        <v/>
      </c>
      <c r="AD51" s="8" t="str">
        <f t="shared" si="40"/>
        <v/>
      </c>
      <c r="AE51" s="8" t="str">
        <f t="shared" si="40"/>
        <v/>
      </c>
      <c r="AF51" s="8" t="str">
        <f t="shared" si="40"/>
        <v/>
      </c>
      <c r="AG51" s="8" t="str">
        <f t="shared" si="40"/>
        <v/>
      </c>
      <c r="AH51" s="8">
        <f t="shared" si="40"/>
        <v>1</v>
      </c>
      <c r="AI51" s="8" t="str">
        <f t="shared" si="40"/>
        <v/>
      </c>
      <c r="AJ51" s="8" t="str">
        <f t="shared" si="40"/>
        <v/>
      </c>
      <c r="AK51" s="8" t="str">
        <f t="shared" si="40"/>
        <v/>
      </c>
      <c r="AL51" s="8" t="str">
        <f t="shared" si="40"/>
        <v/>
      </c>
      <c r="AM51" s="8" t="str">
        <f t="shared" si="40"/>
        <v/>
      </c>
    </row>
    <row r="52" spans="1:39" x14ac:dyDescent="0.25">
      <c r="A52" s="96"/>
      <c r="B52" s="3" t="s">
        <v>12</v>
      </c>
      <c r="C52" s="23" t="str">
        <f t="shared" si="22"/>
        <v/>
      </c>
      <c r="D52" s="23">
        <f t="shared" ref="D52:S52" si="41">IF(D18&lt;4,4-D18,"")</f>
        <v>1</v>
      </c>
      <c r="E52" s="23">
        <f t="shared" si="41"/>
        <v>1</v>
      </c>
      <c r="F52" s="23" t="str">
        <f t="shared" si="41"/>
        <v/>
      </c>
      <c r="G52" s="23" t="str">
        <f t="shared" si="41"/>
        <v/>
      </c>
      <c r="H52" s="23" t="str">
        <f t="shared" si="41"/>
        <v/>
      </c>
      <c r="I52" s="23" t="str">
        <f t="shared" si="41"/>
        <v/>
      </c>
      <c r="J52" s="23" t="str">
        <f t="shared" si="41"/>
        <v/>
      </c>
      <c r="K52" s="23" t="str">
        <f t="shared" si="41"/>
        <v/>
      </c>
      <c r="L52" s="23" t="str">
        <f t="shared" si="41"/>
        <v/>
      </c>
      <c r="M52" s="23" t="str">
        <f t="shared" si="41"/>
        <v/>
      </c>
      <c r="N52" s="23" t="str">
        <f t="shared" si="41"/>
        <v/>
      </c>
      <c r="O52" s="23" t="str">
        <f t="shared" si="41"/>
        <v/>
      </c>
      <c r="P52" s="23" t="str">
        <f t="shared" si="41"/>
        <v/>
      </c>
      <c r="Q52" s="23" t="str">
        <f t="shared" si="41"/>
        <v/>
      </c>
      <c r="R52" s="23" t="str">
        <f t="shared" si="41"/>
        <v/>
      </c>
      <c r="S52" s="23" t="str">
        <f t="shared" si="41"/>
        <v/>
      </c>
      <c r="T52" s="4"/>
      <c r="U52" s="96"/>
      <c r="V52" s="3" t="s">
        <v>39</v>
      </c>
      <c r="W52" s="25" t="str">
        <f t="shared" si="7"/>
        <v/>
      </c>
      <c r="X52" s="25" t="str">
        <f t="shared" ref="X52:AM52" si="42">IF(X18&lt;3, 3-X18,"")</f>
        <v/>
      </c>
      <c r="Y52" s="25">
        <f t="shared" si="42"/>
        <v>1</v>
      </c>
      <c r="Z52" s="25" t="str">
        <f t="shared" si="42"/>
        <v/>
      </c>
      <c r="AA52" s="25" t="str">
        <f t="shared" si="42"/>
        <v/>
      </c>
      <c r="AB52" s="25" t="str">
        <f t="shared" si="42"/>
        <v/>
      </c>
      <c r="AC52" s="25" t="str">
        <f t="shared" si="42"/>
        <v/>
      </c>
      <c r="AD52" s="25" t="str">
        <f t="shared" si="42"/>
        <v/>
      </c>
      <c r="AE52" s="25" t="str">
        <f t="shared" si="42"/>
        <v/>
      </c>
      <c r="AF52" s="25" t="str">
        <f t="shared" si="42"/>
        <v/>
      </c>
      <c r="AG52" s="25">
        <f t="shared" si="42"/>
        <v>2</v>
      </c>
      <c r="AH52" s="25" t="str">
        <f t="shared" si="42"/>
        <v/>
      </c>
      <c r="AI52" s="25" t="str">
        <f t="shared" si="42"/>
        <v/>
      </c>
      <c r="AJ52" s="25" t="str">
        <f t="shared" si="42"/>
        <v/>
      </c>
      <c r="AK52" s="25" t="str">
        <f t="shared" si="42"/>
        <v/>
      </c>
      <c r="AL52" s="25" t="str">
        <f t="shared" si="42"/>
        <v/>
      </c>
      <c r="AM52" s="25" t="str">
        <f t="shared" si="42"/>
        <v/>
      </c>
    </row>
    <row r="53" spans="1:39" x14ac:dyDescent="0.25">
      <c r="A53" s="96"/>
      <c r="B53" s="3" t="s">
        <v>13</v>
      </c>
      <c r="C53" s="2" t="str">
        <f t="shared" si="22"/>
        <v/>
      </c>
      <c r="D53" s="2" t="str">
        <f t="shared" ref="D53:S53" si="43">IF(D19&lt;4,4-D19,"")</f>
        <v/>
      </c>
      <c r="E53" s="2">
        <f t="shared" si="43"/>
        <v>1</v>
      </c>
      <c r="F53" s="2" t="str">
        <f t="shared" si="43"/>
        <v/>
      </c>
      <c r="G53" s="2" t="str">
        <f t="shared" si="43"/>
        <v/>
      </c>
      <c r="H53" s="2" t="str">
        <f t="shared" si="43"/>
        <v/>
      </c>
      <c r="I53" s="2" t="str">
        <f t="shared" si="43"/>
        <v/>
      </c>
      <c r="J53" s="2" t="str">
        <f t="shared" si="43"/>
        <v/>
      </c>
      <c r="K53" s="2">
        <f t="shared" si="43"/>
        <v>1</v>
      </c>
      <c r="L53" s="2" t="str">
        <f t="shared" si="43"/>
        <v/>
      </c>
      <c r="M53" s="2" t="str">
        <f t="shared" si="43"/>
        <v/>
      </c>
      <c r="N53" s="2" t="str">
        <f t="shared" si="43"/>
        <v/>
      </c>
      <c r="O53" s="2" t="str">
        <f t="shared" si="43"/>
        <v/>
      </c>
      <c r="P53" s="2" t="str">
        <f t="shared" si="43"/>
        <v/>
      </c>
      <c r="Q53" s="2" t="str">
        <f t="shared" si="43"/>
        <v/>
      </c>
      <c r="R53" s="2" t="str">
        <f t="shared" si="43"/>
        <v/>
      </c>
      <c r="S53" s="2" t="str">
        <f t="shared" si="43"/>
        <v/>
      </c>
      <c r="T53" s="4"/>
      <c r="U53" s="96"/>
      <c r="V53" s="3" t="s">
        <v>40</v>
      </c>
      <c r="W53" s="40" t="str">
        <f t="shared" si="7"/>
        <v/>
      </c>
      <c r="X53" s="8" t="str">
        <f t="shared" ref="X53:AM53" si="44">IF(X19&lt;3,3-X19,"")</f>
        <v/>
      </c>
      <c r="Y53" s="8" t="str">
        <f t="shared" si="44"/>
        <v/>
      </c>
      <c r="Z53" s="8" t="str">
        <f t="shared" si="44"/>
        <v/>
      </c>
      <c r="AA53" s="8" t="str">
        <f t="shared" si="44"/>
        <v/>
      </c>
      <c r="AB53" s="8" t="str">
        <f t="shared" si="44"/>
        <v/>
      </c>
      <c r="AC53" s="8" t="str">
        <f t="shared" si="44"/>
        <v/>
      </c>
      <c r="AD53" s="8" t="str">
        <f t="shared" si="44"/>
        <v/>
      </c>
      <c r="AE53" s="8" t="str">
        <f t="shared" si="44"/>
        <v/>
      </c>
      <c r="AF53" s="8">
        <f t="shared" si="44"/>
        <v>1</v>
      </c>
      <c r="AG53" s="8" t="str">
        <f t="shared" si="44"/>
        <v/>
      </c>
      <c r="AH53" s="8" t="str">
        <f t="shared" si="44"/>
        <v/>
      </c>
      <c r="AI53" s="8">
        <f t="shared" si="44"/>
        <v>1</v>
      </c>
      <c r="AJ53" s="8" t="str">
        <f t="shared" si="44"/>
        <v/>
      </c>
      <c r="AK53" s="8" t="str">
        <f t="shared" si="44"/>
        <v/>
      </c>
      <c r="AL53" s="8" t="str">
        <f t="shared" si="44"/>
        <v/>
      </c>
      <c r="AM53" s="8">
        <f t="shared" si="44"/>
        <v>1</v>
      </c>
    </row>
    <row r="54" spans="1:39" x14ac:dyDescent="0.25">
      <c r="A54" s="96"/>
      <c r="B54" s="3" t="s">
        <v>14</v>
      </c>
      <c r="C54" s="23" t="str">
        <f t="shared" si="22"/>
        <v/>
      </c>
      <c r="D54" s="23" t="str">
        <f t="shared" ref="D54:S54" si="45">IF(D20&lt;4,4-D20,"")</f>
        <v/>
      </c>
      <c r="E54" s="23" t="str">
        <f t="shared" si="45"/>
        <v/>
      </c>
      <c r="F54" s="23" t="str">
        <f t="shared" si="45"/>
        <v/>
      </c>
      <c r="G54" s="23">
        <f t="shared" si="45"/>
        <v>1</v>
      </c>
      <c r="H54" s="23" t="str">
        <f t="shared" si="45"/>
        <v/>
      </c>
      <c r="I54" s="23" t="str">
        <f t="shared" si="45"/>
        <v/>
      </c>
      <c r="J54" s="23" t="str">
        <f t="shared" si="45"/>
        <v/>
      </c>
      <c r="K54" s="23" t="str">
        <f t="shared" si="45"/>
        <v/>
      </c>
      <c r="L54" s="23" t="str">
        <f t="shared" si="45"/>
        <v/>
      </c>
      <c r="M54" s="23" t="str">
        <f t="shared" si="45"/>
        <v/>
      </c>
      <c r="N54" s="23" t="str">
        <f t="shared" si="45"/>
        <v/>
      </c>
      <c r="O54" s="23" t="str">
        <f t="shared" si="45"/>
        <v/>
      </c>
      <c r="P54" s="23" t="str">
        <f t="shared" si="45"/>
        <v/>
      </c>
      <c r="Q54" s="23" t="str">
        <f t="shared" si="45"/>
        <v/>
      </c>
      <c r="R54" s="23" t="str">
        <f t="shared" si="45"/>
        <v/>
      </c>
      <c r="S54" s="23" t="str">
        <f t="shared" si="45"/>
        <v/>
      </c>
      <c r="T54" s="4"/>
      <c r="U54" s="96"/>
      <c r="V54" s="3" t="s">
        <v>41</v>
      </c>
      <c r="W54" s="25">
        <f t="shared" si="7"/>
        <v>1</v>
      </c>
      <c r="X54" s="25" t="str">
        <f t="shared" ref="X54:AM54" si="46">IF(X20&lt;3, 3-X20,"")</f>
        <v/>
      </c>
      <c r="Y54" s="25" t="str">
        <f t="shared" si="46"/>
        <v/>
      </c>
      <c r="Z54" s="25" t="str">
        <f t="shared" si="46"/>
        <v/>
      </c>
      <c r="AA54" s="25" t="str">
        <f t="shared" si="46"/>
        <v/>
      </c>
      <c r="AB54" s="25" t="str">
        <f t="shared" si="46"/>
        <v/>
      </c>
      <c r="AC54" s="25" t="str">
        <f t="shared" si="46"/>
        <v/>
      </c>
      <c r="AD54" s="25" t="str">
        <f t="shared" si="46"/>
        <v/>
      </c>
      <c r="AE54" s="25" t="str">
        <f t="shared" si="46"/>
        <v/>
      </c>
      <c r="AF54" s="25" t="str">
        <f t="shared" si="46"/>
        <v/>
      </c>
      <c r="AG54" s="25" t="str">
        <f t="shared" si="46"/>
        <v/>
      </c>
      <c r="AH54" s="25">
        <f t="shared" si="46"/>
        <v>1</v>
      </c>
      <c r="AI54" s="25" t="str">
        <f t="shared" si="46"/>
        <v/>
      </c>
      <c r="AJ54" s="25" t="str">
        <f t="shared" si="46"/>
        <v/>
      </c>
      <c r="AK54" s="25" t="str">
        <f t="shared" si="46"/>
        <v/>
      </c>
      <c r="AL54" s="25" t="str">
        <f t="shared" si="46"/>
        <v/>
      </c>
      <c r="AM54" s="25" t="str">
        <f t="shared" si="46"/>
        <v/>
      </c>
    </row>
    <row r="55" spans="1:39" x14ac:dyDescent="0.25">
      <c r="A55" s="96"/>
      <c r="B55" s="3" t="s">
        <v>15</v>
      </c>
      <c r="C55" s="2" t="str">
        <f t="shared" si="22"/>
        <v/>
      </c>
      <c r="D55" s="2" t="str">
        <f t="shared" ref="D55:S55" si="47">IF(D21&lt;4,4-D21,"")</f>
        <v/>
      </c>
      <c r="E55" s="2" t="str">
        <f t="shared" si="47"/>
        <v/>
      </c>
      <c r="F55" s="2" t="str">
        <f t="shared" si="47"/>
        <v/>
      </c>
      <c r="G55" s="2" t="str">
        <f t="shared" si="47"/>
        <v/>
      </c>
      <c r="H55" s="2" t="str">
        <f t="shared" si="47"/>
        <v/>
      </c>
      <c r="I55" s="2" t="str">
        <f t="shared" si="47"/>
        <v/>
      </c>
      <c r="J55" s="2" t="str">
        <f t="shared" si="47"/>
        <v/>
      </c>
      <c r="K55" s="2" t="str">
        <f t="shared" si="47"/>
        <v/>
      </c>
      <c r="L55" s="2" t="str">
        <f t="shared" si="47"/>
        <v/>
      </c>
      <c r="M55" s="2" t="str">
        <f t="shared" si="47"/>
        <v/>
      </c>
      <c r="N55" s="2" t="str">
        <f t="shared" si="47"/>
        <v/>
      </c>
      <c r="O55" s="2" t="str">
        <f t="shared" si="47"/>
        <v/>
      </c>
      <c r="P55" s="2" t="str">
        <f t="shared" si="47"/>
        <v/>
      </c>
      <c r="Q55" s="2" t="str">
        <f t="shared" si="47"/>
        <v/>
      </c>
      <c r="R55" s="2" t="str">
        <f t="shared" si="47"/>
        <v/>
      </c>
      <c r="S55" s="2">
        <f t="shared" si="47"/>
        <v>1</v>
      </c>
      <c r="T55" s="4"/>
      <c r="U55" s="96"/>
      <c r="V55" s="3" t="s">
        <v>42</v>
      </c>
      <c r="W55" s="40" t="str">
        <f t="shared" si="7"/>
        <v/>
      </c>
      <c r="X55" s="8" t="str">
        <f t="shared" ref="X55:AM55" si="48">IF(X21&lt;3,3-X21,"")</f>
        <v/>
      </c>
      <c r="Y55" s="8" t="str">
        <f t="shared" si="48"/>
        <v/>
      </c>
      <c r="Z55" s="8" t="str">
        <f t="shared" si="48"/>
        <v/>
      </c>
      <c r="AA55" s="8" t="str">
        <f t="shared" si="48"/>
        <v/>
      </c>
      <c r="AB55" s="8" t="str">
        <f t="shared" si="48"/>
        <v/>
      </c>
      <c r="AC55" s="8" t="str">
        <f t="shared" si="48"/>
        <v/>
      </c>
      <c r="AD55" s="8" t="str">
        <f t="shared" si="48"/>
        <v/>
      </c>
      <c r="AE55" s="8" t="str">
        <f t="shared" si="48"/>
        <v/>
      </c>
      <c r="AF55" s="8" t="str">
        <f t="shared" si="48"/>
        <v/>
      </c>
      <c r="AG55" s="8" t="str">
        <f t="shared" si="48"/>
        <v/>
      </c>
      <c r="AH55" s="8" t="str">
        <f t="shared" si="48"/>
        <v/>
      </c>
      <c r="AI55" s="8" t="str">
        <f t="shared" si="48"/>
        <v/>
      </c>
      <c r="AJ55" s="8" t="str">
        <f t="shared" si="48"/>
        <v/>
      </c>
      <c r="AK55" s="8" t="str">
        <f t="shared" si="48"/>
        <v/>
      </c>
      <c r="AL55" s="8" t="str">
        <f t="shared" si="48"/>
        <v/>
      </c>
      <c r="AM55" s="8" t="str">
        <f t="shared" si="48"/>
        <v/>
      </c>
    </row>
    <row r="56" spans="1:39" x14ac:dyDescent="0.25">
      <c r="A56" s="96"/>
      <c r="B56" s="3" t="s">
        <v>16</v>
      </c>
      <c r="C56" s="23" t="str">
        <f t="shared" si="22"/>
        <v/>
      </c>
      <c r="D56" s="23" t="str">
        <f t="shared" ref="D56:S56" si="49">IF(D22&lt;4,4-D22,"")</f>
        <v/>
      </c>
      <c r="E56" s="23" t="str">
        <f t="shared" si="49"/>
        <v/>
      </c>
      <c r="F56" s="23" t="str">
        <f t="shared" si="49"/>
        <v/>
      </c>
      <c r="G56" s="23" t="str">
        <f t="shared" si="49"/>
        <v/>
      </c>
      <c r="H56" s="23" t="str">
        <f t="shared" si="49"/>
        <v/>
      </c>
      <c r="I56" s="23" t="str">
        <f t="shared" si="49"/>
        <v/>
      </c>
      <c r="J56" s="23" t="str">
        <f t="shared" si="49"/>
        <v/>
      </c>
      <c r="K56" s="23" t="str">
        <f t="shared" si="49"/>
        <v/>
      </c>
      <c r="L56" s="23" t="str">
        <f t="shared" si="49"/>
        <v/>
      </c>
      <c r="M56" s="23" t="str">
        <f t="shared" si="49"/>
        <v/>
      </c>
      <c r="N56" s="23" t="str">
        <f t="shared" si="49"/>
        <v/>
      </c>
      <c r="O56" s="23" t="str">
        <f t="shared" si="49"/>
        <v/>
      </c>
      <c r="P56" s="23" t="str">
        <f t="shared" si="49"/>
        <v/>
      </c>
      <c r="Q56" s="23" t="str">
        <f t="shared" si="49"/>
        <v/>
      </c>
      <c r="R56" s="23" t="str">
        <f t="shared" si="49"/>
        <v/>
      </c>
      <c r="S56" s="23" t="str">
        <f t="shared" si="49"/>
        <v/>
      </c>
      <c r="T56" s="4"/>
      <c r="U56" s="96"/>
      <c r="V56" s="3" t="s">
        <v>43</v>
      </c>
      <c r="W56" s="25">
        <f t="shared" si="7"/>
        <v>1</v>
      </c>
      <c r="X56" s="25" t="str">
        <f t="shared" ref="X56:AM56" si="50">IF(X22&lt;3, 3-X22,"")</f>
        <v/>
      </c>
      <c r="Y56" s="25" t="str">
        <f t="shared" si="50"/>
        <v/>
      </c>
      <c r="Z56" s="25" t="str">
        <f t="shared" si="50"/>
        <v/>
      </c>
      <c r="AA56" s="25" t="str">
        <f t="shared" si="50"/>
        <v/>
      </c>
      <c r="AB56" s="25" t="str">
        <f t="shared" si="50"/>
        <v/>
      </c>
      <c r="AC56" s="25" t="str">
        <f t="shared" si="50"/>
        <v/>
      </c>
      <c r="AD56" s="25" t="str">
        <f t="shared" si="50"/>
        <v/>
      </c>
      <c r="AE56" s="25" t="str">
        <f t="shared" si="50"/>
        <v/>
      </c>
      <c r="AF56" s="25" t="str">
        <f t="shared" si="50"/>
        <v/>
      </c>
      <c r="AG56" s="25" t="str">
        <f t="shared" si="50"/>
        <v/>
      </c>
      <c r="AH56" s="25" t="str">
        <f t="shared" si="50"/>
        <v/>
      </c>
      <c r="AI56" s="25" t="str">
        <f t="shared" si="50"/>
        <v/>
      </c>
      <c r="AJ56" s="25" t="str">
        <f t="shared" si="50"/>
        <v/>
      </c>
      <c r="AK56" s="25" t="str">
        <f t="shared" si="50"/>
        <v/>
      </c>
      <c r="AL56" s="25" t="str">
        <f t="shared" si="50"/>
        <v/>
      </c>
      <c r="AM56" s="25">
        <f t="shared" si="50"/>
        <v>1</v>
      </c>
    </row>
    <row r="57" spans="1:39" x14ac:dyDescent="0.25">
      <c r="A57" s="96"/>
      <c r="B57" s="3" t="s">
        <v>17</v>
      </c>
      <c r="C57" s="2" t="str">
        <f t="shared" si="22"/>
        <v/>
      </c>
      <c r="D57" s="2" t="str">
        <f t="shared" ref="D57:S57" si="51">IF(D23&lt;4,4-D23,"")</f>
        <v/>
      </c>
      <c r="E57" s="2" t="str">
        <f t="shared" si="51"/>
        <v/>
      </c>
      <c r="F57" s="2" t="str">
        <f t="shared" si="51"/>
        <v/>
      </c>
      <c r="G57" s="2" t="str">
        <f t="shared" si="51"/>
        <v/>
      </c>
      <c r="H57" s="2" t="str">
        <f t="shared" si="51"/>
        <v/>
      </c>
      <c r="I57" s="2" t="str">
        <f t="shared" si="51"/>
        <v/>
      </c>
      <c r="J57" s="2" t="str">
        <f t="shared" si="51"/>
        <v/>
      </c>
      <c r="K57" s="2" t="str">
        <f t="shared" si="51"/>
        <v/>
      </c>
      <c r="L57" s="2" t="str">
        <f t="shared" si="51"/>
        <v/>
      </c>
      <c r="M57" s="2" t="str">
        <f t="shared" si="51"/>
        <v/>
      </c>
      <c r="N57" s="2" t="str">
        <f t="shared" si="51"/>
        <v/>
      </c>
      <c r="O57" s="2" t="str">
        <f t="shared" si="51"/>
        <v/>
      </c>
      <c r="P57" s="2" t="str">
        <f t="shared" si="51"/>
        <v/>
      </c>
      <c r="Q57" s="2" t="str">
        <f t="shared" si="51"/>
        <v/>
      </c>
      <c r="R57" s="2" t="str">
        <f t="shared" si="51"/>
        <v/>
      </c>
      <c r="S57" s="2" t="str">
        <f t="shared" si="51"/>
        <v/>
      </c>
      <c r="T57" s="4"/>
      <c r="U57" s="96"/>
      <c r="V57" s="3" t="s">
        <v>44</v>
      </c>
      <c r="W57" s="40" t="str">
        <f t="shared" si="7"/>
        <v/>
      </c>
      <c r="X57" s="8" t="str">
        <f t="shared" ref="X57:AM57" si="52">IF(X23&lt;3,3-X23,"")</f>
        <v/>
      </c>
      <c r="Y57" s="8" t="str">
        <f t="shared" si="52"/>
        <v/>
      </c>
      <c r="Z57" s="8" t="str">
        <f t="shared" si="52"/>
        <v/>
      </c>
      <c r="AA57" s="8" t="str">
        <f t="shared" si="52"/>
        <v/>
      </c>
      <c r="AB57" s="8" t="str">
        <f t="shared" si="52"/>
        <v/>
      </c>
      <c r="AC57" s="8" t="str">
        <f t="shared" si="52"/>
        <v/>
      </c>
      <c r="AD57" s="8" t="str">
        <f t="shared" si="52"/>
        <v/>
      </c>
      <c r="AE57" s="8" t="str">
        <f t="shared" si="52"/>
        <v/>
      </c>
      <c r="AF57" s="8" t="str">
        <f t="shared" si="52"/>
        <v/>
      </c>
      <c r="AG57" s="8" t="str">
        <f t="shared" si="52"/>
        <v/>
      </c>
      <c r="AH57" s="8" t="str">
        <f t="shared" si="52"/>
        <v/>
      </c>
      <c r="AI57" s="8" t="str">
        <f t="shared" si="52"/>
        <v/>
      </c>
      <c r="AJ57" s="8" t="str">
        <f t="shared" si="52"/>
        <v/>
      </c>
      <c r="AK57" s="8" t="str">
        <f t="shared" si="52"/>
        <v/>
      </c>
      <c r="AL57" s="8" t="str">
        <f t="shared" si="52"/>
        <v/>
      </c>
      <c r="AM57" s="8" t="str">
        <f t="shared" si="52"/>
        <v/>
      </c>
    </row>
    <row r="58" spans="1:39" x14ac:dyDescent="0.25">
      <c r="A58" s="96"/>
      <c r="B58" s="3" t="s">
        <v>18</v>
      </c>
      <c r="C58" s="23">
        <f t="shared" si="22"/>
        <v>1</v>
      </c>
      <c r="D58" s="23" t="str">
        <f t="shared" ref="D58:S58" si="53">IF(D24&lt;4,4-D24,"")</f>
        <v/>
      </c>
      <c r="E58" s="23" t="str">
        <f t="shared" si="53"/>
        <v/>
      </c>
      <c r="F58" s="23" t="str">
        <f t="shared" si="53"/>
        <v/>
      </c>
      <c r="G58" s="23" t="str">
        <f t="shared" si="53"/>
        <v/>
      </c>
      <c r="H58" s="23" t="str">
        <f t="shared" si="53"/>
        <v/>
      </c>
      <c r="I58" s="23" t="str">
        <f t="shared" si="53"/>
        <v/>
      </c>
      <c r="J58" s="23" t="str">
        <f t="shared" si="53"/>
        <v/>
      </c>
      <c r="K58" s="23">
        <f t="shared" si="53"/>
        <v>1</v>
      </c>
      <c r="L58" s="23" t="str">
        <f t="shared" si="53"/>
        <v/>
      </c>
      <c r="M58" s="23" t="str">
        <f t="shared" si="53"/>
        <v/>
      </c>
      <c r="N58" s="23" t="str">
        <f t="shared" si="53"/>
        <v/>
      </c>
      <c r="O58" s="23" t="str">
        <f t="shared" si="53"/>
        <v/>
      </c>
      <c r="P58" s="23" t="str">
        <f t="shared" si="53"/>
        <v/>
      </c>
      <c r="Q58" s="23" t="str">
        <f t="shared" si="53"/>
        <v/>
      </c>
      <c r="R58" s="23" t="str">
        <f t="shared" si="53"/>
        <v/>
      </c>
      <c r="S58" s="23" t="str">
        <f t="shared" si="53"/>
        <v/>
      </c>
      <c r="T58" s="4"/>
      <c r="U58" s="96"/>
      <c r="V58" s="3" t="s">
        <v>45</v>
      </c>
      <c r="W58" s="25" t="str">
        <f t="shared" si="7"/>
        <v/>
      </c>
      <c r="X58" s="25" t="str">
        <f t="shared" ref="X58:AM58" si="54">IF(X24&lt;3, 3-X24,"")</f>
        <v/>
      </c>
      <c r="Y58" s="25" t="str">
        <f t="shared" si="54"/>
        <v/>
      </c>
      <c r="Z58" s="25" t="str">
        <f t="shared" si="54"/>
        <v/>
      </c>
      <c r="AA58" s="25" t="str">
        <f t="shared" si="54"/>
        <v/>
      </c>
      <c r="AB58" s="25" t="str">
        <f t="shared" si="54"/>
        <v/>
      </c>
      <c r="AC58" s="25" t="str">
        <f t="shared" si="54"/>
        <v/>
      </c>
      <c r="AD58" s="25" t="str">
        <f t="shared" si="54"/>
        <v/>
      </c>
      <c r="AE58" s="25" t="str">
        <f t="shared" si="54"/>
        <v/>
      </c>
      <c r="AF58" s="25" t="str">
        <f t="shared" si="54"/>
        <v/>
      </c>
      <c r="AG58" s="25" t="str">
        <f t="shared" si="54"/>
        <v/>
      </c>
      <c r="AH58" s="25" t="str">
        <f t="shared" si="54"/>
        <v/>
      </c>
      <c r="AI58" s="25" t="str">
        <f t="shared" si="54"/>
        <v/>
      </c>
      <c r="AJ58" s="25" t="str">
        <f t="shared" si="54"/>
        <v/>
      </c>
      <c r="AK58" s="25" t="str">
        <f t="shared" si="54"/>
        <v/>
      </c>
      <c r="AL58" s="25" t="str">
        <f t="shared" si="54"/>
        <v/>
      </c>
      <c r="AM58" s="25" t="str">
        <f t="shared" si="54"/>
        <v/>
      </c>
    </row>
    <row r="59" spans="1:39" x14ac:dyDescent="0.25">
      <c r="A59" s="96"/>
      <c r="B59" s="3" t="s">
        <v>19</v>
      </c>
      <c r="C59" s="2" t="str">
        <f t="shared" si="22"/>
        <v/>
      </c>
      <c r="D59" s="2" t="str">
        <f t="shared" ref="D59:S59" si="55">IF(D25&lt;4,4-D25,"")</f>
        <v/>
      </c>
      <c r="E59" s="2" t="str">
        <f t="shared" si="55"/>
        <v/>
      </c>
      <c r="F59" s="2" t="str">
        <f t="shared" si="55"/>
        <v/>
      </c>
      <c r="G59" s="2" t="str">
        <f t="shared" si="55"/>
        <v/>
      </c>
      <c r="H59" s="2" t="str">
        <f t="shared" si="55"/>
        <v/>
      </c>
      <c r="I59" s="2" t="str">
        <f t="shared" si="55"/>
        <v/>
      </c>
      <c r="J59" s="2" t="str">
        <f t="shared" si="55"/>
        <v/>
      </c>
      <c r="K59" s="2" t="str">
        <f t="shared" si="55"/>
        <v/>
      </c>
      <c r="L59" s="2" t="str">
        <f t="shared" si="55"/>
        <v/>
      </c>
      <c r="M59" s="2" t="str">
        <f t="shared" si="55"/>
        <v/>
      </c>
      <c r="N59" s="2" t="str">
        <f t="shared" si="55"/>
        <v/>
      </c>
      <c r="O59" s="2" t="str">
        <f t="shared" si="55"/>
        <v/>
      </c>
      <c r="P59" s="2" t="str">
        <f t="shared" si="55"/>
        <v/>
      </c>
      <c r="Q59" s="2" t="str">
        <f t="shared" si="55"/>
        <v/>
      </c>
      <c r="R59" s="2" t="str">
        <f t="shared" si="55"/>
        <v/>
      </c>
      <c r="S59" s="2" t="str">
        <f t="shared" si="55"/>
        <v/>
      </c>
      <c r="T59" s="4"/>
      <c r="U59" s="96"/>
      <c r="V59" s="3" t="s">
        <v>46</v>
      </c>
      <c r="W59" s="40" t="str">
        <f t="shared" si="7"/>
        <v/>
      </c>
      <c r="X59" s="8">
        <f t="shared" ref="X59:AM59" si="56">IF(X25&lt;3,3-X25,"")</f>
        <v>2</v>
      </c>
      <c r="Y59" s="8" t="str">
        <f t="shared" si="56"/>
        <v/>
      </c>
      <c r="Z59" s="8" t="str">
        <f t="shared" si="56"/>
        <v/>
      </c>
      <c r="AA59" s="8" t="str">
        <f t="shared" si="56"/>
        <v/>
      </c>
      <c r="AB59" s="8" t="str">
        <f t="shared" si="56"/>
        <v/>
      </c>
      <c r="AC59" s="8" t="str">
        <f t="shared" si="56"/>
        <v/>
      </c>
      <c r="AD59" s="8" t="str">
        <f t="shared" si="56"/>
        <v/>
      </c>
      <c r="AE59" s="8" t="str">
        <f t="shared" si="56"/>
        <v/>
      </c>
      <c r="AF59" s="8" t="str">
        <f t="shared" si="56"/>
        <v/>
      </c>
      <c r="AG59" s="8" t="str">
        <f t="shared" si="56"/>
        <v/>
      </c>
      <c r="AH59" s="8" t="str">
        <f t="shared" si="56"/>
        <v/>
      </c>
      <c r="AI59" s="8" t="str">
        <f t="shared" si="56"/>
        <v/>
      </c>
      <c r="AJ59" s="8" t="str">
        <f t="shared" si="56"/>
        <v/>
      </c>
      <c r="AK59" s="8" t="str">
        <f t="shared" si="56"/>
        <v/>
      </c>
      <c r="AL59" s="8" t="str">
        <f t="shared" si="56"/>
        <v/>
      </c>
      <c r="AM59" s="8" t="str">
        <f t="shared" si="56"/>
        <v/>
      </c>
    </row>
    <row r="60" spans="1:39" x14ac:dyDescent="0.25">
      <c r="A60" s="96"/>
      <c r="B60" s="3" t="s">
        <v>20</v>
      </c>
      <c r="C60" s="23" t="str">
        <f t="shared" si="22"/>
        <v/>
      </c>
      <c r="D60" s="23" t="str">
        <f t="shared" ref="D60:S60" si="57">IF(D26&lt;4,4-D26,"")</f>
        <v/>
      </c>
      <c r="E60" s="23" t="str">
        <f t="shared" si="57"/>
        <v/>
      </c>
      <c r="F60" s="23">
        <f t="shared" si="57"/>
        <v>2</v>
      </c>
      <c r="G60" s="23" t="str">
        <f t="shared" si="57"/>
        <v/>
      </c>
      <c r="H60" s="23" t="str">
        <f t="shared" si="57"/>
        <v/>
      </c>
      <c r="I60" s="23" t="str">
        <f t="shared" si="57"/>
        <v/>
      </c>
      <c r="J60" s="23" t="str">
        <f t="shared" si="57"/>
        <v/>
      </c>
      <c r="K60" s="23">
        <f t="shared" si="57"/>
        <v>1</v>
      </c>
      <c r="L60" s="23" t="str">
        <f t="shared" si="57"/>
        <v/>
      </c>
      <c r="M60" s="23" t="str">
        <f t="shared" si="57"/>
        <v/>
      </c>
      <c r="N60" s="23" t="str">
        <f t="shared" si="57"/>
        <v/>
      </c>
      <c r="O60" s="23" t="str">
        <f t="shared" si="57"/>
        <v/>
      </c>
      <c r="P60" s="23" t="str">
        <f t="shared" si="57"/>
        <v/>
      </c>
      <c r="Q60" s="23">
        <f t="shared" si="57"/>
        <v>1</v>
      </c>
      <c r="R60" s="23" t="str">
        <f t="shared" si="57"/>
        <v/>
      </c>
      <c r="S60" s="23" t="str">
        <f t="shared" si="57"/>
        <v/>
      </c>
      <c r="T60" s="4"/>
      <c r="U60" s="96"/>
      <c r="V60" s="3" t="s">
        <v>47</v>
      </c>
      <c r="W60" s="25"/>
      <c r="X60" s="25"/>
      <c r="Y60" s="25"/>
      <c r="Z60" s="25"/>
      <c r="AA60" s="25"/>
      <c r="AB60" s="25"/>
      <c r="AC60" s="25"/>
      <c r="AD60" s="25"/>
      <c r="AE60" s="25"/>
      <c r="AF60" s="25"/>
      <c r="AG60" s="25"/>
      <c r="AH60" s="25"/>
      <c r="AI60" s="25"/>
      <c r="AJ60" s="24"/>
      <c r="AK60" s="24"/>
      <c r="AL60" s="24"/>
      <c r="AM60" s="24"/>
    </row>
    <row r="61" spans="1:39" x14ac:dyDescent="0.25">
      <c r="A61" s="96"/>
      <c r="B61" s="3" t="s">
        <v>21</v>
      </c>
      <c r="C61" s="2" t="str">
        <f t="shared" si="22"/>
        <v/>
      </c>
      <c r="D61" s="2" t="str">
        <f t="shared" ref="D61:S61" si="58">IF(D27&lt;4,4-D27,"")</f>
        <v/>
      </c>
      <c r="E61" s="2" t="str">
        <f t="shared" si="58"/>
        <v/>
      </c>
      <c r="F61" s="2" t="str">
        <f t="shared" si="58"/>
        <v/>
      </c>
      <c r="G61" s="2" t="str">
        <f t="shared" si="58"/>
        <v/>
      </c>
      <c r="H61" s="2" t="str">
        <f t="shared" si="58"/>
        <v/>
      </c>
      <c r="I61" s="2" t="str">
        <f t="shared" si="58"/>
        <v/>
      </c>
      <c r="J61" s="2" t="str">
        <f t="shared" si="58"/>
        <v/>
      </c>
      <c r="K61" s="2" t="str">
        <f t="shared" si="58"/>
        <v/>
      </c>
      <c r="L61" s="2">
        <f t="shared" si="58"/>
        <v>1</v>
      </c>
      <c r="M61" s="2" t="str">
        <f t="shared" si="58"/>
        <v/>
      </c>
      <c r="N61" s="2" t="str">
        <f t="shared" si="58"/>
        <v/>
      </c>
      <c r="O61" s="2" t="str">
        <f t="shared" si="58"/>
        <v/>
      </c>
      <c r="P61" s="2" t="str">
        <f t="shared" si="58"/>
        <v/>
      </c>
      <c r="Q61" s="2" t="str">
        <f t="shared" si="58"/>
        <v/>
      </c>
      <c r="R61" s="2" t="str">
        <f t="shared" si="58"/>
        <v/>
      </c>
      <c r="S61" s="2" t="str">
        <f t="shared" si="58"/>
        <v/>
      </c>
      <c r="T61" s="4"/>
      <c r="U61" s="96"/>
      <c r="V61" s="3" t="s">
        <v>48</v>
      </c>
      <c r="W61" s="8"/>
      <c r="X61" s="8"/>
      <c r="Y61" s="8"/>
      <c r="Z61" s="8"/>
      <c r="AA61" s="8"/>
      <c r="AB61" s="8"/>
      <c r="AC61" s="8"/>
      <c r="AD61" s="8"/>
      <c r="AE61" s="8"/>
      <c r="AF61" s="8"/>
      <c r="AG61" s="8"/>
      <c r="AH61" s="8"/>
      <c r="AI61" s="8"/>
      <c r="AJ61" s="8"/>
      <c r="AK61" s="8"/>
      <c r="AL61" s="8"/>
      <c r="AM61" s="8"/>
    </row>
    <row r="62" spans="1:39" x14ac:dyDescent="0.25">
      <c r="A62" s="96"/>
      <c r="B62" s="3" t="s">
        <v>22</v>
      </c>
      <c r="C62" s="23" t="str">
        <f t="shared" si="22"/>
        <v/>
      </c>
      <c r="D62" s="23" t="str">
        <f t="shared" ref="D62:S62" si="59">IF(D28&lt;4,4-D28,"")</f>
        <v/>
      </c>
      <c r="E62" s="23">
        <f t="shared" si="59"/>
        <v>1</v>
      </c>
      <c r="F62" s="23" t="str">
        <f t="shared" si="59"/>
        <v/>
      </c>
      <c r="G62" s="23" t="str">
        <f t="shared" si="59"/>
        <v/>
      </c>
      <c r="H62" s="23" t="str">
        <f t="shared" si="59"/>
        <v/>
      </c>
      <c r="I62" s="23" t="str">
        <f t="shared" si="59"/>
        <v/>
      </c>
      <c r="J62" s="23" t="str">
        <f t="shared" si="59"/>
        <v/>
      </c>
      <c r="K62" s="23" t="str">
        <f t="shared" si="59"/>
        <v/>
      </c>
      <c r="L62" s="23" t="str">
        <f t="shared" si="59"/>
        <v/>
      </c>
      <c r="M62" s="23" t="str">
        <f t="shared" si="59"/>
        <v/>
      </c>
      <c r="N62" s="23" t="str">
        <f t="shared" si="59"/>
        <v/>
      </c>
      <c r="O62" s="23" t="str">
        <f t="shared" si="59"/>
        <v/>
      </c>
      <c r="P62" s="23" t="str">
        <f t="shared" si="59"/>
        <v/>
      </c>
      <c r="Q62" s="23" t="str">
        <f t="shared" si="59"/>
        <v/>
      </c>
      <c r="R62" s="23" t="str">
        <f t="shared" si="59"/>
        <v/>
      </c>
      <c r="S62" s="23" t="str">
        <f t="shared" si="59"/>
        <v/>
      </c>
      <c r="T62" s="4"/>
      <c r="U62" s="96"/>
      <c r="V62" s="3" t="s">
        <v>49</v>
      </c>
      <c r="W62" s="25"/>
      <c r="X62" s="25"/>
      <c r="Y62" s="25"/>
      <c r="Z62" s="25"/>
      <c r="AA62" s="25"/>
      <c r="AB62" s="25"/>
      <c r="AC62" s="25"/>
      <c r="AD62" s="25"/>
      <c r="AE62" s="25"/>
      <c r="AF62" s="25"/>
      <c r="AG62" s="25"/>
      <c r="AH62" s="25"/>
      <c r="AI62" s="25"/>
      <c r="AJ62" s="25"/>
      <c r="AK62" s="25"/>
      <c r="AL62" s="25"/>
      <c r="AM62" s="25"/>
    </row>
    <row r="63" spans="1:39" x14ac:dyDescent="0.25">
      <c r="A63" s="96"/>
      <c r="B63" s="3" t="s">
        <v>23</v>
      </c>
      <c r="C63" s="2" t="str">
        <f t="shared" si="22"/>
        <v/>
      </c>
      <c r="D63" s="2" t="str">
        <f t="shared" ref="D63:S63" si="60">IF(D29&lt;4,4-D29,"")</f>
        <v/>
      </c>
      <c r="E63" s="2" t="str">
        <f t="shared" si="60"/>
        <v/>
      </c>
      <c r="F63" s="2" t="str">
        <f t="shared" si="60"/>
        <v/>
      </c>
      <c r="G63" s="2">
        <f t="shared" si="60"/>
        <v>1</v>
      </c>
      <c r="H63" s="2" t="str">
        <f t="shared" si="60"/>
        <v/>
      </c>
      <c r="I63" s="2" t="str">
        <f t="shared" si="60"/>
        <v/>
      </c>
      <c r="J63" s="2" t="str">
        <f t="shared" si="60"/>
        <v/>
      </c>
      <c r="K63" s="2" t="str">
        <f t="shared" si="60"/>
        <v/>
      </c>
      <c r="L63" s="2" t="str">
        <f t="shared" si="60"/>
        <v/>
      </c>
      <c r="M63" s="2" t="str">
        <f t="shared" si="60"/>
        <v/>
      </c>
      <c r="N63" s="2" t="str">
        <f t="shared" si="60"/>
        <v/>
      </c>
      <c r="O63" s="2" t="str">
        <f t="shared" si="60"/>
        <v/>
      </c>
      <c r="P63" s="2" t="str">
        <f t="shared" si="60"/>
        <v/>
      </c>
      <c r="Q63" s="2" t="str">
        <f t="shared" si="60"/>
        <v/>
      </c>
      <c r="R63" s="2" t="str">
        <f t="shared" si="60"/>
        <v/>
      </c>
      <c r="S63" s="2" t="str">
        <f t="shared" si="60"/>
        <v/>
      </c>
      <c r="T63" s="4"/>
      <c r="U63" s="96"/>
      <c r="V63" s="3" t="s">
        <v>50</v>
      </c>
      <c r="W63" s="8"/>
      <c r="X63" s="8"/>
      <c r="Y63" s="8"/>
      <c r="Z63" s="8"/>
      <c r="AA63" s="8"/>
      <c r="AB63" s="8"/>
      <c r="AC63" s="8"/>
      <c r="AD63" s="8"/>
      <c r="AE63" s="8"/>
      <c r="AF63" s="8"/>
      <c r="AG63" s="8"/>
      <c r="AH63" s="8"/>
      <c r="AI63" s="8"/>
      <c r="AJ63" s="8"/>
      <c r="AK63" s="8"/>
      <c r="AL63" s="8"/>
      <c r="AM63" s="8"/>
    </row>
    <row r="64" spans="1:39" x14ac:dyDescent="0.25">
      <c r="A64" s="96"/>
      <c r="B64" s="3" t="s">
        <v>24</v>
      </c>
      <c r="C64" s="23" t="str">
        <f t="shared" si="22"/>
        <v/>
      </c>
      <c r="D64" s="23" t="str">
        <f t="shared" ref="D64:S64" si="61">IF(D30&lt;4,4-D30,"")</f>
        <v/>
      </c>
      <c r="E64" s="23" t="str">
        <f t="shared" si="61"/>
        <v/>
      </c>
      <c r="F64" s="23" t="str">
        <f t="shared" si="61"/>
        <v/>
      </c>
      <c r="G64" s="23" t="str">
        <f t="shared" si="61"/>
        <v/>
      </c>
      <c r="H64" s="23" t="str">
        <f t="shared" si="61"/>
        <v/>
      </c>
      <c r="I64" s="23" t="str">
        <f t="shared" si="61"/>
        <v/>
      </c>
      <c r="J64" s="23" t="str">
        <f t="shared" si="61"/>
        <v/>
      </c>
      <c r="K64" s="23" t="str">
        <f t="shared" si="61"/>
        <v/>
      </c>
      <c r="L64" s="23" t="str">
        <f t="shared" si="61"/>
        <v/>
      </c>
      <c r="M64" s="23" t="str">
        <f t="shared" si="61"/>
        <v/>
      </c>
      <c r="N64" s="23" t="str">
        <f t="shared" si="61"/>
        <v/>
      </c>
      <c r="O64" s="23" t="str">
        <f t="shared" si="61"/>
        <v/>
      </c>
      <c r="P64" s="23" t="str">
        <f t="shared" si="61"/>
        <v/>
      </c>
      <c r="Q64" s="23" t="str">
        <f t="shared" si="61"/>
        <v/>
      </c>
      <c r="R64" s="23" t="str">
        <f t="shared" si="61"/>
        <v/>
      </c>
      <c r="S64" s="23" t="str">
        <f t="shared" si="61"/>
        <v/>
      </c>
      <c r="T64" s="4"/>
      <c r="U64" s="96"/>
      <c r="V64" s="4"/>
      <c r="W64" s="4"/>
      <c r="X64" s="4"/>
      <c r="Y64" s="4"/>
      <c r="Z64" s="4"/>
      <c r="AA64" s="4"/>
      <c r="AB64" s="4"/>
      <c r="AC64" s="4"/>
      <c r="AD64" s="4"/>
      <c r="AE64" s="4"/>
      <c r="AF64" s="4"/>
      <c r="AG64" s="4"/>
      <c r="AH64" s="4"/>
      <c r="AI64" s="4"/>
      <c r="AK64" s="9"/>
    </row>
    <row r="65" spans="1:41" x14ac:dyDescent="0.25">
      <c r="A65" s="9"/>
      <c r="B65" s="9"/>
      <c r="C65" s="9"/>
      <c r="D65" s="9"/>
      <c r="E65" s="9"/>
      <c r="F65" s="9"/>
      <c r="G65" s="9"/>
      <c r="H65" s="9"/>
      <c r="I65" s="9"/>
      <c r="J65" s="9"/>
      <c r="K65" s="9"/>
      <c r="L65" s="9"/>
      <c r="M65" s="9"/>
      <c r="N65" s="9"/>
      <c r="O65" s="9"/>
      <c r="P65" s="9"/>
      <c r="Q65" s="9"/>
      <c r="R65" s="9"/>
      <c r="S65" s="9"/>
      <c r="T65" s="9"/>
      <c r="U65" s="9"/>
      <c r="V65" s="9"/>
      <c r="W65" s="9"/>
      <c r="X65" s="9"/>
      <c r="Y65" s="9"/>
      <c r="Z65" s="9"/>
      <c r="AA65" s="9"/>
      <c r="AB65" s="9"/>
      <c r="AC65" s="9"/>
      <c r="AD65" s="9"/>
      <c r="AE65" s="9"/>
      <c r="AF65" s="9"/>
      <c r="AG65" s="9"/>
      <c r="AH65" s="9"/>
      <c r="AI65" s="9"/>
      <c r="AJ65" s="9"/>
      <c r="AK65" s="9"/>
    </row>
    <row r="66" spans="1:41" x14ac:dyDescent="0.25">
      <c r="A66" s="9"/>
      <c r="B66" s="9"/>
      <c r="C66" s="9"/>
      <c r="D66" s="9"/>
      <c r="E66" s="9" t="s">
        <v>97</v>
      </c>
      <c r="F66" s="9"/>
      <c r="G66" s="9"/>
      <c r="H66" s="9"/>
      <c r="I66" s="9"/>
      <c r="J66" s="9"/>
      <c r="K66" s="9"/>
      <c r="L66" s="9"/>
      <c r="M66" s="9"/>
      <c r="N66" s="9"/>
      <c r="O66" s="9"/>
      <c r="P66" s="9"/>
      <c r="Q66" s="9"/>
      <c r="R66" s="9"/>
      <c r="S66" s="9"/>
      <c r="T66" s="9"/>
      <c r="U66" s="9"/>
      <c r="V66" s="9"/>
      <c r="W66" s="9"/>
      <c r="X66" s="9"/>
      <c r="Y66" s="9" t="s">
        <v>97</v>
      </c>
      <c r="Z66" s="9"/>
      <c r="AA66" s="9"/>
      <c r="AB66" s="9"/>
      <c r="AC66" s="9"/>
      <c r="AD66" s="9"/>
      <c r="AE66" s="9"/>
      <c r="AF66" s="9"/>
      <c r="AG66" s="9"/>
      <c r="AH66" s="9"/>
      <c r="AI66" s="9"/>
      <c r="AJ66" s="9"/>
      <c r="AK66" s="9"/>
    </row>
    <row r="67" spans="1:41" x14ac:dyDescent="0.25">
      <c r="A67" s="9"/>
      <c r="B67" s="9"/>
      <c r="C67" s="4" t="s">
        <v>94</v>
      </c>
      <c r="D67" s="9"/>
      <c r="E67" s="42">
        <f>SUM(C40:K64)</f>
        <v>84</v>
      </c>
      <c r="F67" s="9"/>
      <c r="G67" s="9" t="s">
        <v>96</v>
      </c>
      <c r="H67" s="9"/>
      <c r="I67" s="105">
        <f>E67*13</f>
        <v>1092</v>
      </c>
      <c r="J67" s="105"/>
      <c r="K67" s="9"/>
      <c r="L67" s="9"/>
      <c r="M67" s="9"/>
      <c r="N67" s="9"/>
      <c r="O67" s="9"/>
      <c r="P67" s="9"/>
      <c r="Q67" s="9"/>
      <c r="R67" s="9"/>
      <c r="S67" s="9"/>
      <c r="T67" s="9"/>
      <c r="U67" s="9"/>
      <c r="V67" s="9"/>
      <c r="W67" s="4" t="s">
        <v>94</v>
      </c>
      <c r="X67" s="9"/>
      <c r="Y67" s="9">
        <f>SUM(W40:AE63)</f>
        <v>99</v>
      </c>
      <c r="Z67" s="9"/>
      <c r="AA67" s="9" t="s">
        <v>96</v>
      </c>
      <c r="AB67" s="9"/>
      <c r="AC67" s="105">
        <f>Y67*13</f>
        <v>1287</v>
      </c>
      <c r="AD67" s="105"/>
      <c r="AE67" s="9"/>
      <c r="AF67" s="9"/>
      <c r="AG67" s="9"/>
      <c r="AH67" s="9"/>
      <c r="AI67" s="9"/>
      <c r="AJ67" s="9"/>
      <c r="AK67" s="9"/>
    </row>
    <row r="68" spans="1:41" x14ac:dyDescent="0.25">
      <c r="C68" s="4" t="s">
        <v>95</v>
      </c>
      <c r="E68" s="43">
        <f>SUM(L40:S64)</f>
        <v>13</v>
      </c>
      <c r="G68" t="s">
        <v>96</v>
      </c>
      <c r="I68" s="106">
        <f>E68*30</f>
        <v>390</v>
      </c>
      <c r="J68" s="106"/>
      <c r="W68" s="4" t="s">
        <v>95</v>
      </c>
      <c r="Y68">
        <f>SUM(AF40:AM63)</f>
        <v>18</v>
      </c>
      <c r="AA68" t="s">
        <v>96</v>
      </c>
      <c r="AC68" s="106">
        <f>Y68*30</f>
        <v>540</v>
      </c>
      <c r="AD68" s="106"/>
    </row>
    <row r="70" spans="1:41" x14ac:dyDescent="0.25">
      <c r="E70" s="43">
        <f>SUM(E67:E69)</f>
        <v>97</v>
      </c>
      <c r="I70" s="107">
        <f>SUM(I67:I69)</f>
        <v>1482</v>
      </c>
      <c r="J70" s="108"/>
      <c r="Y70">
        <f>SUM(Y67:Y69)</f>
        <v>117</v>
      </c>
      <c r="AC70" s="107">
        <f>SUM(AC67:AC69)</f>
        <v>1827</v>
      </c>
      <c r="AD70" s="108"/>
    </row>
    <row r="74" spans="1:41" x14ac:dyDescent="0.25">
      <c r="AN74">
        <v>2500</v>
      </c>
      <c r="AO74" s="83">
        <f>AN74/1.08</f>
        <v>2314.8148148148148</v>
      </c>
    </row>
  </sheetData>
  <mergeCells count="22">
    <mergeCell ref="C1:AJ1"/>
    <mergeCell ref="A6:A30"/>
    <mergeCell ref="U6:U30"/>
    <mergeCell ref="C3:S3"/>
    <mergeCell ref="W3:AI3"/>
    <mergeCell ref="C4:S4"/>
    <mergeCell ref="W4:AI4"/>
    <mergeCell ref="A40:A64"/>
    <mergeCell ref="U40:U64"/>
    <mergeCell ref="B34:AI34"/>
    <mergeCell ref="C37:S37"/>
    <mergeCell ref="C38:S38"/>
    <mergeCell ref="B36:S36"/>
    <mergeCell ref="W37:AM37"/>
    <mergeCell ref="W38:AM38"/>
    <mergeCell ref="W36:AM36"/>
    <mergeCell ref="I67:J67"/>
    <mergeCell ref="I68:J68"/>
    <mergeCell ref="AC67:AD67"/>
    <mergeCell ref="AC68:AD68"/>
    <mergeCell ref="I70:J70"/>
    <mergeCell ref="AC70:AD70"/>
  </mergeCells>
  <phoneticPr fontId="11" type="noConversion"/>
  <pageMargins left="0.7" right="0.7" top="0.75" bottom="0.75" header="0.3" footer="0.3"/>
  <pageSetup scale="46" orientation="landscape" r:id="rId1"/>
  <ignoredErrors>
    <ignoredError sqref="V25:V28 W5:AI5 C5:M5 B23 B30 B6:B22 V6:V22 V29 V23:V24 V40:V63 W39:AI39 C39:S39 B40:B64 B24:B27 N5:S5 AF26:AI28 AF29:AI29 W29:AC29 W26:AE28 AE29 AJ39:AM39 AJ5:AM5 AJ60:AM60 B28 B29" numberStoredAsText="1"/>
    <ignoredError sqref="AF43:AM43 W47 AF41:AM41 AF42:AM42 AF45:AM45 AF44:AM44 X48:AM59 AF46:AM46 AF47:AM47" formula="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pageSetUpPr fitToPage="1"/>
  </sheetPr>
  <dimension ref="A1:AM70"/>
  <sheetViews>
    <sheetView showGridLines="0" zoomScaleNormal="100" workbookViewId="0">
      <selection activeCell="F8" sqref="F8"/>
    </sheetView>
  </sheetViews>
  <sheetFormatPr baseColWidth="10" defaultColWidth="11.42578125" defaultRowHeight="15" x14ac:dyDescent="0.25"/>
  <cols>
    <col min="2" max="2" width="5.28515625" bestFit="1" customWidth="1"/>
    <col min="3" max="3" width="4.5703125" customWidth="1"/>
    <col min="4" max="11" width="5.28515625" bestFit="1" customWidth="1"/>
    <col min="12" max="12" width="5.7109375" bestFit="1" customWidth="1"/>
    <col min="13" max="14" width="5.28515625" bestFit="1" customWidth="1"/>
    <col min="15" max="19" width="5.28515625" customWidth="1"/>
    <col min="20" max="20" width="1.5703125" customWidth="1"/>
    <col min="22" max="22" width="5.5703125" bestFit="1" customWidth="1"/>
    <col min="23" max="23" width="7" bestFit="1" customWidth="1"/>
    <col min="24" max="24" width="5.28515625" bestFit="1" customWidth="1"/>
    <col min="25" max="25" width="5.28515625" customWidth="1"/>
    <col min="26" max="28" width="5.28515625" bestFit="1" customWidth="1"/>
    <col min="29" max="29" width="6.5703125" bestFit="1" customWidth="1"/>
    <col min="30" max="39" width="5.28515625" bestFit="1" customWidth="1"/>
  </cols>
  <sheetData>
    <row r="1" spans="1:39" x14ac:dyDescent="0.25">
      <c r="A1" s="4"/>
      <c r="B1" s="4"/>
      <c r="C1" s="4"/>
      <c r="D1" s="4"/>
      <c r="E1" s="4"/>
      <c r="F1" s="4"/>
      <c r="G1" s="4"/>
      <c r="H1" s="4"/>
      <c r="I1" s="4"/>
      <c r="J1" s="4"/>
      <c r="K1" s="4"/>
      <c r="L1" s="4"/>
      <c r="M1" s="4"/>
      <c r="N1" s="4"/>
      <c r="O1" s="4"/>
      <c r="P1" s="4"/>
      <c r="Q1" s="4"/>
      <c r="R1" s="4"/>
      <c r="S1" s="4"/>
      <c r="T1" s="4"/>
      <c r="U1" s="4"/>
      <c r="V1" s="4"/>
      <c r="W1" s="4"/>
      <c r="X1" s="4"/>
      <c r="Y1" s="4"/>
      <c r="Z1" s="4"/>
      <c r="AA1" s="4"/>
      <c r="AB1" s="4"/>
      <c r="AC1" s="4"/>
      <c r="AD1" s="4"/>
      <c r="AE1" s="4"/>
      <c r="AF1" s="4"/>
      <c r="AG1" s="4"/>
      <c r="AH1" s="4"/>
      <c r="AI1" s="4"/>
      <c r="AJ1" s="4"/>
    </row>
    <row r="2" spans="1:39" ht="28.5" x14ac:dyDescent="0.25">
      <c r="A2" s="111" t="s">
        <v>83</v>
      </c>
      <c r="B2" s="111"/>
      <c r="C2" s="111"/>
      <c r="D2" s="111"/>
      <c r="E2" s="111"/>
      <c r="F2" s="111"/>
      <c r="G2" s="111"/>
      <c r="H2" s="111"/>
      <c r="I2" s="111"/>
      <c r="J2" s="111"/>
      <c r="K2" s="111"/>
      <c r="L2" s="111"/>
      <c r="M2" s="111"/>
      <c r="N2" s="111"/>
      <c r="O2" s="111"/>
      <c r="P2" s="111"/>
      <c r="Q2" s="111"/>
      <c r="R2" s="111"/>
      <c r="S2" s="111"/>
      <c r="T2" s="111"/>
      <c r="U2" s="111"/>
      <c r="V2" s="111"/>
      <c r="W2" s="111"/>
      <c r="X2" s="111"/>
      <c r="Y2" s="111"/>
      <c r="Z2" s="111"/>
      <c r="AA2" s="111"/>
      <c r="AB2" s="111"/>
      <c r="AC2" s="111"/>
      <c r="AD2" s="111"/>
      <c r="AE2" s="111"/>
      <c r="AF2" s="111"/>
      <c r="AG2" s="111"/>
      <c r="AH2" s="111"/>
      <c r="AI2" s="111"/>
      <c r="AJ2" s="4"/>
    </row>
    <row r="3" spans="1:39" ht="36" customHeight="1" x14ac:dyDescent="0.25">
      <c r="A3" s="4"/>
      <c r="B3" s="4"/>
      <c r="C3" s="4"/>
      <c r="D3" s="4"/>
      <c r="E3" s="4"/>
      <c r="F3" s="4"/>
      <c r="G3" s="4"/>
      <c r="H3" s="4"/>
      <c r="I3" s="4"/>
      <c r="J3" s="4"/>
      <c r="K3" s="4"/>
      <c r="L3" s="4"/>
      <c r="M3" s="4"/>
      <c r="N3" s="4"/>
      <c r="O3" s="4"/>
      <c r="P3" s="4"/>
      <c r="Q3" s="4"/>
      <c r="R3" s="4"/>
      <c r="S3" s="4"/>
      <c r="T3" s="4"/>
      <c r="U3" s="4"/>
      <c r="V3" s="4"/>
      <c r="W3" s="4"/>
      <c r="X3" s="4"/>
      <c r="Y3" s="4"/>
      <c r="Z3" s="4"/>
      <c r="AA3" s="4"/>
      <c r="AB3" s="4"/>
      <c r="AC3" s="4"/>
      <c r="AD3" s="4"/>
      <c r="AE3" s="4"/>
      <c r="AF3" s="4"/>
      <c r="AG3" s="4"/>
      <c r="AH3" s="4"/>
      <c r="AI3" s="4"/>
      <c r="AJ3" s="4"/>
    </row>
    <row r="4" spans="1:39" ht="15.75" customHeight="1" x14ac:dyDescent="0.25">
      <c r="A4" s="4"/>
      <c r="B4" s="4"/>
      <c r="C4" s="4"/>
      <c r="D4" s="4"/>
      <c r="E4" s="4"/>
      <c r="F4" s="4"/>
      <c r="G4" s="4"/>
      <c r="H4" s="4"/>
      <c r="I4" s="4"/>
      <c r="J4" s="4"/>
      <c r="K4" s="4"/>
      <c r="L4" s="4"/>
      <c r="M4" s="4"/>
      <c r="N4" s="4"/>
      <c r="O4" s="4"/>
      <c r="P4" s="4"/>
      <c r="Q4" s="4"/>
      <c r="R4" s="4"/>
      <c r="S4" s="4"/>
      <c r="T4" s="4"/>
      <c r="U4" s="4"/>
      <c r="V4" s="4"/>
      <c r="W4" s="4"/>
      <c r="X4" s="4"/>
      <c r="Y4" s="4"/>
      <c r="Z4" s="4"/>
      <c r="AA4" s="4"/>
      <c r="AB4" s="4"/>
      <c r="AC4" s="4"/>
      <c r="AD4" s="4"/>
      <c r="AE4" s="4"/>
      <c r="AF4" s="4"/>
      <c r="AG4" s="4"/>
      <c r="AH4" s="4"/>
      <c r="AI4" s="4"/>
      <c r="AJ4" s="4"/>
    </row>
    <row r="5" spans="1:39" ht="36" x14ac:dyDescent="0.25">
      <c r="A5" s="4"/>
      <c r="B5" s="5"/>
      <c r="C5" s="97" t="s">
        <v>1</v>
      </c>
      <c r="D5" s="97"/>
      <c r="E5" s="97"/>
      <c r="F5" s="97"/>
      <c r="G5" s="97"/>
      <c r="H5" s="97"/>
      <c r="I5" s="97"/>
      <c r="J5" s="97"/>
      <c r="K5" s="97"/>
      <c r="L5" s="97"/>
      <c r="M5" s="97"/>
      <c r="N5" s="97"/>
      <c r="O5" s="97"/>
      <c r="P5" s="36"/>
      <c r="Q5" s="36"/>
      <c r="R5" s="36"/>
      <c r="S5" s="36"/>
      <c r="T5" s="4"/>
      <c r="U5" s="4"/>
      <c r="V5" s="4"/>
      <c r="W5" s="97" t="s">
        <v>1</v>
      </c>
      <c r="X5" s="97"/>
      <c r="Y5" s="97"/>
      <c r="Z5" s="97"/>
      <c r="AA5" s="97"/>
      <c r="AB5" s="97"/>
      <c r="AC5" s="97"/>
      <c r="AD5" s="97"/>
      <c r="AE5" s="97"/>
      <c r="AF5" s="97"/>
      <c r="AG5" s="97"/>
      <c r="AH5" s="97"/>
      <c r="AI5" s="97"/>
      <c r="AJ5" s="97"/>
      <c r="AK5" s="97"/>
      <c r="AL5" s="97"/>
      <c r="AM5" s="97"/>
    </row>
    <row r="6" spans="1:39" ht="15.75" x14ac:dyDescent="0.25">
      <c r="A6" s="4" t="s">
        <v>98</v>
      </c>
      <c r="B6" s="5"/>
      <c r="C6" s="98" t="s">
        <v>52</v>
      </c>
      <c r="D6" s="98"/>
      <c r="E6" s="98"/>
      <c r="F6" s="98"/>
      <c r="G6" s="98"/>
      <c r="H6" s="98"/>
      <c r="I6" s="98"/>
      <c r="J6" s="98"/>
      <c r="K6" s="98"/>
      <c r="L6" s="98"/>
      <c r="M6" s="98"/>
      <c r="N6" s="98"/>
      <c r="O6" s="98"/>
      <c r="P6" s="6"/>
      <c r="Q6" s="6"/>
      <c r="R6" s="6"/>
      <c r="S6" s="6"/>
      <c r="T6" s="4"/>
      <c r="U6" s="4"/>
      <c r="V6" s="4"/>
      <c r="W6" s="98" t="s">
        <v>52</v>
      </c>
      <c r="X6" s="98"/>
      <c r="Y6" s="98"/>
      <c r="Z6" s="98"/>
      <c r="AA6" s="98"/>
      <c r="AB6" s="98"/>
      <c r="AC6" s="98"/>
      <c r="AD6" s="98"/>
      <c r="AE6" s="98"/>
      <c r="AF6" s="98"/>
      <c r="AG6" s="98"/>
      <c r="AH6" s="98"/>
      <c r="AI6" s="98"/>
      <c r="AJ6" s="98"/>
      <c r="AK6" s="98"/>
      <c r="AL6" s="98"/>
      <c r="AM6" s="98"/>
    </row>
    <row r="7" spans="1:39" ht="21" x14ac:dyDescent="0.25">
      <c r="A7" s="29" t="s">
        <v>52</v>
      </c>
      <c r="B7" s="1"/>
      <c r="C7" s="3" t="s">
        <v>2</v>
      </c>
      <c r="D7" s="3" t="s">
        <v>3</v>
      </c>
      <c r="E7" s="3" t="s">
        <v>4</v>
      </c>
      <c r="F7" s="3" t="s">
        <v>5</v>
      </c>
      <c r="G7" s="3" t="s">
        <v>6</v>
      </c>
      <c r="H7" s="3" t="s">
        <v>7</v>
      </c>
      <c r="I7" s="3" t="s">
        <v>8</v>
      </c>
      <c r="J7" s="3" t="s">
        <v>9</v>
      </c>
      <c r="K7" s="3" t="s">
        <v>10</v>
      </c>
      <c r="L7" s="3" t="s">
        <v>11</v>
      </c>
      <c r="M7" s="3" t="s">
        <v>25</v>
      </c>
      <c r="N7" s="3" t="s">
        <v>26</v>
      </c>
      <c r="O7" s="3" t="s">
        <v>12</v>
      </c>
      <c r="P7" s="3" t="s">
        <v>13</v>
      </c>
      <c r="Q7" s="3" t="s">
        <v>14</v>
      </c>
      <c r="R7" s="3" t="s">
        <v>15</v>
      </c>
      <c r="S7" s="3" t="s">
        <v>16</v>
      </c>
      <c r="T7" s="4"/>
      <c r="U7" s="29" t="s">
        <v>51</v>
      </c>
      <c r="V7" s="1"/>
      <c r="W7" s="3" t="s">
        <v>2</v>
      </c>
      <c r="X7" s="3" t="s">
        <v>3</v>
      </c>
      <c r="Y7" s="3" t="s">
        <v>4</v>
      </c>
      <c r="Z7" s="3" t="s">
        <v>5</v>
      </c>
      <c r="AA7" s="3" t="s">
        <v>6</v>
      </c>
      <c r="AB7" s="3" t="s">
        <v>7</v>
      </c>
      <c r="AC7" s="3" t="s">
        <v>8</v>
      </c>
      <c r="AD7" s="3" t="s">
        <v>9</v>
      </c>
      <c r="AE7" s="3" t="s">
        <v>10</v>
      </c>
      <c r="AF7" s="3" t="s">
        <v>11</v>
      </c>
      <c r="AG7" s="3" t="s">
        <v>25</v>
      </c>
      <c r="AH7" s="3" t="s">
        <v>26</v>
      </c>
      <c r="AI7" s="3" t="s">
        <v>12</v>
      </c>
      <c r="AJ7" s="3" t="s">
        <v>13</v>
      </c>
      <c r="AK7" s="3" t="s">
        <v>14</v>
      </c>
      <c r="AL7" s="3" t="s">
        <v>15</v>
      </c>
      <c r="AM7" s="3" t="s">
        <v>16</v>
      </c>
    </row>
    <row r="8" spans="1:39" x14ac:dyDescent="0.25">
      <c r="A8" s="96" t="s">
        <v>71</v>
      </c>
      <c r="B8" s="3" t="s">
        <v>2</v>
      </c>
      <c r="C8" s="23">
        <v>18</v>
      </c>
      <c r="D8" s="23">
        <v>16</v>
      </c>
      <c r="E8" s="23">
        <v>12</v>
      </c>
      <c r="F8" s="23"/>
      <c r="G8" s="23">
        <v>11</v>
      </c>
      <c r="H8" s="23">
        <v>7</v>
      </c>
      <c r="I8" s="23">
        <v>3</v>
      </c>
      <c r="J8" s="23">
        <v>6</v>
      </c>
      <c r="K8" s="61">
        <v>9</v>
      </c>
      <c r="L8" s="59">
        <v>5</v>
      </c>
      <c r="M8" s="23">
        <v>1</v>
      </c>
      <c r="N8" s="23">
        <v>5</v>
      </c>
      <c r="O8" s="23">
        <v>5</v>
      </c>
      <c r="P8" s="23">
        <v>3</v>
      </c>
      <c r="Q8" s="23">
        <v>4</v>
      </c>
      <c r="R8" s="23">
        <v>4</v>
      </c>
      <c r="S8" s="23">
        <v>3</v>
      </c>
      <c r="T8" s="4"/>
      <c r="U8" s="96" t="s">
        <v>72</v>
      </c>
      <c r="V8" s="3" t="s">
        <v>29</v>
      </c>
      <c r="W8" s="23">
        <v>4</v>
      </c>
      <c r="X8" s="23">
        <v>4</v>
      </c>
      <c r="Y8" s="23">
        <v>5</v>
      </c>
      <c r="Z8" s="23">
        <v>6</v>
      </c>
      <c r="AA8" s="23">
        <v>6</v>
      </c>
      <c r="AB8" s="23">
        <v>2</v>
      </c>
      <c r="AC8" s="23"/>
      <c r="AD8" s="23">
        <v>4</v>
      </c>
      <c r="AE8" s="61">
        <v>4</v>
      </c>
      <c r="AF8" s="59"/>
      <c r="AG8" s="23"/>
      <c r="AH8" s="23"/>
      <c r="AI8" s="23"/>
      <c r="AJ8" s="23"/>
      <c r="AK8" s="23"/>
      <c r="AL8" s="23"/>
      <c r="AM8" s="23"/>
    </row>
    <row r="9" spans="1:39" x14ac:dyDescent="0.25">
      <c r="A9" s="96"/>
      <c r="B9" s="3" t="s">
        <v>3</v>
      </c>
      <c r="C9" s="2">
        <v>16</v>
      </c>
      <c r="D9" s="2">
        <v>15</v>
      </c>
      <c r="E9" s="2">
        <v>2</v>
      </c>
      <c r="F9" s="2">
        <v>18</v>
      </c>
      <c r="G9" s="2">
        <v>19</v>
      </c>
      <c r="H9" s="31">
        <v>6</v>
      </c>
      <c r="I9" s="2">
        <v>10</v>
      </c>
      <c r="J9" s="2">
        <v>10</v>
      </c>
      <c r="K9" s="62">
        <v>6</v>
      </c>
      <c r="L9" s="60">
        <v>3</v>
      </c>
      <c r="M9" s="2">
        <v>3</v>
      </c>
      <c r="N9" s="2">
        <v>3</v>
      </c>
      <c r="O9" s="2">
        <v>2</v>
      </c>
      <c r="P9" s="2">
        <v>4</v>
      </c>
      <c r="Q9" s="2">
        <v>4</v>
      </c>
      <c r="R9" s="2">
        <v>4</v>
      </c>
      <c r="S9" s="2">
        <v>3</v>
      </c>
      <c r="T9" s="4"/>
      <c r="U9" s="96"/>
      <c r="V9" s="3" t="s">
        <v>30</v>
      </c>
      <c r="W9" s="2">
        <v>4</v>
      </c>
      <c r="X9" s="2">
        <v>7</v>
      </c>
      <c r="Y9" s="2">
        <v>1</v>
      </c>
      <c r="Z9" s="2">
        <v>1</v>
      </c>
      <c r="AA9" s="2">
        <v>6</v>
      </c>
      <c r="AB9" s="2"/>
      <c r="AC9" s="2">
        <v>1</v>
      </c>
      <c r="AD9" s="2">
        <v>4</v>
      </c>
      <c r="AE9" s="62">
        <v>2</v>
      </c>
      <c r="AF9" s="60"/>
      <c r="AG9" s="2"/>
      <c r="AH9" s="2"/>
      <c r="AI9" s="2"/>
      <c r="AJ9" s="2"/>
      <c r="AK9" s="2"/>
      <c r="AL9" s="2"/>
      <c r="AM9" s="2"/>
    </row>
    <row r="10" spans="1:39" x14ac:dyDescent="0.25">
      <c r="A10" s="96"/>
      <c r="B10" s="3" t="s">
        <v>4</v>
      </c>
      <c r="C10" s="23">
        <v>14</v>
      </c>
      <c r="D10" s="23">
        <v>7</v>
      </c>
      <c r="E10" s="23">
        <v>15</v>
      </c>
      <c r="F10" s="23">
        <v>16</v>
      </c>
      <c r="G10" s="23">
        <v>16</v>
      </c>
      <c r="H10" s="23">
        <v>9</v>
      </c>
      <c r="I10" s="23">
        <v>10</v>
      </c>
      <c r="J10" s="23">
        <v>11</v>
      </c>
      <c r="K10" s="61">
        <v>10</v>
      </c>
      <c r="L10" s="59">
        <v>2</v>
      </c>
      <c r="M10" s="23">
        <v>2</v>
      </c>
      <c r="N10" s="23">
        <v>3</v>
      </c>
      <c r="O10" s="23">
        <v>2</v>
      </c>
      <c r="P10" s="23">
        <v>4</v>
      </c>
      <c r="Q10" s="23">
        <v>4</v>
      </c>
      <c r="R10" s="23">
        <v>4</v>
      </c>
      <c r="S10" s="23">
        <v>4</v>
      </c>
      <c r="T10" s="4"/>
      <c r="U10" s="96"/>
      <c r="V10" s="3" t="s">
        <v>31</v>
      </c>
      <c r="W10" s="23">
        <v>5</v>
      </c>
      <c r="X10" s="23">
        <v>5</v>
      </c>
      <c r="Y10" s="23">
        <v>6</v>
      </c>
      <c r="Z10" s="23">
        <v>6</v>
      </c>
      <c r="AA10" s="23">
        <v>1</v>
      </c>
      <c r="AB10" s="23">
        <v>4</v>
      </c>
      <c r="AC10" s="23">
        <v>4</v>
      </c>
      <c r="AD10" s="23">
        <v>4</v>
      </c>
      <c r="AE10" s="61">
        <v>2</v>
      </c>
      <c r="AF10" s="59"/>
      <c r="AG10" s="23"/>
      <c r="AH10" s="23"/>
      <c r="AI10" s="23"/>
      <c r="AJ10" s="23"/>
      <c r="AK10" s="23"/>
      <c r="AL10" s="23"/>
      <c r="AM10" s="23"/>
    </row>
    <row r="11" spans="1:39" x14ac:dyDescent="0.25">
      <c r="A11" s="96"/>
      <c r="B11" s="3" t="s">
        <v>5</v>
      </c>
      <c r="C11" s="2">
        <v>11</v>
      </c>
      <c r="D11" s="2">
        <v>18</v>
      </c>
      <c r="E11" s="2"/>
      <c r="F11" s="2">
        <v>17</v>
      </c>
      <c r="G11" s="2">
        <v>18</v>
      </c>
      <c r="H11" s="31">
        <v>10</v>
      </c>
      <c r="I11" s="2">
        <v>10</v>
      </c>
      <c r="J11" s="2">
        <v>10</v>
      </c>
      <c r="K11" s="62">
        <v>10</v>
      </c>
      <c r="L11" s="60">
        <v>3</v>
      </c>
      <c r="M11" s="2">
        <v>3</v>
      </c>
      <c r="N11" s="2">
        <v>3</v>
      </c>
      <c r="O11" s="2">
        <v>2</v>
      </c>
      <c r="P11" s="2">
        <v>4</v>
      </c>
      <c r="Q11" s="2">
        <v>4</v>
      </c>
      <c r="R11" s="2">
        <v>4</v>
      </c>
      <c r="S11" s="2">
        <v>4</v>
      </c>
      <c r="T11" s="4"/>
      <c r="U11" s="96"/>
      <c r="V11" s="3" t="s">
        <v>32</v>
      </c>
      <c r="W11" s="2">
        <v>8</v>
      </c>
      <c r="X11" s="2">
        <v>6</v>
      </c>
      <c r="Y11" s="2">
        <v>4</v>
      </c>
      <c r="Z11" s="2">
        <v>5</v>
      </c>
      <c r="AA11" s="2">
        <v>7</v>
      </c>
      <c r="AB11" s="2">
        <v>4</v>
      </c>
      <c r="AC11" s="2">
        <v>4</v>
      </c>
      <c r="AD11" s="2">
        <v>5</v>
      </c>
      <c r="AE11" s="62">
        <v>3</v>
      </c>
      <c r="AF11" s="60"/>
      <c r="AG11" s="2"/>
      <c r="AH11" s="2"/>
      <c r="AI11" s="2"/>
      <c r="AJ11" s="2"/>
      <c r="AK11" s="2"/>
      <c r="AL11" s="2"/>
      <c r="AM11" s="2"/>
    </row>
    <row r="12" spans="1:39" x14ac:dyDescent="0.25">
      <c r="A12" s="96"/>
      <c r="B12" s="3" t="s">
        <v>6</v>
      </c>
      <c r="C12" s="23">
        <v>18</v>
      </c>
      <c r="D12" s="23">
        <v>19</v>
      </c>
      <c r="E12" s="23">
        <v>13</v>
      </c>
      <c r="F12" s="23">
        <v>18</v>
      </c>
      <c r="G12" s="23">
        <v>15</v>
      </c>
      <c r="H12" s="23">
        <v>10</v>
      </c>
      <c r="I12" s="23">
        <v>10</v>
      </c>
      <c r="J12" s="23">
        <v>10</v>
      </c>
      <c r="K12" s="61">
        <v>9</v>
      </c>
      <c r="L12" s="59">
        <v>3</v>
      </c>
      <c r="M12" s="23">
        <v>3</v>
      </c>
      <c r="N12" s="23">
        <v>3</v>
      </c>
      <c r="O12" s="23">
        <v>2</v>
      </c>
      <c r="P12" s="23">
        <v>4</v>
      </c>
      <c r="Q12" s="23">
        <v>4</v>
      </c>
      <c r="R12" s="23">
        <v>4</v>
      </c>
      <c r="S12" s="23">
        <v>4</v>
      </c>
      <c r="T12" s="4"/>
      <c r="U12" s="96"/>
      <c r="V12" s="3" t="s">
        <v>33</v>
      </c>
      <c r="W12" s="23">
        <v>5</v>
      </c>
      <c r="X12" s="23">
        <v>4</v>
      </c>
      <c r="Y12" s="23">
        <v>4</v>
      </c>
      <c r="Z12" s="23">
        <v>4</v>
      </c>
      <c r="AA12" s="23">
        <v>4</v>
      </c>
      <c r="AB12" s="23">
        <v>4</v>
      </c>
      <c r="AC12" s="23">
        <v>2</v>
      </c>
      <c r="AD12" s="23">
        <v>4</v>
      </c>
      <c r="AE12" s="61">
        <v>4</v>
      </c>
      <c r="AF12" s="59"/>
      <c r="AG12" s="23"/>
      <c r="AH12" s="23"/>
      <c r="AI12" s="23"/>
      <c r="AJ12" s="23"/>
      <c r="AK12" s="23"/>
      <c r="AL12" s="23"/>
      <c r="AM12" s="23"/>
    </row>
    <row r="13" spans="1:39" x14ac:dyDescent="0.25">
      <c r="A13" s="96"/>
      <c r="B13" s="3" t="s">
        <v>7</v>
      </c>
      <c r="C13" s="2">
        <v>16</v>
      </c>
      <c r="D13" s="2">
        <v>10</v>
      </c>
      <c r="E13" s="2">
        <v>8</v>
      </c>
      <c r="F13" s="2">
        <v>10</v>
      </c>
      <c r="G13" s="2">
        <v>6</v>
      </c>
      <c r="H13" s="31">
        <v>11</v>
      </c>
      <c r="I13" s="2">
        <v>9</v>
      </c>
      <c r="J13" s="2">
        <v>9</v>
      </c>
      <c r="K13" s="62">
        <v>10</v>
      </c>
      <c r="L13" s="60">
        <v>3</v>
      </c>
      <c r="M13" s="2">
        <v>3</v>
      </c>
      <c r="N13" s="2">
        <v>3</v>
      </c>
      <c r="O13" s="2">
        <v>3</v>
      </c>
      <c r="P13" s="2">
        <v>4</v>
      </c>
      <c r="Q13" s="2">
        <v>4</v>
      </c>
      <c r="R13" s="2">
        <v>4</v>
      </c>
      <c r="S13" s="2">
        <v>4</v>
      </c>
      <c r="T13" s="4"/>
      <c r="U13" s="96"/>
      <c r="V13" s="3" t="s">
        <v>34</v>
      </c>
      <c r="W13" s="2">
        <v>6</v>
      </c>
      <c r="X13" s="2">
        <v>4</v>
      </c>
      <c r="Y13" s="2">
        <v>4</v>
      </c>
      <c r="Z13" s="2">
        <v>4</v>
      </c>
      <c r="AA13" s="2">
        <v>4</v>
      </c>
      <c r="AB13" s="2">
        <v>4</v>
      </c>
      <c r="AC13" s="2">
        <v>4</v>
      </c>
      <c r="AD13" s="2">
        <v>4</v>
      </c>
      <c r="AE13" s="62">
        <v>4</v>
      </c>
      <c r="AF13" s="60"/>
      <c r="AG13" s="2"/>
      <c r="AH13" s="2"/>
      <c r="AI13" s="2"/>
      <c r="AJ13" s="2"/>
      <c r="AK13" s="2"/>
      <c r="AL13" s="2"/>
      <c r="AM13" s="2"/>
    </row>
    <row r="14" spans="1:39" x14ac:dyDescent="0.25">
      <c r="A14" s="96"/>
      <c r="B14" s="3" t="s">
        <v>8</v>
      </c>
      <c r="C14" s="23">
        <v>16</v>
      </c>
      <c r="D14" s="23">
        <v>9</v>
      </c>
      <c r="E14" s="23">
        <v>6</v>
      </c>
      <c r="F14" s="23">
        <v>9</v>
      </c>
      <c r="G14" s="23">
        <v>8</v>
      </c>
      <c r="H14" s="23">
        <v>10</v>
      </c>
      <c r="I14" s="23">
        <v>9</v>
      </c>
      <c r="J14" s="23">
        <v>10</v>
      </c>
      <c r="K14" s="61">
        <v>11</v>
      </c>
      <c r="L14" s="59">
        <v>3</v>
      </c>
      <c r="M14" s="23">
        <v>3</v>
      </c>
      <c r="N14" s="23">
        <v>2</v>
      </c>
      <c r="O14" s="23">
        <v>3</v>
      </c>
      <c r="P14" s="23">
        <v>4</v>
      </c>
      <c r="Q14" s="23">
        <v>4</v>
      </c>
      <c r="R14" s="23">
        <v>4</v>
      </c>
      <c r="S14" s="23">
        <v>4</v>
      </c>
      <c r="T14" s="4"/>
      <c r="U14" s="96"/>
      <c r="V14" s="3" t="s">
        <v>35</v>
      </c>
      <c r="W14" s="23">
        <v>1</v>
      </c>
      <c r="X14" s="23">
        <v>4</v>
      </c>
      <c r="Y14" s="23">
        <v>4</v>
      </c>
      <c r="Z14" s="23">
        <v>4</v>
      </c>
      <c r="AA14" s="23">
        <v>4</v>
      </c>
      <c r="AB14" s="23">
        <v>4</v>
      </c>
      <c r="AC14" s="23">
        <v>4</v>
      </c>
      <c r="AD14" s="23">
        <v>4</v>
      </c>
      <c r="AE14" s="61">
        <v>4</v>
      </c>
      <c r="AF14" s="59"/>
      <c r="AG14" s="23"/>
      <c r="AH14" s="23"/>
      <c r="AI14" s="23"/>
      <c r="AJ14" s="23"/>
      <c r="AK14" s="23"/>
      <c r="AL14" s="23"/>
      <c r="AM14" s="23"/>
    </row>
    <row r="15" spans="1:39" x14ac:dyDescent="0.25">
      <c r="A15" s="96"/>
      <c r="B15" s="3" t="s">
        <v>9</v>
      </c>
      <c r="C15" s="2">
        <v>14</v>
      </c>
      <c r="D15" s="2">
        <v>7</v>
      </c>
      <c r="E15" s="2">
        <v>10</v>
      </c>
      <c r="F15" s="2">
        <v>9</v>
      </c>
      <c r="G15" s="2">
        <v>10</v>
      </c>
      <c r="H15" s="31">
        <v>10</v>
      </c>
      <c r="I15" s="2">
        <v>10</v>
      </c>
      <c r="J15" s="2">
        <v>10</v>
      </c>
      <c r="K15" s="62">
        <v>10</v>
      </c>
      <c r="L15" s="60">
        <v>3</v>
      </c>
      <c r="M15" s="2">
        <v>3</v>
      </c>
      <c r="N15" s="2">
        <v>3</v>
      </c>
      <c r="O15" s="2">
        <v>3</v>
      </c>
      <c r="P15" s="2">
        <v>4</v>
      </c>
      <c r="Q15" s="2">
        <v>4</v>
      </c>
      <c r="R15" s="2">
        <v>4</v>
      </c>
      <c r="S15" s="2">
        <v>4</v>
      </c>
      <c r="T15" s="4"/>
      <c r="U15" s="96"/>
      <c r="V15" s="3" t="s">
        <v>36</v>
      </c>
      <c r="W15" s="2">
        <v>6</v>
      </c>
      <c r="X15" s="2">
        <v>4</v>
      </c>
      <c r="Y15" s="2">
        <v>1</v>
      </c>
      <c r="Z15" s="2">
        <v>4</v>
      </c>
      <c r="AA15" s="2">
        <v>5</v>
      </c>
      <c r="AB15" s="2">
        <v>4</v>
      </c>
      <c r="AC15" s="2">
        <v>4</v>
      </c>
      <c r="AD15" s="2">
        <v>5</v>
      </c>
      <c r="AE15" s="62">
        <v>4</v>
      </c>
      <c r="AF15" s="60"/>
      <c r="AG15" s="2"/>
      <c r="AH15" s="2"/>
      <c r="AI15" s="2"/>
      <c r="AJ15" s="2"/>
      <c r="AK15" s="2"/>
      <c r="AL15" s="2"/>
      <c r="AM15" s="2"/>
    </row>
    <row r="16" spans="1:39" x14ac:dyDescent="0.25">
      <c r="A16" s="96"/>
      <c r="B16" s="3" t="s">
        <v>10</v>
      </c>
      <c r="C16" s="23">
        <v>16</v>
      </c>
      <c r="D16" s="23">
        <v>10</v>
      </c>
      <c r="E16" s="23">
        <v>6</v>
      </c>
      <c r="F16" s="23">
        <v>8</v>
      </c>
      <c r="G16" s="23">
        <v>10</v>
      </c>
      <c r="H16" s="23">
        <v>9</v>
      </c>
      <c r="I16" s="23">
        <v>10</v>
      </c>
      <c r="J16" s="23">
        <v>10</v>
      </c>
      <c r="K16" s="61">
        <v>8</v>
      </c>
      <c r="L16" s="59">
        <v>3</v>
      </c>
      <c r="M16" s="23">
        <v>3</v>
      </c>
      <c r="N16" s="23">
        <v>3</v>
      </c>
      <c r="O16" s="23">
        <v>3</v>
      </c>
      <c r="P16" s="23">
        <v>4</v>
      </c>
      <c r="Q16" s="23">
        <v>4</v>
      </c>
      <c r="R16" s="23">
        <v>4</v>
      </c>
      <c r="S16" s="23">
        <v>4</v>
      </c>
      <c r="T16" s="4"/>
      <c r="U16" s="96"/>
      <c r="V16" s="3" t="s">
        <v>37</v>
      </c>
      <c r="W16" s="23">
        <v>6</v>
      </c>
      <c r="X16" s="23">
        <v>4</v>
      </c>
      <c r="Y16" s="23">
        <v>3</v>
      </c>
      <c r="Z16" s="23">
        <v>4</v>
      </c>
      <c r="AA16" s="23">
        <v>5</v>
      </c>
      <c r="AB16" s="23">
        <v>5</v>
      </c>
      <c r="AC16" s="23">
        <v>4</v>
      </c>
      <c r="AD16" s="23">
        <v>4</v>
      </c>
      <c r="AE16" s="61">
        <v>4</v>
      </c>
      <c r="AF16" s="59"/>
      <c r="AG16" s="23"/>
      <c r="AH16" s="23"/>
      <c r="AI16" s="23"/>
      <c r="AJ16" s="23"/>
      <c r="AK16" s="23"/>
      <c r="AL16" s="23"/>
      <c r="AM16" s="23"/>
    </row>
    <row r="17" spans="1:39" x14ac:dyDescent="0.25">
      <c r="A17" s="96"/>
      <c r="B17" s="3" t="s">
        <v>11</v>
      </c>
      <c r="C17" s="2">
        <v>6</v>
      </c>
      <c r="D17" s="2">
        <v>6</v>
      </c>
      <c r="E17" s="2">
        <v>6</v>
      </c>
      <c r="F17" s="2">
        <v>4</v>
      </c>
      <c r="G17" s="2">
        <v>6</v>
      </c>
      <c r="H17" s="2">
        <v>4</v>
      </c>
      <c r="I17" s="2">
        <v>6</v>
      </c>
      <c r="J17" s="2">
        <v>7</v>
      </c>
      <c r="K17" s="62">
        <v>6</v>
      </c>
      <c r="L17" s="60">
        <v>4</v>
      </c>
      <c r="M17" s="2">
        <v>3</v>
      </c>
      <c r="N17" s="2">
        <v>3</v>
      </c>
      <c r="O17" s="2">
        <v>3</v>
      </c>
      <c r="P17" s="2">
        <v>4</v>
      </c>
      <c r="Q17" s="2">
        <v>3</v>
      </c>
      <c r="R17" s="2">
        <v>4</v>
      </c>
      <c r="S17" s="2">
        <v>4</v>
      </c>
      <c r="T17" s="4"/>
      <c r="U17" s="96"/>
      <c r="V17" s="3" t="s">
        <v>54</v>
      </c>
      <c r="W17" s="2">
        <v>8</v>
      </c>
      <c r="X17" s="2">
        <v>5</v>
      </c>
      <c r="Y17" s="2">
        <v>2</v>
      </c>
      <c r="Z17" s="2">
        <v>5</v>
      </c>
      <c r="AA17" s="2">
        <v>4</v>
      </c>
      <c r="AB17" s="2">
        <v>5</v>
      </c>
      <c r="AC17" s="2">
        <v>4</v>
      </c>
      <c r="AD17" s="2">
        <v>4</v>
      </c>
      <c r="AE17" s="62">
        <v>4</v>
      </c>
      <c r="AF17" s="60"/>
      <c r="AG17" s="2"/>
      <c r="AH17" s="2"/>
      <c r="AI17" s="2"/>
      <c r="AJ17" s="2"/>
      <c r="AK17" s="2"/>
      <c r="AL17" s="2"/>
      <c r="AM17" s="2"/>
    </row>
    <row r="18" spans="1:39" x14ac:dyDescent="0.25">
      <c r="A18" s="96"/>
      <c r="B18" s="3" t="s">
        <v>25</v>
      </c>
      <c r="C18" s="23">
        <v>9</v>
      </c>
      <c r="D18" s="23">
        <v>6</v>
      </c>
      <c r="E18" s="23">
        <v>6</v>
      </c>
      <c r="F18" s="23"/>
      <c r="G18" s="23">
        <v>5</v>
      </c>
      <c r="H18" s="23">
        <v>5</v>
      </c>
      <c r="I18" s="23"/>
      <c r="J18" s="23">
        <v>6</v>
      </c>
      <c r="K18" s="61">
        <v>6</v>
      </c>
      <c r="L18" s="59">
        <v>4</v>
      </c>
      <c r="M18" s="23">
        <v>3</v>
      </c>
      <c r="N18" s="23">
        <v>3</v>
      </c>
      <c r="O18" s="23">
        <v>3</v>
      </c>
      <c r="P18" s="23">
        <v>4</v>
      </c>
      <c r="Q18" s="23">
        <v>4</v>
      </c>
      <c r="R18" s="23">
        <v>4</v>
      </c>
      <c r="S18" s="23">
        <v>4</v>
      </c>
      <c r="T18" s="4"/>
      <c r="U18" s="96"/>
      <c r="V18" s="3" t="s">
        <v>55</v>
      </c>
      <c r="W18" s="23">
        <v>6</v>
      </c>
      <c r="X18" s="23">
        <v>4</v>
      </c>
      <c r="Y18" s="23">
        <v>4</v>
      </c>
      <c r="Z18" s="23">
        <v>4</v>
      </c>
      <c r="AA18" s="23">
        <v>4</v>
      </c>
      <c r="AB18" s="23">
        <v>4</v>
      </c>
      <c r="AC18" s="23">
        <v>4</v>
      </c>
      <c r="AD18" s="23">
        <v>7</v>
      </c>
      <c r="AE18" s="61">
        <v>4</v>
      </c>
      <c r="AF18" s="59"/>
      <c r="AG18" s="23"/>
      <c r="AH18" s="23"/>
      <c r="AI18" s="23"/>
      <c r="AJ18" s="23"/>
      <c r="AK18" s="23"/>
      <c r="AL18" s="23"/>
      <c r="AM18" s="23"/>
    </row>
    <row r="19" spans="1:39" x14ac:dyDescent="0.25">
      <c r="A19" s="96"/>
      <c r="B19" s="3" t="s">
        <v>26</v>
      </c>
      <c r="C19" s="2">
        <v>6</v>
      </c>
      <c r="D19" s="2">
        <v>6</v>
      </c>
      <c r="E19" s="2">
        <v>5</v>
      </c>
      <c r="F19" s="2">
        <v>6</v>
      </c>
      <c r="G19" s="2">
        <v>6</v>
      </c>
      <c r="H19" s="2">
        <v>6</v>
      </c>
      <c r="I19" s="2">
        <v>5</v>
      </c>
      <c r="J19" s="2">
        <v>6</v>
      </c>
      <c r="K19" s="62">
        <v>6</v>
      </c>
      <c r="L19" s="60">
        <v>3</v>
      </c>
      <c r="M19" s="2">
        <v>3</v>
      </c>
      <c r="N19" s="2">
        <v>4</v>
      </c>
      <c r="O19" s="2">
        <v>3</v>
      </c>
      <c r="P19" s="2">
        <v>4</v>
      </c>
      <c r="Q19" s="2">
        <v>4</v>
      </c>
      <c r="R19" s="2">
        <v>4</v>
      </c>
      <c r="S19" s="2">
        <v>4</v>
      </c>
      <c r="T19" s="4"/>
      <c r="U19" s="96"/>
      <c r="V19" s="3" t="s">
        <v>38</v>
      </c>
      <c r="W19" s="2">
        <v>8</v>
      </c>
      <c r="X19" s="2">
        <v>5</v>
      </c>
      <c r="Y19" s="2">
        <v>4</v>
      </c>
      <c r="Z19" s="2">
        <v>3</v>
      </c>
      <c r="AA19" s="2">
        <v>4</v>
      </c>
      <c r="AB19" s="2">
        <v>4</v>
      </c>
      <c r="AC19" s="2">
        <v>4</v>
      </c>
      <c r="AD19" s="2">
        <v>4</v>
      </c>
      <c r="AE19" s="62">
        <v>4</v>
      </c>
      <c r="AF19" s="60"/>
      <c r="AG19" s="2"/>
      <c r="AH19" s="2"/>
      <c r="AI19" s="2"/>
      <c r="AJ19" s="2"/>
      <c r="AK19" s="2"/>
      <c r="AL19" s="2"/>
      <c r="AM19" s="2"/>
    </row>
    <row r="20" spans="1:39" x14ac:dyDescent="0.25">
      <c r="A20" s="96"/>
      <c r="B20" s="3" t="s">
        <v>12</v>
      </c>
      <c r="C20" s="23">
        <v>6</v>
      </c>
      <c r="D20" s="23">
        <v>5</v>
      </c>
      <c r="E20" s="23">
        <v>3</v>
      </c>
      <c r="F20" s="23">
        <v>6</v>
      </c>
      <c r="G20" s="23">
        <v>6</v>
      </c>
      <c r="H20" s="23">
        <v>6</v>
      </c>
      <c r="I20" s="23">
        <v>6</v>
      </c>
      <c r="J20" s="23">
        <v>6</v>
      </c>
      <c r="K20" s="61">
        <v>6</v>
      </c>
      <c r="L20" s="59">
        <v>3</v>
      </c>
      <c r="M20" s="23">
        <v>3</v>
      </c>
      <c r="N20" s="23">
        <v>3</v>
      </c>
      <c r="O20" s="23">
        <v>3</v>
      </c>
      <c r="P20" s="23">
        <v>3</v>
      </c>
      <c r="Q20" s="23">
        <v>4</v>
      </c>
      <c r="R20" s="23">
        <v>4</v>
      </c>
      <c r="S20" s="23">
        <v>4</v>
      </c>
      <c r="T20" s="4"/>
      <c r="U20" s="96"/>
      <c r="V20" s="3" t="s">
        <v>39</v>
      </c>
      <c r="W20" s="23">
        <v>8</v>
      </c>
      <c r="X20" s="23">
        <v>4</v>
      </c>
      <c r="Y20" s="23">
        <v>4</v>
      </c>
      <c r="Z20" s="23">
        <v>5</v>
      </c>
      <c r="AA20" s="23">
        <v>4</v>
      </c>
      <c r="AB20" s="23">
        <v>4</v>
      </c>
      <c r="AC20" s="23">
        <v>4</v>
      </c>
      <c r="AD20" s="23">
        <v>4</v>
      </c>
      <c r="AE20" s="61">
        <v>5</v>
      </c>
      <c r="AF20" s="59"/>
      <c r="AG20" s="23"/>
      <c r="AH20" s="23"/>
      <c r="AI20" s="23"/>
      <c r="AJ20" s="23"/>
      <c r="AK20" s="23"/>
      <c r="AL20" s="23"/>
      <c r="AM20" s="23"/>
    </row>
    <row r="21" spans="1:39" x14ac:dyDescent="0.25">
      <c r="A21" s="96"/>
      <c r="B21" s="3" t="s">
        <v>13</v>
      </c>
      <c r="C21" s="2">
        <v>5</v>
      </c>
      <c r="D21" s="2">
        <v>3</v>
      </c>
      <c r="E21" s="2">
        <v>3</v>
      </c>
      <c r="F21" s="2">
        <v>3</v>
      </c>
      <c r="G21" s="2">
        <v>3</v>
      </c>
      <c r="H21" s="2">
        <v>3</v>
      </c>
      <c r="I21" s="2">
        <v>3</v>
      </c>
      <c r="J21" s="2">
        <v>3</v>
      </c>
      <c r="K21" s="62">
        <v>3</v>
      </c>
      <c r="L21" s="60">
        <v>3</v>
      </c>
      <c r="M21" s="2">
        <v>3</v>
      </c>
      <c r="N21" s="2">
        <v>3</v>
      </c>
      <c r="O21" s="2">
        <v>3</v>
      </c>
      <c r="P21" s="2">
        <v>5</v>
      </c>
      <c r="Q21" s="2">
        <v>4</v>
      </c>
      <c r="R21" s="2">
        <v>4</v>
      </c>
      <c r="S21" s="2">
        <v>4</v>
      </c>
      <c r="T21" s="4"/>
      <c r="U21" s="96"/>
      <c r="V21" s="3" t="s">
        <v>40</v>
      </c>
      <c r="W21" s="2">
        <v>8</v>
      </c>
      <c r="X21" s="2">
        <v>4</v>
      </c>
      <c r="Y21" s="2">
        <v>5</v>
      </c>
      <c r="Z21" s="2">
        <v>3</v>
      </c>
      <c r="AA21" s="2">
        <v>3</v>
      </c>
      <c r="AB21" s="2">
        <v>4</v>
      </c>
      <c r="AC21" s="2">
        <v>5</v>
      </c>
      <c r="AD21" s="2">
        <v>4</v>
      </c>
      <c r="AE21" s="62">
        <v>4</v>
      </c>
      <c r="AF21" s="60"/>
      <c r="AG21" s="2"/>
      <c r="AH21" s="2"/>
      <c r="AI21" s="2"/>
      <c r="AJ21" s="2"/>
      <c r="AK21" s="2"/>
      <c r="AL21" s="2"/>
      <c r="AM21" s="2"/>
    </row>
    <row r="22" spans="1:39" x14ac:dyDescent="0.25">
      <c r="A22" s="96"/>
      <c r="B22" s="3" t="s">
        <v>14</v>
      </c>
      <c r="C22" s="23">
        <v>6</v>
      </c>
      <c r="D22" s="23">
        <v>3</v>
      </c>
      <c r="E22" s="23">
        <v>3</v>
      </c>
      <c r="F22" s="23">
        <v>5</v>
      </c>
      <c r="G22" s="23">
        <v>2</v>
      </c>
      <c r="H22" s="23">
        <v>3</v>
      </c>
      <c r="I22" s="23">
        <v>3</v>
      </c>
      <c r="J22" s="23">
        <v>5</v>
      </c>
      <c r="K22" s="61">
        <v>3</v>
      </c>
      <c r="L22" s="59">
        <v>3</v>
      </c>
      <c r="M22" s="23">
        <v>2</v>
      </c>
      <c r="N22" s="23">
        <v>3</v>
      </c>
      <c r="O22" s="23">
        <v>3</v>
      </c>
      <c r="P22" s="23">
        <v>4</v>
      </c>
      <c r="Q22" s="23">
        <v>4</v>
      </c>
      <c r="R22" s="23">
        <v>4</v>
      </c>
      <c r="S22" s="23">
        <v>5</v>
      </c>
      <c r="T22" s="4"/>
      <c r="U22" s="96"/>
      <c r="V22" s="3" t="s">
        <v>41</v>
      </c>
      <c r="W22" s="23">
        <v>8</v>
      </c>
      <c r="X22" s="23">
        <v>4</v>
      </c>
      <c r="Y22" s="23">
        <v>4</v>
      </c>
      <c r="Z22" s="23">
        <v>4</v>
      </c>
      <c r="AA22" s="23">
        <v>4</v>
      </c>
      <c r="AB22" s="23">
        <v>4</v>
      </c>
      <c r="AC22" s="23">
        <v>4</v>
      </c>
      <c r="AD22" s="23">
        <v>4</v>
      </c>
      <c r="AE22" s="61">
        <v>4</v>
      </c>
      <c r="AF22" s="59"/>
      <c r="AG22" s="23"/>
      <c r="AH22" s="23"/>
      <c r="AI22" s="23"/>
      <c r="AJ22" s="23"/>
      <c r="AK22" s="23"/>
      <c r="AL22" s="23"/>
      <c r="AM22" s="23"/>
    </row>
    <row r="23" spans="1:39" x14ac:dyDescent="0.25">
      <c r="A23" s="96"/>
      <c r="B23" s="3" t="s">
        <v>15</v>
      </c>
      <c r="C23" s="2">
        <v>5</v>
      </c>
      <c r="D23" s="2">
        <v>4</v>
      </c>
      <c r="E23" s="2">
        <v>3</v>
      </c>
      <c r="F23" s="2">
        <v>3</v>
      </c>
      <c r="G23" s="2">
        <v>3</v>
      </c>
      <c r="H23" s="2">
        <v>3</v>
      </c>
      <c r="I23" s="2">
        <v>4</v>
      </c>
      <c r="J23" s="2">
        <v>2</v>
      </c>
      <c r="K23" s="62">
        <v>3</v>
      </c>
      <c r="L23" s="60">
        <v>3</v>
      </c>
      <c r="M23" s="2">
        <v>4</v>
      </c>
      <c r="N23" s="2">
        <v>3</v>
      </c>
      <c r="O23" s="2">
        <v>3</v>
      </c>
      <c r="P23" s="2">
        <v>4</v>
      </c>
      <c r="Q23" s="2">
        <v>4</v>
      </c>
      <c r="R23" s="2">
        <v>4</v>
      </c>
      <c r="S23" s="2">
        <v>4</v>
      </c>
      <c r="T23" s="4"/>
      <c r="U23" s="96"/>
      <c r="V23" s="3" t="s">
        <v>42</v>
      </c>
      <c r="W23" s="2">
        <v>8</v>
      </c>
      <c r="X23" s="2">
        <v>4</v>
      </c>
      <c r="Y23" s="2">
        <v>4</v>
      </c>
      <c r="Z23" s="2">
        <v>4</v>
      </c>
      <c r="AA23" s="2">
        <v>4</v>
      </c>
      <c r="AB23" s="2">
        <v>4</v>
      </c>
      <c r="AC23" s="2">
        <v>4</v>
      </c>
      <c r="AD23" s="2">
        <v>4</v>
      </c>
      <c r="AE23" s="62">
        <v>4</v>
      </c>
      <c r="AF23" s="60"/>
      <c r="AG23" s="2"/>
      <c r="AH23" s="2"/>
      <c r="AI23" s="2"/>
      <c r="AJ23" s="2"/>
      <c r="AK23" s="2"/>
      <c r="AL23" s="2"/>
      <c r="AM23" s="2"/>
    </row>
    <row r="24" spans="1:39" x14ac:dyDescent="0.25">
      <c r="A24" s="96"/>
      <c r="B24" s="3" t="s">
        <v>16</v>
      </c>
      <c r="C24" s="23">
        <v>7</v>
      </c>
      <c r="D24" s="23">
        <v>2</v>
      </c>
      <c r="E24" s="23">
        <v>5</v>
      </c>
      <c r="F24" s="23">
        <v>3</v>
      </c>
      <c r="G24" s="23">
        <v>1</v>
      </c>
      <c r="H24" s="23">
        <v>2</v>
      </c>
      <c r="I24" s="23">
        <v>3</v>
      </c>
      <c r="J24" s="23">
        <v>3</v>
      </c>
      <c r="K24" s="61">
        <v>1</v>
      </c>
      <c r="L24" s="59">
        <v>3</v>
      </c>
      <c r="M24" s="23">
        <v>3</v>
      </c>
      <c r="N24" s="23">
        <v>3</v>
      </c>
      <c r="O24" s="23">
        <v>3</v>
      </c>
      <c r="P24" s="23">
        <v>4</v>
      </c>
      <c r="Q24" s="23">
        <v>7</v>
      </c>
      <c r="R24" s="23">
        <v>8</v>
      </c>
      <c r="S24" s="23">
        <v>5</v>
      </c>
      <c r="T24" s="4"/>
      <c r="U24" s="96"/>
      <c r="V24" s="3" t="s">
        <v>43</v>
      </c>
      <c r="W24" s="23"/>
      <c r="X24" s="23"/>
      <c r="Y24" s="23"/>
      <c r="Z24" s="23"/>
      <c r="AA24" s="23"/>
      <c r="AB24" s="23"/>
      <c r="AC24" s="23"/>
      <c r="AD24" s="23"/>
      <c r="AE24" s="61"/>
      <c r="AF24" s="59"/>
      <c r="AG24" s="23"/>
      <c r="AH24" s="23"/>
      <c r="AI24" s="23"/>
      <c r="AJ24" s="23"/>
      <c r="AK24" s="23"/>
      <c r="AL24" s="23"/>
      <c r="AM24" s="23"/>
    </row>
    <row r="25" spans="1:39" x14ac:dyDescent="0.25">
      <c r="A25" s="96"/>
      <c r="B25" s="3" t="s">
        <v>17</v>
      </c>
      <c r="C25" s="2">
        <v>2</v>
      </c>
      <c r="D25" s="2">
        <v>3</v>
      </c>
      <c r="E25" s="2">
        <v>3</v>
      </c>
      <c r="F25" s="2">
        <v>3</v>
      </c>
      <c r="G25" s="2">
        <v>3</v>
      </c>
      <c r="H25" s="2">
        <v>3</v>
      </c>
      <c r="I25" s="2">
        <v>3</v>
      </c>
      <c r="J25" s="2">
        <v>3</v>
      </c>
      <c r="K25" s="62">
        <v>3</v>
      </c>
      <c r="L25" s="60"/>
      <c r="M25" s="2"/>
      <c r="N25" s="2"/>
      <c r="O25" s="2"/>
      <c r="P25" s="2"/>
      <c r="Q25" s="2"/>
      <c r="R25" s="2"/>
      <c r="S25" s="2"/>
      <c r="T25" s="4"/>
      <c r="U25" s="96"/>
      <c r="V25" s="3" t="s">
        <v>44</v>
      </c>
      <c r="W25" s="2"/>
      <c r="X25" s="2"/>
      <c r="Y25" s="2"/>
      <c r="Z25" s="2"/>
      <c r="AA25" s="2"/>
      <c r="AB25" s="2"/>
      <c r="AC25" s="2"/>
      <c r="AD25" s="2"/>
      <c r="AE25" s="62"/>
      <c r="AF25" s="60"/>
      <c r="AG25" s="2"/>
      <c r="AH25" s="2"/>
      <c r="AI25" s="2"/>
      <c r="AJ25" s="2"/>
      <c r="AK25" s="2"/>
      <c r="AL25" s="2"/>
      <c r="AM25" s="2"/>
    </row>
    <row r="26" spans="1:39" x14ac:dyDescent="0.25">
      <c r="A26" s="96"/>
      <c r="B26" s="3" t="s">
        <v>18</v>
      </c>
      <c r="C26" s="23">
        <v>3</v>
      </c>
      <c r="D26" s="23">
        <v>3</v>
      </c>
      <c r="E26" s="23">
        <v>4</v>
      </c>
      <c r="F26" s="23">
        <v>4</v>
      </c>
      <c r="G26" s="23">
        <v>3</v>
      </c>
      <c r="H26" s="23">
        <v>3</v>
      </c>
      <c r="I26" s="23">
        <v>3</v>
      </c>
      <c r="J26" s="23">
        <v>3</v>
      </c>
      <c r="K26" s="61">
        <v>3</v>
      </c>
      <c r="L26" s="59"/>
      <c r="M26" s="23"/>
      <c r="N26" s="23"/>
      <c r="O26" s="23"/>
      <c r="P26" s="23"/>
      <c r="Q26" s="23"/>
      <c r="R26" s="23"/>
      <c r="S26" s="23"/>
      <c r="T26" s="4"/>
      <c r="U26" s="96"/>
      <c r="V26" s="3" t="s">
        <v>45</v>
      </c>
      <c r="W26" s="23"/>
      <c r="X26" s="23"/>
      <c r="Y26" s="23"/>
      <c r="Z26" s="23"/>
      <c r="AA26" s="23"/>
      <c r="AB26" s="23"/>
      <c r="AC26" s="23"/>
      <c r="AD26" s="23"/>
      <c r="AE26" s="61"/>
      <c r="AF26" s="59"/>
      <c r="AG26" s="23"/>
      <c r="AH26" s="23"/>
      <c r="AI26" s="23"/>
      <c r="AJ26" s="23"/>
      <c r="AK26" s="23"/>
      <c r="AL26" s="23"/>
      <c r="AM26" s="23"/>
    </row>
    <row r="27" spans="1:39" x14ac:dyDescent="0.25">
      <c r="A27" s="96"/>
      <c r="B27" s="3" t="s">
        <v>19</v>
      </c>
      <c r="C27" s="2">
        <v>2</v>
      </c>
      <c r="D27" s="2">
        <v>3</v>
      </c>
      <c r="E27" s="2">
        <v>2</v>
      </c>
      <c r="F27" s="2">
        <v>4</v>
      </c>
      <c r="G27" s="2">
        <v>3</v>
      </c>
      <c r="H27" s="2">
        <v>3</v>
      </c>
      <c r="I27" s="2">
        <v>3</v>
      </c>
      <c r="J27" s="2">
        <v>3</v>
      </c>
      <c r="K27" s="62">
        <v>3</v>
      </c>
      <c r="L27" s="60"/>
      <c r="M27" s="2"/>
      <c r="N27" s="2"/>
      <c r="O27" s="2"/>
      <c r="P27" s="2"/>
      <c r="Q27" s="2"/>
      <c r="R27" s="2"/>
      <c r="S27" s="2"/>
      <c r="T27" s="4"/>
      <c r="U27" s="96"/>
      <c r="V27" s="3" t="s">
        <v>46</v>
      </c>
      <c r="W27" s="2"/>
      <c r="X27" s="2"/>
      <c r="Y27" s="2"/>
      <c r="Z27" s="2"/>
      <c r="AA27" s="2"/>
      <c r="AB27" s="2"/>
      <c r="AC27" s="2"/>
      <c r="AD27" s="2"/>
      <c r="AE27" s="62"/>
      <c r="AF27" s="60"/>
      <c r="AG27" s="2"/>
      <c r="AH27" s="2"/>
      <c r="AI27" s="2"/>
      <c r="AJ27" s="2"/>
      <c r="AK27" s="2"/>
      <c r="AL27" s="2"/>
      <c r="AM27" s="2"/>
    </row>
    <row r="28" spans="1:39" x14ac:dyDescent="0.25">
      <c r="A28" s="96"/>
      <c r="B28" s="3" t="s">
        <v>20</v>
      </c>
      <c r="C28" s="23">
        <v>4</v>
      </c>
      <c r="D28" s="23">
        <v>3</v>
      </c>
      <c r="E28" s="23">
        <v>3</v>
      </c>
      <c r="F28" s="23">
        <v>3</v>
      </c>
      <c r="G28" s="23">
        <v>3</v>
      </c>
      <c r="H28" s="23">
        <v>3</v>
      </c>
      <c r="I28" s="23">
        <v>3</v>
      </c>
      <c r="J28" s="23">
        <v>3</v>
      </c>
      <c r="K28" s="61">
        <v>3</v>
      </c>
      <c r="L28" s="59"/>
      <c r="M28" s="23"/>
      <c r="N28" s="23"/>
      <c r="O28" s="23"/>
      <c r="P28" s="23"/>
      <c r="Q28" s="23"/>
      <c r="R28" s="23"/>
      <c r="S28" s="23"/>
      <c r="T28" s="4"/>
      <c r="U28" s="96"/>
      <c r="V28" s="3" t="s">
        <v>47</v>
      </c>
      <c r="W28" s="23"/>
      <c r="X28" s="23"/>
      <c r="Y28" s="23"/>
      <c r="Z28" s="23"/>
      <c r="AA28" s="23"/>
      <c r="AB28" s="23"/>
      <c r="AC28" s="23"/>
      <c r="AD28" s="23"/>
      <c r="AE28" s="61"/>
      <c r="AF28" s="59"/>
      <c r="AG28" s="23"/>
      <c r="AH28" s="23"/>
      <c r="AI28" s="23"/>
      <c r="AJ28" s="23"/>
      <c r="AK28" s="23"/>
      <c r="AL28" s="23"/>
      <c r="AM28" s="23"/>
    </row>
    <row r="29" spans="1:39" x14ac:dyDescent="0.25">
      <c r="A29" s="96"/>
      <c r="B29" s="3" t="s">
        <v>21</v>
      </c>
      <c r="C29" s="2"/>
      <c r="D29" s="2"/>
      <c r="E29" s="2"/>
      <c r="F29" s="2"/>
      <c r="G29" s="2"/>
      <c r="H29" s="2"/>
      <c r="I29" s="2"/>
      <c r="J29" s="2"/>
      <c r="K29" s="62"/>
      <c r="L29" s="60"/>
      <c r="M29" s="2"/>
      <c r="N29" s="2"/>
      <c r="O29" s="2"/>
      <c r="P29" s="2"/>
      <c r="Q29" s="2"/>
      <c r="R29" s="2"/>
      <c r="S29" s="2"/>
      <c r="T29" s="4"/>
      <c r="U29" s="96"/>
      <c r="V29" s="3" t="s">
        <v>48</v>
      </c>
      <c r="W29" s="2"/>
      <c r="X29" s="2"/>
      <c r="Y29" s="2"/>
      <c r="Z29" s="2"/>
      <c r="AA29" s="2"/>
      <c r="AB29" s="2"/>
      <c r="AC29" s="2"/>
      <c r="AD29" s="2"/>
      <c r="AE29" s="62"/>
      <c r="AF29" s="60"/>
      <c r="AG29" s="2"/>
      <c r="AH29" s="2"/>
      <c r="AI29" s="2"/>
      <c r="AJ29" s="2"/>
      <c r="AK29" s="2"/>
      <c r="AL29" s="2"/>
      <c r="AM29" s="2"/>
    </row>
    <row r="30" spans="1:39" x14ac:dyDescent="0.25">
      <c r="A30" s="96"/>
      <c r="B30" s="3" t="s">
        <v>22</v>
      </c>
      <c r="C30" s="23"/>
      <c r="D30" s="23"/>
      <c r="E30" s="23"/>
      <c r="F30" s="23"/>
      <c r="G30" s="23"/>
      <c r="H30" s="23"/>
      <c r="I30" s="23"/>
      <c r="J30" s="23"/>
      <c r="K30" s="61"/>
      <c r="L30" s="59"/>
      <c r="M30" s="23"/>
      <c r="N30" s="23"/>
      <c r="O30" s="23"/>
      <c r="P30" s="23"/>
      <c r="Q30" s="23"/>
      <c r="R30" s="23"/>
      <c r="S30" s="23"/>
      <c r="T30" s="4"/>
      <c r="U30" s="96"/>
      <c r="V30" s="3" t="s">
        <v>49</v>
      </c>
      <c r="W30" s="23"/>
      <c r="X30" s="23"/>
      <c r="Y30" s="23"/>
      <c r="Z30" s="23"/>
      <c r="AA30" s="23"/>
      <c r="AB30" s="23"/>
      <c r="AC30" s="23"/>
      <c r="AD30" s="23"/>
      <c r="AE30" s="61"/>
      <c r="AF30" s="59"/>
      <c r="AG30" s="23"/>
      <c r="AH30" s="23"/>
      <c r="AI30" s="23"/>
      <c r="AJ30" s="23"/>
      <c r="AK30" s="23"/>
      <c r="AL30" s="23"/>
      <c r="AM30" s="23"/>
    </row>
    <row r="31" spans="1:39" x14ac:dyDescent="0.25">
      <c r="A31" s="96"/>
      <c r="B31" s="3" t="s">
        <v>23</v>
      </c>
      <c r="C31" s="2"/>
      <c r="D31" s="2"/>
      <c r="E31" s="2"/>
      <c r="F31" s="2"/>
      <c r="G31" s="2"/>
      <c r="H31" s="2"/>
      <c r="I31" s="2"/>
      <c r="J31" s="2"/>
      <c r="K31" s="62"/>
      <c r="L31" s="60"/>
      <c r="M31" s="2"/>
      <c r="N31" s="2"/>
      <c r="O31" s="2"/>
      <c r="P31" s="2"/>
      <c r="Q31" s="2"/>
      <c r="R31" s="2"/>
      <c r="S31" s="2"/>
      <c r="T31" s="4"/>
      <c r="U31" s="96"/>
      <c r="V31" s="3" t="s">
        <v>50</v>
      </c>
      <c r="W31" s="2"/>
      <c r="X31" s="2"/>
      <c r="Y31" s="2"/>
      <c r="Z31" s="2"/>
      <c r="AA31" s="2"/>
      <c r="AB31" s="2"/>
      <c r="AC31" s="2"/>
      <c r="AD31" s="2"/>
      <c r="AE31" s="62"/>
      <c r="AF31" s="60"/>
      <c r="AG31" s="2"/>
      <c r="AH31" s="2"/>
      <c r="AI31" s="2"/>
      <c r="AJ31" s="2"/>
      <c r="AK31" s="2"/>
      <c r="AL31" s="2"/>
      <c r="AM31" s="2"/>
    </row>
    <row r="32" spans="1:39" x14ac:dyDescent="0.25">
      <c r="A32" s="96"/>
      <c r="B32" s="3" t="s">
        <v>24</v>
      </c>
      <c r="C32" s="23"/>
      <c r="D32" s="23"/>
      <c r="E32" s="23"/>
      <c r="F32" s="23"/>
      <c r="G32" s="23"/>
      <c r="H32" s="23"/>
      <c r="I32" s="23"/>
      <c r="J32" s="23"/>
      <c r="K32" s="61"/>
      <c r="L32" s="59"/>
      <c r="M32" s="23"/>
      <c r="N32" s="23"/>
      <c r="O32" s="23"/>
      <c r="P32" s="23"/>
      <c r="Q32" s="23"/>
      <c r="R32" s="23"/>
      <c r="S32" s="23"/>
      <c r="T32" s="4"/>
      <c r="U32" s="96"/>
      <c r="V32" s="4"/>
      <c r="W32" s="4"/>
      <c r="X32" s="4"/>
      <c r="Y32" s="4"/>
      <c r="Z32" s="4"/>
      <c r="AA32" s="4"/>
      <c r="AB32" s="4"/>
      <c r="AC32" s="4"/>
      <c r="AD32" s="4"/>
      <c r="AE32" s="4"/>
      <c r="AF32" s="4"/>
      <c r="AG32" s="4"/>
      <c r="AH32" s="4"/>
      <c r="AI32" s="4"/>
    </row>
    <row r="35" spans="1:39" ht="28.5" x14ac:dyDescent="0.25">
      <c r="A35" s="111" t="s">
        <v>101</v>
      </c>
      <c r="B35" s="111"/>
      <c r="C35" s="111"/>
      <c r="D35" s="111"/>
      <c r="E35" s="111"/>
      <c r="F35" s="111"/>
      <c r="G35" s="111"/>
      <c r="H35" s="111"/>
      <c r="I35" s="111"/>
      <c r="J35" s="111"/>
      <c r="K35" s="111"/>
      <c r="L35" s="111"/>
      <c r="M35" s="111"/>
      <c r="N35" s="111"/>
      <c r="O35" s="111"/>
      <c r="P35" s="111"/>
      <c r="Q35" s="111"/>
      <c r="R35" s="111"/>
      <c r="S35" s="111"/>
      <c r="T35" s="111"/>
      <c r="U35" s="111"/>
      <c r="V35" s="111"/>
      <c r="W35" s="111"/>
      <c r="X35" s="111"/>
      <c r="Y35" s="111"/>
      <c r="Z35" s="111"/>
      <c r="AA35" s="111"/>
      <c r="AB35" s="111"/>
      <c r="AC35" s="111"/>
      <c r="AD35" s="111"/>
      <c r="AE35" s="111"/>
      <c r="AF35" s="111"/>
      <c r="AG35" s="111"/>
      <c r="AH35" s="111"/>
      <c r="AI35" s="111"/>
    </row>
    <row r="36" spans="1:39" x14ac:dyDescent="0.25">
      <c r="A36" s="4"/>
      <c r="B36" s="4"/>
      <c r="C36" s="4"/>
      <c r="D36" s="4"/>
      <c r="E36" s="4"/>
      <c r="F36" s="4"/>
      <c r="G36" s="4"/>
      <c r="H36" s="4"/>
      <c r="I36" s="4"/>
      <c r="J36" s="4"/>
      <c r="K36" s="4"/>
      <c r="L36" s="4"/>
      <c r="M36" s="4"/>
      <c r="N36" s="4"/>
      <c r="O36" s="4"/>
      <c r="P36" s="4"/>
      <c r="Q36" s="4"/>
      <c r="R36" s="4"/>
      <c r="S36" s="4"/>
      <c r="T36" s="4"/>
      <c r="U36" s="4"/>
      <c r="V36" s="4"/>
      <c r="W36" s="4"/>
      <c r="X36" s="4"/>
      <c r="Y36" s="4"/>
      <c r="Z36" s="4"/>
      <c r="AA36" s="4"/>
      <c r="AB36" s="4"/>
      <c r="AC36" s="4"/>
      <c r="AD36" s="4"/>
      <c r="AE36" s="4"/>
      <c r="AF36" s="4"/>
      <c r="AG36" s="4"/>
      <c r="AH36" s="4"/>
      <c r="AI36" s="4"/>
    </row>
    <row r="37" spans="1:39" ht="36" x14ac:dyDescent="0.25">
      <c r="A37" s="4"/>
      <c r="B37" s="5"/>
      <c r="C37" s="97" t="s">
        <v>1</v>
      </c>
      <c r="D37" s="97"/>
      <c r="E37" s="97"/>
      <c r="F37" s="97"/>
      <c r="G37" s="97"/>
      <c r="H37" s="97"/>
      <c r="I37" s="97"/>
      <c r="J37" s="97"/>
      <c r="K37" s="97"/>
      <c r="L37" s="97"/>
      <c r="M37" s="97"/>
      <c r="N37" s="97"/>
      <c r="O37" s="97"/>
      <c r="P37" s="36"/>
      <c r="Q37" s="36"/>
      <c r="R37" s="36"/>
      <c r="S37" s="36"/>
      <c r="T37" s="4"/>
      <c r="U37" s="4"/>
      <c r="V37" s="4"/>
      <c r="W37" s="97" t="s">
        <v>1</v>
      </c>
      <c r="X37" s="97"/>
      <c r="Y37" s="97"/>
      <c r="Z37" s="97"/>
      <c r="AA37" s="97"/>
      <c r="AB37" s="97"/>
      <c r="AC37" s="97"/>
      <c r="AD37" s="97"/>
      <c r="AE37" s="97"/>
      <c r="AF37" s="97"/>
      <c r="AG37" s="97"/>
      <c r="AH37" s="97"/>
      <c r="AI37" s="97"/>
      <c r="AJ37" s="97"/>
      <c r="AK37" s="97"/>
      <c r="AL37" s="97"/>
      <c r="AM37" s="97"/>
    </row>
    <row r="38" spans="1:39" ht="15.75" x14ac:dyDescent="0.25">
      <c r="A38" s="4"/>
      <c r="B38" s="5"/>
      <c r="C38" s="98" t="s">
        <v>52</v>
      </c>
      <c r="D38" s="98"/>
      <c r="E38" s="98"/>
      <c r="F38" s="98"/>
      <c r="G38" s="98"/>
      <c r="H38" s="98"/>
      <c r="I38" s="98"/>
      <c r="J38" s="98"/>
      <c r="K38" s="98"/>
      <c r="L38" s="98"/>
      <c r="M38" s="98"/>
      <c r="N38" s="98"/>
      <c r="O38" s="98"/>
      <c r="P38" s="6"/>
      <c r="Q38" s="6"/>
      <c r="R38" s="6"/>
      <c r="S38" s="6"/>
      <c r="T38" s="4"/>
      <c r="U38" s="4"/>
      <c r="V38" s="4"/>
      <c r="W38" s="98" t="s">
        <v>52</v>
      </c>
      <c r="X38" s="98"/>
      <c r="Y38" s="98"/>
      <c r="Z38" s="98"/>
      <c r="AA38" s="98"/>
      <c r="AB38" s="98"/>
      <c r="AC38" s="98"/>
      <c r="AD38" s="98"/>
      <c r="AE38" s="98"/>
      <c r="AF38" s="98"/>
      <c r="AG38" s="98"/>
      <c r="AH38" s="98"/>
      <c r="AI38" s="98"/>
      <c r="AJ38" s="98"/>
      <c r="AK38" s="98"/>
      <c r="AL38" s="98"/>
      <c r="AM38" s="98"/>
    </row>
    <row r="39" spans="1:39" ht="21" x14ac:dyDescent="0.25">
      <c r="A39" s="29" t="s">
        <v>52</v>
      </c>
      <c r="B39" s="1"/>
      <c r="C39" s="3" t="s">
        <v>2</v>
      </c>
      <c r="D39" s="3" t="s">
        <v>3</v>
      </c>
      <c r="E39" s="3" t="s">
        <v>4</v>
      </c>
      <c r="F39" s="3" t="s">
        <v>5</v>
      </c>
      <c r="G39" s="3" t="s">
        <v>6</v>
      </c>
      <c r="H39" s="3" t="s">
        <v>7</v>
      </c>
      <c r="I39" s="3" t="s">
        <v>8</v>
      </c>
      <c r="J39" s="3" t="s">
        <v>9</v>
      </c>
      <c r="K39" s="3" t="s">
        <v>10</v>
      </c>
      <c r="L39" s="3" t="s">
        <v>11</v>
      </c>
      <c r="M39" s="3" t="s">
        <v>25</v>
      </c>
      <c r="N39" s="3" t="s">
        <v>26</v>
      </c>
      <c r="O39" s="3" t="s">
        <v>12</v>
      </c>
      <c r="P39" s="3" t="s">
        <v>13</v>
      </c>
      <c r="Q39" s="3" t="s">
        <v>14</v>
      </c>
      <c r="R39" s="3" t="s">
        <v>15</v>
      </c>
      <c r="S39" s="3" t="s">
        <v>16</v>
      </c>
      <c r="T39" s="4"/>
      <c r="U39" s="29" t="s">
        <v>51</v>
      </c>
      <c r="V39" s="1"/>
      <c r="W39" s="3" t="s">
        <v>2</v>
      </c>
      <c r="X39" s="3" t="s">
        <v>3</v>
      </c>
      <c r="Y39" s="3" t="s">
        <v>4</v>
      </c>
      <c r="Z39" s="3" t="s">
        <v>5</v>
      </c>
      <c r="AA39" s="3" t="s">
        <v>6</v>
      </c>
      <c r="AB39" s="3" t="s">
        <v>7</v>
      </c>
      <c r="AC39" s="3" t="s">
        <v>8</v>
      </c>
      <c r="AD39" s="3" t="s">
        <v>9</v>
      </c>
      <c r="AE39" s="3" t="s">
        <v>10</v>
      </c>
      <c r="AF39" s="3" t="s">
        <v>11</v>
      </c>
      <c r="AG39" s="3" t="s">
        <v>25</v>
      </c>
      <c r="AH39" s="3" t="s">
        <v>26</v>
      </c>
      <c r="AI39" s="3" t="s">
        <v>12</v>
      </c>
      <c r="AJ39" s="3" t="s">
        <v>13</v>
      </c>
      <c r="AK39" s="3" t="s">
        <v>14</v>
      </c>
      <c r="AL39" s="3" t="s">
        <v>15</v>
      </c>
      <c r="AM39" s="3" t="s">
        <v>16</v>
      </c>
    </row>
    <row r="40" spans="1:39" x14ac:dyDescent="0.25">
      <c r="A40" s="96" t="s">
        <v>71</v>
      </c>
      <c r="B40" s="3" t="s">
        <v>2</v>
      </c>
      <c r="C40" s="23">
        <f>IF(C8&lt;20,20-C8,"")</f>
        <v>2</v>
      </c>
      <c r="D40" s="23">
        <f t="shared" ref="D40:G40" si="0">IF(D8&lt;20,20-D8,"")</f>
        <v>4</v>
      </c>
      <c r="E40" s="23">
        <f t="shared" si="0"/>
        <v>8</v>
      </c>
      <c r="F40" s="23">
        <f t="shared" si="0"/>
        <v>20</v>
      </c>
      <c r="G40" s="23">
        <f t="shared" si="0"/>
        <v>9</v>
      </c>
      <c r="H40" s="23">
        <f t="shared" ref="H40:K40" si="1">IF(H8&lt;10,10-H8,"")</f>
        <v>3</v>
      </c>
      <c r="I40" s="23">
        <f t="shared" si="1"/>
        <v>7</v>
      </c>
      <c r="J40" s="23">
        <f t="shared" si="1"/>
        <v>4</v>
      </c>
      <c r="K40" s="23">
        <f t="shared" si="1"/>
        <v>1</v>
      </c>
      <c r="L40" s="23" t="str">
        <f>IF(L8&lt;5,5-L8,"")</f>
        <v/>
      </c>
      <c r="M40" s="23">
        <f>IF(M8&lt;5,5-M8,"")</f>
        <v>4</v>
      </c>
      <c r="N40" s="23" t="str">
        <f>IF(N8&lt;5,5-N8,"")</f>
        <v/>
      </c>
      <c r="O40" s="23" t="str">
        <f>IF(O8&lt;5,5-O8,"")</f>
        <v/>
      </c>
      <c r="P40" s="23">
        <f t="shared" ref="P40:S56" si="2">IF(P8&lt;4,4-P8,"")</f>
        <v>1</v>
      </c>
      <c r="Q40" s="23" t="str">
        <f t="shared" si="2"/>
        <v/>
      </c>
      <c r="R40" s="23" t="str">
        <f t="shared" si="2"/>
        <v/>
      </c>
      <c r="S40" s="23">
        <f t="shared" si="2"/>
        <v>1</v>
      </c>
      <c r="T40" s="4"/>
      <c r="U40" s="96" t="s">
        <v>72</v>
      </c>
      <c r="V40" s="3" t="s">
        <v>29</v>
      </c>
      <c r="W40" s="23">
        <f>IF(W8&lt;8,8-W8,"")</f>
        <v>4</v>
      </c>
      <c r="X40" s="23">
        <f>IF(X8&lt;6,6-X8,"")</f>
        <v>2</v>
      </c>
      <c r="Y40" s="23">
        <f t="shared" ref="Y40:AA40" si="3">IF(Y8&lt;6,6-Y8,"")</f>
        <v>1</v>
      </c>
      <c r="Z40" s="23" t="str">
        <f t="shared" si="3"/>
        <v/>
      </c>
      <c r="AA40" s="23" t="str">
        <f t="shared" si="3"/>
        <v/>
      </c>
      <c r="AB40" s="23">
        <f t="shared" ref="AB40:AD40" si="4">IF(AB8&lt;4,4-AB8,"")</f>
        <v>2</v>
      </c>
      <c r="AC40" s="23">
        <f t="shared" si="4"/>
        <v>4</v>
      </c>
      <c r="AD40" s="23" t="str">
        <f t="shared" si="4"/>
        <v/>
      </c>
      <c r="AE40" s="23" t="str">
        <f t="shared" ref="AE40:AE55" si="5">IF(AE8&lt;4,4-AE8,"")</f>
        <v/>
      </c>
      <c r="AF40" s="23"/>
      <c r="AG40" s="23"/>
      <c r="AH40" s="23"/>
      <c r="AI40" s="23"/>
      <c r="AJ40" s="23"/>
      <c r="AK40" s="23"/>
      <c r="AL40" s="23"/>
      <c r="AM40" s="23"/>
    </row>
    <row r="41" spans="1:39" x14ac:dyDescent="0.25">
      <c r="A41" s="96"/>
      <c r="B41" s="3" t="s">
        <v>3</v>
      </c>
      <c r="C41" s="2">
        <f>IF(C9&lt;20,20-C9,"")</f>
        <v>4</v>
      </c>
      <c r="D41" s="2">
        <f t="shared" ref="D41:G41" si="6">IF(D9&lt;20,20-D9,"")</f>
        <v>5</v>
      </c>
      <c r="E41" s="2">
        <f t="shared" si="6"/>
        <v>18</v>
      </c>
      <c r="F41" s="2">
        <f t="shared" si="6"/>
        <v>2</v>
      </c>
      <c r="G41" s="2">
        <f t="shared" si="6"/>
        <v>1</v>
      </c>
      <c r="H41" s="2">
        <f t="shared" ref="H41:K41" si="7">IF(H9&lt;10,10-H9,"")</f>
        <v>4</v>
      </c>
      <c r="I41" s="2" t="str">
        <f t="shared" si="7"/>
        <v/>
      </c>
      <c r="J41" s="2" t="str">
        <f t="shared" si="7"/>
        <v/>
      </c>
      <c r="K41" s="2">
        <f t="shared" si="7"/>
        <v>4</v>
      </c>
      <c r="L41" s="2" t="str">
        <f t="shared" ref="L41:O52" si="8">IF(L9&lt;3,3-L9,"")</f>
        <v/>
      </c>
      <c r="M41" s="2" t="str">
        <f t="shared" si="8"/>
        <v/>
      </c>
      <c r="N41" s="2" t="str">
        <f t="shared" si="8"/>
        <v/>
      </c>
      <c r="O41" s="2">
        <f t="shared" si="8"/>
        <v>1</v>
      </c>
      <c r="P41" s="2" t="str">
        <f t="shared" si="2"/>
        <v/>
      </c>
      <c r="Q41" s="2" t="str">
        <f t="shared" si="2"/>
        <v/>
      </c>
      <c r="R41" s="2" t="str">
        <f t="shared" si="2"/>
        <v/>
      </c>
      <c r="S41" s="2">
        <f t="shared" si="2"/>
        <v>1</v>
      </c>
      <c r="T41" s="4"/>
      <c r="U41" s="96"/>
      <c r="V41" s="3" t="s">
        <v>30</v>
      </c>
      <c r="W41" s="2">
        <f>IF(W9&lt;8,8-W9,"")</f>
        <v>4</v>
      </c>
      <c r="X41" s="2" t="str">
        <f>IF(X9&lt;6,6-X9,"")</f>
        <v/>
      </c>
      <c r="Y41" s="2">
        <f t="shared" ref="Y41:AA41" si="9">IF(Y9&lt;6,6-Y9,"")</f>
        <v>5</v>
      </c>
      <c r="Z41" s="2">
        <f t="shared" si="9"/>
        <v>5</v>
      </c>
      <c r="AA41" s="2" t="str">
        <f t="shared" si="9"/>
        <v/>
      </c>
      <c r="AB41" s="2">
        <f t="shared" ref="AB41:AD41" si="10">IF(AB9&lt;4,4-AB9,"")</f>
        <v>4</v>
      </c>
      <c r="AC41" s="2">
        <f t="shared" si="10"/>
        <v>3</v>
      </c>
      <c r="AD41" s="2" t="str">
        <f t="shared" si="10"/>
        <v/>
      </c>
      <c r="AE41" s="2">
        <f t="shared" si="5"/>
        <v>2</v>
      </c>
      <c r="AF41" s="2"/>
      <c r="AG41" s="2"/>
      <c r="AH41" s="2"/>
      <c r="AI41" s="2"/>
      <c r="AJ41" s="2"/>
      <c r="AK41" s="2"/>
      <c r="AL41" s="2"/>
      <c r="AM41" s="2"/>
    </row>
    <row r="42" spans="1:39" x14ac:dyDescent="0.25">
      <c r="A42" s="96"/>
      <c r="B42" s="3" t="s">
        <v>4</v>
      </c>
      <c r="C42" s="23">
        <f t="shared" ref="C42:G42" si="11">IF(C10&lt;20,20-C10,"")</f>
        <v>6</v>
      </c>
      <c r="D42" s="23">
        <f t="shared" si="11"/>
        <v>13</v>
      </c>
      <c r="E42" s="23">
        <f t="shared" si="11"/>
        <v>5</v>
      </c>
      <c r="F42" s="23">
        <f t="shared" si="11"/>
        <v>4</v>
      </c>
      <c r="G42" s="23">
        <f t="shared" si="11"/>
        <v>4</v>
      </c>
      <c r="H42" s="23">
        <f t="shared" ref="D42:K48" si="12">IF(H10&lt;10,10-H10,"")</f>
        <v>1</v>
      </c>
      <c r="I42" s="23" t="str">
        <f t="shared" si="12"/>
        <v/>
      </c>
      <c r="J42" s="23" t="str">
        <f t="shared" si="12"/>
        <v/>
      </c>
      <c r="K42" s="23" t="str">
        <f t="shared" si="12"/>
        <v/>
      </c>
      <c r="L42" s="23">
        <f t="shared" si="8"/>
        <v>1</v>
      </c>
      <c r="M42" s="23">
        <f t="shared" si="8"/>
        <v>1</v>
      </c>
      <c r="N42" s="23" t="str">
        <f t="shared" si="8"/>
        <v/>
      </c>
      <c r="O42" s="23">
        <f t="shared" si="8"/>
        <v>1</v>
      </c>
      <c r="P42" s="23" t="str">
        <f t="shared" si="2"/>
        <v/>
      </c>
      <c r="Q42" s="23" t="str">
        <f t="shared" si="2"/>
        <v/>
      </c>
      <c r="R42" s="23" t="str">
        <f t="shared" si="2"/>
        <v/>
      </c>
      <c r="S42" s="23" t="str">
        <f t="shared" si="2"/>
        <v/>
      </c>
      <c r="T42" s="4"/>
      <c r="U42" s="96"/>
      <c r="V42" s="3" t="s">
        <v>31</v>
      </c>
      <c r="W42" s="23">
        <f t="shared" ref="W42:W55" si="13">IF(W10&lt;8,8-W10,"")</f>
        <v>3</v>
      </c>
      <c r="X42" s="23">
        <f>IF(X10&lt;6,6-X10,"")</f>
        <v>1</v>
      </c>
      <c r="Y42" s="23" t="str">
        <f t="shared" ref="Y42:AA42" si="14">IF(Y10&lt;6,6-Y10,"")</f>
        <v/>
      </c>
      <c r="Z42" s="23" t="str">
        <f t="shared" si="14"/>
        <v/>
      </c>
      <c r="AA42" s="23">
        <f t="shared" si="14"/>
        <v>5</v>
      </c>
      <c r="AB42" s="23" t="str">
        <f t="shared" ref="AB42:AD42" si="15">IF(AB10&lt;4,4-AB10,"")</f>
        <v/>
      </c>
      <c r="AC42" s="23" t="str">
        <f t="shared" si="15"/>
        <v/>
      </c>
      <c r="AD42" s="23" t="str">
        <f t="shared" si="15"/>
        <v/>
      </c>
      <c r="AE42" s="23">
        <f t="shared" si="5"/>
        <v>2</v>
      </c>
      <c r="AF42" s="23"/>
      <c r="AG42" s="23"/>
      <c r="AH42" s="23"/>
      <c r="AI42" s="23"/>
      <c r="AJ42" s="23"/>
      <c r="AK42" s="23"/>
      <c r="AL42" s="23"/>
      <c r="AM42" s="23"/>
    </row>
    <row r="43" spans="1:39" x14ac:dyDescent="0.25">
      <c r="A43" s="96"/>
      <c r="B43" s="3" t="s">
        <v>5</v>
      </c>
      <c r="C43" s="2">
        <f t="shared" ref="C43:G43" si="16">IF(C11&lt;20,20-C11,"")</f>
        <v>9</v>
      </c>
      <c r="D43" s="2">
        <f t="shared" si="16"/>
        <v>2</v>
      </c>
      <c r="E43" s="2">
        <f t="shared" si="16"/>
        <v>20</v>
      </c>
      <c r="F43" s="2">
        <f t="shared" si="16"/>
        <v>3</v>
      </c>
      <c r="G43" s="2">
        <f t="shared" si="16"/>
        <v>2</v>
      </c>
      <c r="H43" s="2" t="str">
        <f t="shared" si="12"/>
        <v/>
      </c>
      <c r="I43" s="2" t="str">
        <f t="shared" si="12"/>
        <v/>
      </c>
      <c r="J43" s="2" t="str">
        <f t="shared" si="12"/>
        <v/>
      </c>
      <c r="K43" s="2" t="str">
        <f t="shared" si="12"/>
        <v/>
      </c>
      <c r="L43" s="2" t="str">
        <f t="shared" si="8"/>
        <v/>
      </c>
      <c r="M43" s="2" t="str">
        <f t="shared" si="8"/>
        <v/>
      </c>
      <c r="N43" s="2" t="str">
        <f t="shared" si="8"/>
        <v/>
      </c>
      <c r="O43" s="2">
        <f t="shared" si="8"/>
        <v>1</v>
      </c>
      <c r="P43" s="2" t="str">
        <f t="shared" si="2"/>
        <v/>
      </c>
      <c r="Q43" s="2" t="str">
        <f t="shared" si="2"/>
        <v/>
      </c>
      <c r="R43" s="2" t="str">
        <f t="shared" si="2"/>
        <v/>
      </c>
      <c r="S43" s="2" t="str">
        <f t="shared" si="2"/>
        <v/>
      </c>
      <c r="T43" s="4"/>
      <c r="U43" s="96"/>
      <c r="V43" s="3" t="s">
        <v>32</v>
      </c>
      <c r="W43" s="2" t="str">
        <f t="shared" si="13"/>
        <v/>
      </c>
      <c r="X43" s="2" t="str">
        <f>IF(X11&lt;6,6-X11,"")</f>
        <v/>
      </c>
      <c r="Y43" s="2">
        <f t="shared" ref="Y43:AA43" si="17">IF(Y11&lt;6,6-Y11,"")</f>
        <v>2</v>
      </c>
      <c r="Z43" s="2">
        <f t="shared" si="17"/>
        <v>1</v>
      </c>
      <c r="AA43" s="2" t="str">
        <f t="shared" si="17"/>
        <v/>
      </c>
      <c r="AB43" s="2" t="str">
        <f t="shared" ref="AB43:AD43" si="18">IF(AB11&lt;4,4-AB11,"")</f>
        <v/>
      </c>
      <c r="AC43" s="2" t="str">
        <f t="shared" si="18"/>
        <v/>
      </c>
      <c r="AD43" s="2" t="str">
        <f t="shared" si="18"/>
        <v/>
      </c>
      <c r="AE43" s="2">
        <f t="shared" si="5"/>
        <v>1</v>
      </c>
      <c r="AF43" s="2"/>
      <c r="AG43" s="2"/>
      <c r="AH43" s="2"/>
      <c r="AI43" s="2"/>
      <c r="AJ43" s="2"/>
      <c r="AK43" s="2"/>
      <c r="AL43" s="2"/>
      <c r="AM43" s="2"/>
    </row>
    <row r="44" spans="1:39" x14ac:dyDescent="0.25">
      <c r="A44" s="96"/>
      <c r="B44" s="3" t="s">
        <v>6</v>
      </c>
      <c r="C44" s="23">
        <f t="shared" ref="C44:G44" si="19">IF(C12&lt;20,20-C12,"")</f>
        <v>2</v>
      </c>
      <c r="D44" s="23">
        <f t="shared" si="19"/>
        <v>1</v>
      </c>
      <c r="E44" s="23">
        <f t="shared" si="19"/>
        <v>7</v>
      </c>
      <c r="F44" s="23">
        <f t="shared" si="19"/>
        <v>2</v>
      </c>
      <c r="G44" s="23">
        <f t="shared" si="19"/>
        <v>5</v>
      </c>
      <c r="H44" s="23" t="str">
        <f t="shared" si="12"/>
        <v/>
      </c>
      <c r="I44" s="23" t="str">
        <f t="shared" si="12"/>
        <v/>
      </c>
      <c r="J44" s="23" t="str">
        <f t="shared" si="12"/>
        <v/>
      </c>
      <c r="K44" s="23">
        <f t="shared" si="12"/>
        <v>1</v>
      </c>
      <c r="L44" s="23" t="str">
        <f t="shared" si="8"/>
        <v/>
      </c>
      <c r="M44" s="23" t="str">
        <f t="shared" si="8"/>
        <v/>
      </c>
      <c r="N44" s="23" t="str">
        <f t="shared" si="8"/>
        <v/>
      </c>
      <c r="O44" s="23">
        <f t="shared" si="8"/>
        <v>1</v>
      </c>
      <c r="P44" s="23" t="str">
        <f t="shared" si="2"/>
        <v/>
      </c>
      <c r="Q44" s="23" t="str">
        <f t="shared" si="2"/>
        <v/>
      </c>
      <c r="R44" s="23" t="str">
        <f t="shared" si="2"/>
        <v/>
      </c>
      <c r="S44" s="23" t="str">
        <f t="shared" si="2"/>
        <v/>
      </c>
      <c r="T44" s="4"/>
      <c r="U44" s="96"/>
      <c r="V44" s="3" t="s">
        <v>33</v>
      </c>
      <c r="W44" s="23">
        <f t="shared" si="13"/>
        <v>3</v>
      </c>
      <c r="X44" s="23" t="str">
        <f t="shared" ref="X44:AD44" si="20">IF(X12&lt;4,4-X12,"")</f>
        <v/>
      </c>
      <c r="Y44" s="23" t="str">
        <f t="shared" si="20"/>
        <v/>
      </c>
      <c r="Z44" s="23" t="str">
        <f t="shared" si="20"/>
        <v/>
      </c>
      <c r="AA44" s="23" t="str">
        <f t="shared" si="20"/>
        <v/>
      </c>
      <c r="AB44" s="23" t="str">
        <f t="shared" si="20"/>
        <v/>
      </c>
      <c r="AC44" s="23">
        <f t="shared" si="20"/>
        <v>2</v>
      </c>
      <c r="AD44" s="23" t="str">
        <f t="shared" si="20"/>
        <v/>
      </c>
      <c r="AE44" s="23" t="str">
        <f t="shared" si="5"/>
        <v/>
      </c>
      <c r="AF44" s="23"/>
      <c r="AG44" s="23"/>
      <c r="AH44" s="23"/>
      <c r="AI44" s="23"/>
      <c r="AJ44" s="23"/>
      <c r="AK44" s="23"/>
      <c r="AL44" s="23"/>
      <c r="AM44" s="23"/>
    </row>
    <row r="45" spans="1:39" x14ac:dyDescent="0.25">
      <c r="A45" s="96"/>
      <c r="B45" s="3" t="s">
        <v>7</v>
      </c>
      <c r="C45" s="2" t="str">
        <f t="shared" ref="C45:C48" si="21">IF(C13&lt;16,16-C13,"")</f>
        <v/>
      </c>
      <c r="D45" s="2" t="str">
        <f t="shared" si="12"/>
        <v/>
      </c>
      <c r="E45" s="2">
        <f t="shared" si="12"/>
        <v>2</v>
      </c>
      <c r="F45" s="2" t="str">
        <f t="shared" si="12"/>
        <v/>
      </c>
      <c r="G45" s="2">
        <f t="shared" si="12"/>
        <v>4</v>
      </c>
      <c r="H45" s="2" t="str">
        <f t="shared" si="12"/>
        <v/>
      </c>
      <c r="I45" s="2">
        <f t="shared" si="12"/>
        <v>1</v>
      </c>
      <c r="J45" s="2">
        <f t="shared" si="12"/>
        <v>1</v>
      </c>
      <c r="K45" s="2" t="str">
        <f t="shared" si="12"/>
        <v/>
      </c>
      <c r="L45" s="2" t="str">
        <f t="shared" si="8"/>
        <v/>
      </c>
      <c r="M45" s="2" t="str">
        <f t="shared" si="8"/>
        <v/>
      </c>
      <c r="N45" s="2" t="str">
        <f t="shared" si="8"/>
        <v/>
      </c>
      <c r="O45" s="2" t="str">
        <f t="shared" si="8"/>
        <v/>
      </c>
      <c r="P45" s="2" t="str">
        <f t="shared" si="2"/>
        <v/>
      </c>
      <c r="Q45" s="2" t="str">
        <f t="shared" si="2"/>
        <v/>
      </c>
      <c r="R45" s="2" t="str">
        <f t="shared" si="2"/>
        <v/>
      </c>
      <c r="S45" s="2" t="str">
        <f t="shared" si="2"/>
        <v/>
      </c>
      <c r="T45" s="4"/>
      <c r="U45" s="96"/>
      <c r="V45" s="3" t="s">
        <v>34</v>
      </c>
      <c r="W45" s="2">
        <f t="shared" si="13"/>
        <v>2</v>
      </c>
      <c r="X45" s="2" t="str">
        <f t="shared" ref="X45:AD45" si="22">IF(X13&lt;4,4-X13,"")</f>
        <v/>
      </c>
      <c r="Y45" s="2" t="str">
        <f t="shared" si="22"/>
        <v/>
      </c>
      <c r="Z45" s="2" t="str">
        <f t="shared" si="22"/>
        <v/>
      </c>
      <c r="AA45" s="2" t="str">
        <f t="shared" si="22"/>
        <v/>
      </c>
      <c r="AB45" s="2" t="str">
        <f t="shared" si="22"/>
        <v/>
      </c>
      <c r="AC45" s="2" t="str">
        <f t="shared" si="22"/>
        <v/>
      </c>
      <c r="AD45" s="2" t="str">
        <f t="shared" si="22"/>
        <v/>
      </c>
      <c r="AE45" s="2" t="str">
        <f t="shared" si="5"/>
        <v/>
      </c>
      <c r="AF45" s="2"/>
      <c r="AG45" s="2"/>
      <c r="AH45" s="2"/>
      <c r="AI45" s="2"/>
      <c r="AJ45" s="2"/>
      <c r="AK45" s="2"/>
      <c r="AL45" s="2"/>
      <c r="AM45" s="2"/>
    </row>
    <row r="46" spans="1:39" x14ac:dyDescent="0.25">
      <c r="A46" s="96"/>
      <c r="B46" s="3" t="s">
        <v>8</v>
      </c>
      <c r="C46" s="23" t="str">
        <f t="shared" si="21"/>
        <v/>
      </c>
      <c r="D46" s="23">
        <f t="shared" si="12"/>
        <v>1</v>
      </c>
      <c r="E46" s="23">
        <f t="shared" si="12"/>
        <v>4</v>
      </c>
      <c r="F46" s="23">
        <f t="shared" si="12"/>
        <v>1</v>
      </c>
      <c r="G46" s="23">
        <f t="shared" si="12"/>
        <v>2</v>
      </c>
      <c r="H46" s="23" t="str">
        <f t="shared" si="12"/>
        <v/>
      </c>
      <c r="I46" s="23">
        <f t="shared" si="12"/>
        <v>1</v>
      </c>
      <c r="J46" s="23" t="str">
        <f t="shared" si="12"/>
        <v/>
      </c>
      <c r="K46" s="23" t="str">
        <f t="shared" si="12"/>
        <v/>
      </c>
      <c r="L46" s="23" t="str">
        <f t="shared" si="8"/>
        <v/>
      </c>
      <c r="M46" s="23" t="str">
        <f t="shared" si="8"/>
        <v/>
      </c>
      <c r="N46" s="23">
        <f t="shared" si="8"/>
        <v>1</v>
      </c>
      <c r="O46" s="23" t="str">
        <f t="shared" si="8"/>
        <v/>
      </c>
      <c r="P46" s="23" t="str">
        <f t="shared" si="2"/>
        <v/>
      </c>
      <c r="Q46" s="23" t="str">
        <f t="shared" si="2"/>
        <v/>
      </c>
      <c r="R46" s="23" t="str">
        <f t="shared" si="2"/>
        <v/>
      </c>
      <c r="S46" s="23" t="str">
        <f t="shared" si="2"/>
        <v/>
      </c>
      <c r="T46" s="4"/>
      <c r="U46" s="96"/>
      <c r="V46" s="3" t="s">
        <v>35</v>
      </c>
      <c r="W46" s="23">
        <f t="shared" si="13"/>
        <v>7</v>
      </c>
      <c r="X46" s="23" t="str">
        <f t="shared" ref="X46:AD46" si="23">IF(X14&lt;4,4-X14,"")</f>
        <v/>
      </c>
      <c r="Y46" s="23" t="str">
        <f t="shared" si="23"/>
        <v/>
      </c>
      <c r="Z46" s="23" t="str">
        <f t="shared" si="23"/>
        <v/>
      </c>
      <c r="AA46" s="23" t="str">
        <f t="shared" si="23"/>
        <v/>
      </c>
      <c r="AB46" s="23" t="str">
        <f t="shared" si="23"/>
        <v/>
      </c>
      <c r="AC46" s="23" t="str">
        <f t="shared" si="23"/>
        <v/>
      </c>
      <c r="AD46" s="23" t="str">
        <f t="shared" si="23"/>
        <v/>
      </c>
      <c r="AE46" s="23" t="str">
        <f t="shared" si="5"/>
        <v/>
      </c>
      <c r="AF46" s="23"/>
      <c r="AG46" s="23"/>
      <c r="AH46" s="23"/>
      <c r="AI46" s="23"/>
      <c r="AJ46" s="23"/>
      <c r="AK46" s="23"/>
      <c r="AL46" s="23"/>
      <c r="AM46" s="23"/>
    </row>
    <row r="47" spans="1:39" x14ac:dyDescent="0.25">
      <c r="A47" s="96"/>
      <c r="B47" s="3" t="s">
        <v>9</v>
      </c>
      <c r="C47" s="2">
        <f t="shared" si="21"/>
        <v>2</v>
      </c>
      <c r="D47" s="2">
        <f t="shared" si="12"/>
        <v>3</v>
      </c>
      <c r="E47" s="2" t="str">
        <f t="shared" si="12"/>
        <v/>
      </c>
      <c r="F47" s="2">
        <f t="shared" si="12"/>
        <v>1</v>
      </c>
      <c r="G47" s="2" t="str">
        <f t="shared" si="12"/>
        <v/>
      </c>
      <c r="H47" s="2" t="str">
        <f t="shared" si="12"/>
        <v/>
      </c>
      <c r="I47" s="2" t="str">
        <f t="shared" si="12"/>
        <v/>
      </c>
      <c r="J47" s="2" t="str">
        <f t="shared" si="12"/>
        <v/>
      </c>
      <c r="K47" s="2" t="str">
        <f t="shared" si="12"/>
        <v/>
      </c>
      <c r="L47" s="2" t="str">
        <f t="shared" si="8"/>
        <v/>
      </c>
      <c r="M47" s="2" t="str">
        <f t="shared" si="8"/>
        <v/>
      </c>
      <c r="N47" s="2" t="str">
        <f t="shared" si="8"/>
        <v/>
      </c>
      <c r="O47" s="2" t="str">
        <f t="shared" si="8"/>
        <v/>
      </c>
      <c r="P47" s="2" t="str">
        <f t="shared" si="2"/>
        <v/>
      </c>
      <c r="Q47" s="2" t="str">
        <f t="shared" si="2"/>
        <v/>
      </c>
      <c r="R47" s="2" t="str">
        <f t="shared" si="2"/>
        <v/>
      </c>
      <c r="S47" s="2" t="str">
        <f t="shared" si="2"/>
        <v/>
      </c>
      <c r="T47" s="4"/>
      <c r="U47" s="96"/>
      <c r="V47" s="3" t="s">
        <v>36</v>
      </c>
      <c r="W47" s="2">
        <f t="shared" si="13"/>
        <v>2</v>
      </c>
      <c r="X47" s="2" t="str">
        <f t="shared" ref="X47:AD47" si="24">IF(X15&lt;4,4-X15,"")</f>
        <v/>
      </c>
      <c r="Y47" s="2">
        <f t="shared" si="24"/>
        <v>3</v>
      </c>
      <c r="Z47" s="2" t="str">
        <f t="shared" si="24"/>
        <v/>
      </c>
      <c r="AA47" s="2" t="str">
        <f t="shared" si="24"/>
        <v/>
      </c>
      <c r="AB47" s="2" t="str">
        <f t="shared" si="24"/>
        <v/>
      </c>
      <c r="AC47" s="2" t="str">
        <f t="shared" si="24"/>
        <v/>
      </c>
      <c r="AD47" s="2" t="str">
        <f t="shared" si="24"/>
        <v/>
      </c>
      <c r="AE47" s="2" t="str">
        <f t="shared" si="5"/>
        <v/>
      </c>
      <c r="AF47" s="2"/>
      <c r="AG47" s="2"/>
      <c r="AH47" s="2"/>
      <c r="AI47" s="2"/>
      <c r="AJ47" s="2"/>
      <c r="AK47" s="2"/>
      <c r="AL47" s="2"/>
      <c r="AM47" s="2"/>
    </row>
    <row r="48" spans="1:39" x14ac:dyDescent="0.25">
      <c r="A48" s="96"/>
      <c r="B48" s="3" t="s">
        <v>10</v>
      </c>
      <c r="C48" s="23" t="str">
        <f t="shared" si="21"/>
        <v/>
      </c>
      <c r="D48" s="23" t="str">
        <f t="shared" si="12"/>
        <v/>
      </c>
      <c r="E48" s="23">
        <f t="shared" si="12"/>
        <v>4</v>
      </c>
      <c r="F48" s="23">
        <f t="shared" si="12"/>
        <v>2</v>
      </c>
      <c r="G48" s="23" t="str">
        <f t="shared" si="12"/>
        <v/>
      </c>
      <c r="H48" s="23">
        <f t="shared" si="12"/>
        <v>1</v>
      </c>
      <c r="I48" s="23" t="str">
        <f t="shared" si="12"/>
        <v/>
      </c>
      <c r="J48" s="23" t="str">
        <f t="shared" si="12"/>
        <v/>
      </c>
      <c r="K48" s="23">
        <f t="shared" si="12"/>
        <v>2</v>
      </c>
      <c r="L48" s="23" t="str">
        <f t="shared" si="8"/>
        <v/>
      </c>
      <c r="M48" s="23" t="str">
        <f t="shared" si="8"/>
        <v/>
      </c>
      <c r="N48" s="23" t="str">
        <f t="shared" si="8"/>
        <v/>
      </c>
      <c r="O48" s="23" t="str">
        <f t="shared" si="8"/>
        <v/>
      </c>
      <c r="P48" s="23" t="str">
        <f t="shared" si="2"/>
        <v/>
      </c>
      <c r="Q48" s="23" t="str">
        <f t="shared" si="2"/>
        <v/>
      </c>
      <c r="R48" s="23" t="str">
        <f t="shared" si="2"/>
        <v/>
      </c>
      <c r="S48" s="23" t="str">
        <f t="shared" si="2"/>
        <v/>
      </c>
      <c r="T48" s="4"/>
      <c r="U48" s="96"/>
      <c r="V48" s="3" t="s">
        <v>37</v>
      </c>
      <c r="W48" s="23">
        <f t="shared" si="13"/>
        <v>2</v>
      </c>
      <c r="X48" s="23" t="str">
        <f t="shared" ref="X48:AD48" si="25">IF(X16&lt;4,4-X16,"")</f>
        <v/>
      </c>
      <c r="Y48" s="23">
        <f t="shared" si="25"/>
        <v>1</v>
      </c>
      <c r="Z48" s="23" t="str">
        <f t="shared" si="25"/>
        <v/>
      </c>
      <c r="AA48" s="23" t="str">
        <f t="shared" si="25"/>
        <v/>
      </c>
      <c r="AB48" s="23" t="str">
        <f t="shared" si="25"/>
        <v/>
      </c>
      <c r="AC48" s="23" t="str">
        <f t="shared" si="25"/>
        <v/>
      </c>
      <c r="AD48" s="23" t="str">
        <f t="shared" si="25"/>
        <v/>
      </c>
      <c r="AE48" s="23" t="str">
        <f t="shared" si="5"/>
        <v/>
      </c>
      <c r="AF48" s="23"/>
      <c r="AG48" s="23"/>
      <c r="AH48" s="23"/>
      <c r="AI48" s="23"/>
      <c r="AJ48" s="23"/>
      <c r="AK48" s="23"/>
      <c r="AL48" s="23"/>
      <c r="AM48" s="23"/>
    </row>
    <row r="49" spans="1:39" x14ac:dyDescent="0.25">
      <c r="A49" s="96"/>
      <c r="B49" s="3" t="s">
        <v>11</v>
      </c>
      <c r="C49" s="2" t="str">
        <f t="shared" ref="C49:K49" si="26">IF(C17&lt;6,6-C17,"")</f>
        <v/>
      </c>
      <c r="D49" s="2" t="str">
        <f t="shared" si="26"/>
        <v/>
      </c>
      <c r="E49" s="2" t="str">
        <f t="shared" si="26"/>
        <v/>
      </c>
      <c r="F49" s="2">
        <f t="shared" si="26"/>
        <v>2</v>
      </c>
      <c r="G49" s="2" t="str">
        <f t="shared" si="26"/>
        <v/>
      </c>
      <c r="H49" s="2">
        <f t="shared" si="26"/>
        <v>2</v>
      </c>
      <c r="I49" s="2" t="str">
        <f t="shared" si="26"/>
        <v/>
      </c>
      <c r="J49" s="2" t="str">
        <f t="shared" si="26"/>
        <v/>
      </c>
      <c r="K49" s="2" t="str">
        <f t="shared" si="26"/>
        <v/>
      </c>
      <c r="L49" s="2" t="str">
        <f t="shared" si="8"/>
        <v/>
      </c>
      <c r="M49" s="2" t="str">
        <f t="shared" si="8"/>
        <v/>
      </c>
      <c r="N49" s="2" t="str">
        <f t="shared" si="8"/>
        <v/>
      </c>
      <c r="O49" s="2" t="str">
        <f t="shared" si="8"/>
        <v/>
      </c>
      <c r="P49" s="2" t="str">
        <f t="shared" si="2"/>
        <v/>
      </c>
      <c r="Q49" s="2">
        <f t="shared" si="2"/>
        <v>1</v>
      </c>
      <c r="R49" s="2" t="str">
        <f t="shared" si="2"/>
        <v/>
      </c>
      <c r="S49" s="2" t="str">
        <f t="shared" si="2"/>
        <v/>
      </c>
      <c r="T49" s="4"/>
      <c r="U49" s="96"/>
      <c r="V49" s="3" t="s">
        <v>54</v>
      </c>
      <c r="W49" s="2" t="str">
        <f t="shared" si="13"/>
        <v/>
      </c>
      <c r="X49" s="2" t="str">
        <f t="shared" ref="X49:AD49" si="27">IF(X17&lt;4,4-X17,"")</f>
        <v/>
      </c>
      <c r="Y49" s="2">
        <f t="shared" si="27"/>
        <v>2</v>
      </c>
      <c r="Z49" s="2" t="str">
        <f t="shared" si="27"/>
        <v/>
      </c>
      <c r="AA49" s="2" t="str">
        <f t="shared" si="27"/>
        <v/>
      </c>
      <c r="AB49" s="2" t="str">
        <f t="shared" si="27"/>
        <v/>
      </c>
      <c r="AC49" s="2" t="str">
        <f t="shared" si="27"/>
        <v/>
      </c>
      <c r="AD49" s="2" t="str">
        <f t="shared" si="27"/>
        <v/>
      </c>
      <c r="AE49" s="2" t="str">
        <f t="shared" si="5"/>
        <v/>
      </c>
      <c r="AF49" s="2"/>
      <c r="AG49" s="2"/>
      <c r="AH49" s="2"/>
      <c r="AI49" s="2"/>
      <c r="AJ49" s="2"/>
      <c r="AK49" s="2"/>
      <c r="AL49" s="2"/>
      <c r="AM49" s="2"/>
    </row>
    <row r="50" spans="1:39" x14ac:dyDescent="0.25">
      <c r="A50" s="96"/>
      <c r="B50" s="3" t="s">
        <v>25</v>
      </c>
      <c r="C50" s="23" t="str">
        <f t="shared" ref="C50:K50" si="28">IF(C18&lt;6,6-C18,"")</f>
        <v/>
      </c>
      <c r="D50" s="23" t="str">
        <f t="shared" si="28"/>
        <v/>
      </c>
      <c r="E50" s="23" t="str">
        <f t="shared" si="28"/>
        <v/>
      </c>
      <c r="F50" s="23">
        <f t="shared" si="28"/>
        <v>6</v>
      </c>
      <c r="G50" s="23">
        <f t="shared" si="28"/>
        <v>1</v>
      </c>
      <c r="H50" s="23">
        <f t="shared" si="28"/>
        <v>1</v>
      </c>
      <c r="I50" s="23">
        <f t="shared" si="28"/>
        <v>6</v>
      </c>
      <c r="J50" s="23" t="str">
        <f t="shared" si="28"/>
        <v/>
      </c>
      <c r="K50" s="23" t="str">
        <f t="shared" si="28"/>
        <v/>
      </c>
      <c r="L50" s="23" t="str">
        <f t="shared" si="8"/>
        <v/>
      </c>
      <c r="M50" s="23" t="str">
        <f t="shared" si="8"/>
        <v/>
      </c>
      <c r="N50" s="23" t="str">
        <f t="shared" si="8"/>
        <v/>
      </c>
      <c r="O50" s="23" t="str">
        <f t="shared" si="8"/>
        <v/>
      </c>
      <c r="P50" s="23" t="str">
        <f t="shared" si="2"/>
        <v/>
      </c>
      <c r="Q50" s="23" t="str">
        <f t="shared" si="2"/>
        <v/>
      </c>
      <c r="R50" s="23" t="str">
        <f t="shared" si="2"/>
        <v/>
      </c>
      <c r="S50" s="23" t="str">
        <f t="shared" si="2"/>
        <v/>
      </c>
      <c r="T50" s="4"/>
      <c r="U50" s="96"/>
      <c r="V50" s="3" t="s">
        <v>55</v>
      </c>
      <c r="W50" s="23">
        <f t="shared" si="13"/>
        <v>2</v>
      </c>
      <c r="X50" s="23" t="str">
        <f t="shared" ref="X50:AD50" si="29">IF(X18&lt;4,4-X18,"")</f>
        <v/>
      </c>
      <c r="Y50" s="23" t="str">
        <f t="shared" si="29"/>
        <v/>
      </c>
      <c r="Z50" s="23" t="str">
        <f t="shared" si="29"/>
        <v/>
      </c>
      <c r="AA50" s="23" t="str">
        <f t="shared" si="29"/>
        <v/>
      </c>
      <c r="AB50" s="23" t="str">
        <f t="shared" si="29"/>
        <v/>
      </c>
      <c r="AC50" s="23" t="str">
        <f t="shared" si="29"/>
        <v/>
      </c>
      <c r="AD50" s="23" t="str">
        <f t="shared" si="29"/>
        <v/>
      </c>
      <c r="AE50" s="23" t="str">
        <f t="shared" si="5"/>
        <v/>
      </c>
      <c r="AF50" s="23"/>
      <c r="AG50" s="23"/>
      <c r="AH50" s="23"/>
      <c r="AI50" s="23"/>
      <c r="AJ50" s="23"/>
      <c r="AK50" s="23"/>
      <c r="AL50" s="23"/>
      <c r="AM50" s="23"/>
    </row>
    <row r="51" spans="1:39" x14ac:dyDescent="0.25">
      <c r="A51" s="96"/>
      <c r="B51" s="3" t="s">
        <v>26</v>
      </c>
      <c r="C51" s="2" t="str">
        <f t="shared" ref="C51:K51" si="30">IF(C19&lt;6,6-C19,"")</f>
        <v/>
      </c>
      <c r="D51" s="2" t="str">
        <f t="shared" si="30"/>
        <v/>
      </c>
      <c r="E51" s="2">
        <f t="shared" si="30"/>
        <v>1</v>
      </c>
      <c r="F51" s="2" t="str">
        <f t="shared" si="30"/>
        <v/>
      </c>
      <c r="G51" s="2" t="str">
        <f t="shared" si="30"/>
        <v/>
      </c>
      <c r="H51" s="2" t="str">
        <f t="shared" si="30"/>
        <v/>
      </c>
      <c r="I51" s="2">
        <f t="shared" si="30"/>
        <v>1</v>
      </c>
      <c r="J51" s="2" t="str">
        <f t="shared" si="30"/>
        <v/>
      </c>
      <c r="K51" s="2" t="str">
        <f t="shared" si="30"/>
        <v/>
      </c>
      <c r="L51" s="2" t="str">
        <f t="shared" si="8"/>
        <v/>
      </c>
      <c r="M51" s="2" t="str">
        <f t="shared" si="8"/>
        <v/>
      </c>
      <c r="N51" s="2" t="str">
        <f t="shared" si="8"/>
        <v/>
      </c>
      <c r="O51" s="2" t="str">
        <f t="shared" si="8"/>
        <v/>
      </c>
      <c r="P51" s="2" t="str">
        <f t="shared" si="2"/>
        <v/>
      </c>
      <c r="Q51" s="2" t="str">
        <f t="shared" si="2"/>
        <v/>
      </c>
      <c r="R51" s="2" t="str">
        <f t="shared" si="2"/>
        <v/>
      </c>
      <c r="S51" s="2" t="str">
        <f t="shared" si="2"/>
        <v/>
      </c>
      <c r="T51" s="4"/>
      <c r="U51" s="96"/>
      <c r="V51" s="3" t="s">
        <v>38</v>
      </c>
      <c r="W51" s="2" t="str">
        <f t="shared" si="13"/>
        <v/>
      </c>
      <c r="X51" s="2" t="str">
        <f t="shared" ref="X51:AD51" si="31">IF(X19&lt;4,4-X19,"")</f>
        <v/>
      </c>
      <c r="Y51" s="2" t="str">
        <f t="shared" si="31"/>
        <v/>
      </c>
      <c r="Z51" s="2">
        <f t="shared" si="31"/>
        <v>1</v>
      </c>
      <c r="AA51" s="2" t="str">
        <f t="shared" si="31"/>
        <v/>
      </c>
      <c r="AB51" s="2" t="str">
        <f t="shared" si="31"/>
        <v/>
      </c>
      <c r="AC51" s="2" t="str">
        <f t="shared" si="31"/>
        <v/>
      </c>
      <c r="AD51" s="2" t="str">
        <f t="shared" si="31"/>
        <v/>
      </c>
      <c r="AE51" s="2" t="str">
        <f t="shared" si="5"/>
        <v/>
      </c>
      <c r="AF51" s="2"/>
      <c r="AG51" s="2"/>
      <c r="AH51" s="2"/>
      <c r="AI51" s="2"/>
      <c r="AJ51" s="2"/>
      <c r="AK51" s="2"/>
      <c r="AL51" s="2"/>
      <c r="AM51" s="2"/>
    </row>
    <row r="52" spans="1:39" x14ac:dyDescent="0.25">
      <c r="A52" s="96"/>
      <c r="B52" s="3" t="s">
        <v>12</v>
      </c>
      <c r="C52" s="23" t="str">
        <f>IF(C20&lt;6,6-C20,"")</f>
        <v/>
      </c>
      <c r="D52" s="23">
        <f t="shared" ref="D52:K52" si="32">IF(D20&lt;6,6-D20,"")</f>
        <v>1</v>
      </c>
      <c r="E52" s="23">
        <f t="shared" si="32"/>
        <v>3</v>
      </c>
      <c r="F52" s="23" t="str">
        <f t="shared" si="32"/>
        <v/>
      </c>
      <c r="G52" s="23" t="str">
        <f t="shared" si="32"/>
        <v/>
      </c>
      <c r="H52" s="23" t="str">
        <f t="shared" si="32"/>
        <v/>
      </c>
      <c r="I52" s="23" t="str">
        <f t="shared" si="32"/>
        <v/>
      </c>
      <c r="J52" s="23" t="str">
        <f t="shared" si="32"/>
        <v/>
      </c>
      <c r="K52" s="23" t="str">
        <f t="shared" si="32"/>
        <v/>
      </c>
      <c r="L52" s="23" t="str">
        <f t="shared" si="8"/>
        <v/>
      </c>
      <c r="M52" s="23" t="str">
        <f t="shared" si="8"/>
        <v/>
      </c>
      <c r="N52" s="23" t="str">
        <f t="shared" si="8"/>
        <v/>
      </c>
      <c r="O52" s="23" t="str">
        <f t="shared" si="8"/>
        <v/>
      </c>
      <c r="P52" s="23">
        <f t="shared" si="2"/>
        <v>1</v>
      </c>
      <c r="Q52" s="23" t="str">
        <f t="shared" si="2"/>
        <v/>
      </c>
      <c r="R52" s="23" t="str">
        <f t="shared" si="2"/>
        <v/>
      </c>
      <c r="S52" s="23" t="str">
        <f t="shared" si="2"/>
        <v/>
      </c>
      <c r="T52" s="4"/>
      <c r="U52" s="96"/>
      <c r="V52" s="3" t="s">
        <v>39</v>
      </c>
      <c r="W52" s="23" t="str">
        <f t="shared" si="13"/>
        <v/>
      </c>
      <c r="X52" s="23" t="str">
        <f t="shared" ref="X52:AD52" si="33">IF(X20&lt;4,4-X20,"")</f>
        <v/>
      </c>
      <c r="Y52" s="23" t="str">
        <f t="shared" si="33"/>
        <v/>
      </c>
      <c r="Z52" s="23" t="str">
        <f t="shared" si="33"/>
        <v/>
      </c>
      <c r="AA52" s="23" t="str">
        <f t="shared" si="33"/>
        <v/>
      </c>
      <c r="AB52" s="23" t="str">
        <f t="shared" si="33"/>
        <v/>
      </c>
      <c r="AC52" s="23" t="str">
        <f t="shared" si="33"/>
        <v/>
      </c>
      <c r="AD52" s="23" t="str">
        <f t="shared" si="33"/>
        <v/>
      </c>
      <c r="AE52" s="23" t="str">
        <f t="shared" si="5"/>
        <v/>
      </c>
      <c r="AF52" s="23"/>
      <c r="AG52" s="23"/>
      <c r="AH52" s="23"/>
      <c r="AI52" s="23"/>
      <c r="AJ52" s="23"/>
      <c r="AK52" s="23"/>
      <c r="AL52" s="23"/>
      <c r="AM52" s="23"/>
    </row>
    <row r="53" spans="1:39" x14ac:dyDescent="0.25">
      <c r="A53" s="96"/>
      <c r="B53" s="3" t="s">
        <v>13</v>
      </c>
      <c r="C53" s="2">
        <f>IF(C21&lt;6,6-C21,"")</f>
        <v>1</v>
      </c>
      <c r="D53" s="2" t="str">
        <f t="shared" ref="D53:M53" si="34">IF(D21&lt;3,3-D21,"")</f>
        <v/>
      </c>
      <c r="E53" s="2" t="str">
        <f t="shared" si="34"/>
        <v/>
      </c>
      <c r="F53" s="2" t="str">
        <f t="shared" si="34"/>
        <v/>
      </c>
      <c r="G53" s="2" t="str">
        <f t="shared" si="34"/>
        <v/>
      </c>
      <c r="H53" s="2" t="str">
        <f t="shared" si="34"/>
        <v/>
      </c>
      <c r="I53" s="2" t="str">
        <f t="shared" si="34"/>
        <v/>
      </c>
      <c r="J53" s="2" t="str">
        <f t="shared" si="34"/>
        <v/>
      </c>
      <c r="K53" s="2" t="str">
        <f t="shared" si="34"/>
        <v/>
      </c>
      <c r="L53" s="2" t="str">
        <f t="shared" si="34"/>
        <v/>
      </c>
      <c r="M53" s="2" t="str">
        <f t="shared" si="34"/>
        <v/>
      </c>
      <c r="N53" s="2" t="str">
        <f t="shared" ref="N53:O56" si="35">IF(N21&lt;3,3-N21,"")</f>
        <v/>
      </c>
      <c r="O53" s="2" t="str">
        <f t="shared" si="35"/>
        <v/>
      </c>
      <c r="P53" s="2" t="str">
        <f t="shared" si="2"/>
        <v/>
      </c>
      <c r="Q53" s="2" t="str">
        <f t="shared" si="2"/>
        <v/>
      </c>
      <c r="R53" s="2" t="str">
        <f t="shared" si="2"/>
        <v/>
      </c>
      <c r="S53" s="2" t="str">
        <f t="shared" si="2"/>
        <v/>
      </c>
      <c r="T53" s="4"/>
      <c r="U53" s="96"/>
      <c r="V53" s="3" t="s">
        <v>40</v>
      </c>
      <c r="W53" s="2" t="str">
        <f t="shared" si="13"/>
        <v/>
      </c>
      <c r="X53" s="2" t="str">
        <f t="shared" ref="X53:AD53" si="36">IF(X21&lt;4,4-X21,"")</f>
        <v/>
      </c>
      <c r="Y53" s="2" t="str">
        <f t="shared" si="36"/>
        <v/>
      </c>
      <c r="Z53" s="2">
        <f t="shared" si="36"/>
        <v>1</v>
      </c>
      <c r="AA53" s="2">
        <f t="shared" si="36"/>
        <v>1</v>
      </c>
      <c r="AB53" s="2" t="str">
        <f t="shared" si="36"/>
        <v/>
      </c>
      <c r="AC53" s="2" t="str">
        <f t="shared" si="36"/>
        <v/>
      </c>
      <c r="AD53" s="2" t="str">
        <f t="shared" si="36"/>
        <v/>
      </c>
      <c r="AE53" s="2" t="str">
        <f t="shared" si="5"/>
        <v/>
      </c>
      <c r="AF53" s="2"/>
      <c r="AG53" s="2"/>
      <c r="AH53" s="2"/>
      <c r="AI53" s="2"/>
      <c r="AJ53" s="2"/>
      <c r="AK53" s="2"/>
      <c r="AL53" s="2"/>
      <c r="AM53" s="2"/>
    </row>
    <row r="54" spans="1:39" x14ac:dyDescent="0.25">
      <c r="A54" s="96"/>
      <c r="B54" s="3" t="s">
        <v>14</v>
      </c>
      <c r="C54" s="23" t="str">
        <f>IF(C22&lt;6,6-C22,"")</f>
        <v/>
      </c>
      <c r="D54" s="23" t="str">
        <f t="shared" ref="D54:M54" si="37">IF(D22&lt;3,3-D22,"")</f>
        <v/>
      </c>
      <c r="E54" s="23" t="str">
        <f t="shared" si="37"/>
        <v/>
      </c>
      <c r="F54" s="23" t="str">
        <f t="shared" si="37"/>
        <v/>
      </c>
      <c r="G54" s="23">
        <f t="shared" si="37"/>
        <v>1</v>
      </c>
      <c r="H54" s="23" t="str">
        <f t="shared" si="37"/>
        <v/>
      </c>
      <c r="I54" s="23" t="str">
        <f t="shared" si="37"/>
        <v/>
      </c>
      <c r="J54" s="23" t="str">
        <f t="shared" si="37"/>
        <v/>
      </c>
      <c r="K54" s="23" t="str">
        <f t="shared" si="37"/>
        <v/>
      </c>
      <c r="L54" s="23" t="str">
        <f t="shared" si="37"/>
        <v/>
      </c>
      <c r="M54" s="23">
        <f t="shared" si="37"/>
        <v>1</v>
      </c>
      <c r="N54" s="23" t="str">
        <f t="shared" si="35"/>
        <v/>
      </c>
      <c r="O54" s="23" t="str">
        <f t="shared" si="35"/>
        <v/>
      </c>
      <c r="P54" s="23" t="str">
        <f t="shared" si="2"/>
        <v/>
      </c>
      <c r="Q54" s="23" t="str">
        <f t="shared" si="2"/>
        <v/>
      </c>
      <c r="R54" s="23" t="str">
        <f t="shared" si="2"/>
        <v/>
      </c>
      <c r="S54" s="23" t="str">
        <f t="shared" si="2"/>
        <v/>
      </c>
      <c r="T54" s="4"/>
      <c r="U54" s="96"/>
      <c r="V54" s="3" t="s">
        <v>41</v>
      </c>
      <c r="W54" s="23" t="str">
        <f t="shared" si="13"/>
        <v/>
      </c>
      <c r="X54" s="23" t="str">
        <f t="shared" ref="X54:AD54" si="38">IF(X22&lt;4,4-X22,"")</f>
        <v/>
      </c>
      <c r="Y54" s="23" t="str">
        <f t="shared" si="38"/>
        <v/>
      </c>
      <c r="Z54" s="23" t="str">
        <f t="shared" si="38"/>
        <v/>
      </c>
      <c r="AA54" s="23" t="str">
        <f t="shared" si="38"/>
        <v/>
      </c>
      <c r="AB54" s="23" t="str">
        <f t="shared" si="38"/>
        <v/>
      </c>
      <c r="AC54" s="23" t="str">
        <f t="shared" si="38"/>
        <v/>
      </c>
      <c r="AD54" s="23" t="str">
        <f t="shared" si="38"/>
        <v/>
      </c>
      <c r="AE54" s="23" t="str">
        <f t="shared" si="5"/>
        <v/>
      </c>
      <c r="AF54" s="23"/>
      <c r="AG54" s="23"/>
      <c r="AH54" s="23"/>
      <c r="AI54" s="23"/>
      <c r="AJ54" s="23"/>
      <c r="AK54" s="23"/>
      <c r="AL54" s="23"/>
      <c r="AM54" s="23"/>
    </row>
    <row r="55" spans="1:39" x14ac:dyDescent="0.25">
      <c r="A55" s="96"/>
      <c r="B55" s="3" t="s">
        <v>15</v>
      </c>
      <c r="C55" s="2">
        <f>IF(C23&lt;6,6-C23,"")</f>
        <v>1</v>
      </c>
      <c r="D55" s="2" t="str">
        <f t="shared" ref="D55:M55" si="39">IF(D23&lt;3,3-D23,"")</f>
        <v/>
      </c>
      <c r="E55" s="2" t="str">
        <f t="shared" si="39"/>
        <v/>
      </c>
      <c r="F55" s="2" t="str">
        <f t="shared" si="39"/>
        <v/>
      </c>
      <c r="G55" s="2" t="str">
        <f t="shared" si="39"/>
        <v/>
      </c>
      <c r="H55" s="2" t="str">
        <f t="shared" si="39"/>
        <v/>
      </c>
      <c r="I55" s="2" t="str">
        <f t="shared" si="39"/>
        <v/>
      </c>
      <c r="J55" s="2">
        <f t="shared" si="39"/>
        <v>1</v>
      </c>
      <c r="K55" s="2" t="str">
        <f t="shared" si="39"/>
        <v/>
      </c>
      <c r="L55" s="2" t="str">
        <f t="shared" si="39"/>
        <v/>
      </c>
      <c r="M55" s="2" t="str">
        <f t="shared" si="39"/>
        <v/>
      </c>
      <c r="N55" s="2" t="str">
        <f t="shared" si="35"/>
        <v/>
      </c>
      <c r="O55" s="2" t="str">
        <f t="shared" si="35"/>
        <v/>
      </c>
      <c r="P55" s="2" t="str">
        <f t="shared" si="2"/>
        <v/>
      </c>
      <c r="Q55" s="2" t="str">
        <f t="shared" si="2"/>
        <v/>
      </c>
      <c r="R55" s="2" t="str">
        <f t="shared" si="2"/>
        <v/>
      </c>
      <c r="S55" s="2" t="str">
        <f t="shared" si="2"/>
        <v/>
      </c>
      <c r="T55" s="4"/>
      <c r="U55" s="96"/>
      <c r="V55" s="3" t="s">
        <v>42</v>
      </c>
      <c r="W55" s="2" t="str">
        <f t="shared" si="13"/>
        <v/>
      </c>
      <c r="X55" s="2" t="str">
        <f t="shared" ref="X55:AD55" si="40">IF(X23&lt;4,4-X23,"")</f>
        <v/>
      </c>
      <c r="Y55" s="2" t="str">
        <f t="shared" si="40"/>
        <v/>
      </c>
      <c r="Z55" s="2" t="str">
        <f t="shared" si="40"/>
        <v/>
      </c>
      <c r="AA55" s="2" t="str">
        <f t="shared" si="40"/>
        <v/>
      </c>
      <c r="AB55" s="2" t="str">
        <f t="shared" si="40"/>
        <v/>
      </c>
      <c r="AC55" s="2" t="str">
        <f t="shared" si="40"/>
        <v/>
      </c>
      <c r="AD55" s="2" t="str">
        <f t="shared" si="40"/>
        <v/>
      </c>
      <c r="AE55" s="2" t="str">
        <f t="shared" si="5"/>
        <v/>
      </c>
      <c r="AF55" s="2"/>
      <c r="AG55" s="2"/>
      <c r="AH55" s="2"/>
      <c r="AI55" s="2"/>
      <c r="AJ55" s="2"/>
      <c r="AK55" s="2"/>
      <c r="AL55" s="2"/>
      <c r="AM55" s="2"/>
    </row>
    <row r="56" spans="1:39" x14ac:dyDescent="0.25">
      <c r="A56" s="96"/>
      <c r="B56" s="3" t="s">
        <v>16</v>
      </c>
      <c r="C56" s="23" t="str">
        <f>IF(C24&lt;6,6-C24,"")</f>
        <v/>
      </c>
      <c r="D56" s="23">
        <f t="shared" ref="D56:M56" si="41">IF(D24&lt;3,3-D24,"")</f>
        <v>1</v>
      </c>
      <c r="E56" s="23" t="str">
        <f t="shared" si="41"/>
        <v/>
      </c>
      <c r="F56" s="23" t="str">
        <f t="shared" si="41"/>
        <v/>
      </c>
      <c r="G56" s="23">
        <f t="shared" si="41"/>
        <v>2</v>
      </c>
      <c r="H56" s="23">
        <f t="shared" si="41"/>
        <v>1</v>
      </c>
      <c r="I56" s="23" t="str">
        <f t="shared" si="41"/>
        <v/>
      </c>
      <c r="J56" s="23" t="str">
        <f t="shared" si="41"/>
        <v/>
      </c>
      <c r="K56" s="23">
        <f t="shared" si="41"/>
        <v>2</v>
      </c>
      <c r="L56" s="23" t="str">
        <f t="shared" si="41"/>
        <v/>
      </c>
      <c r="M56" s="23" t="str">
        <f t="shared" si="41"/>
        <v/>
      </c>
      <c r="N56" s="23" t="str">
        <f t="shared" si="35"/>
        <v/>
      </c>
      <c r="O56" s="23" t="str">
        <f t="shared" si="35"/>
        <v/>
      </c>
      <c r="P56" s="23" t="str">
        <f t="shared" si="2"/>
        <v/>
      </c>
      <c r="Q56" s="23" t="str">
        <f t="shared" si="2"/>
        <v/>
      </c>
      <c r="R56" s="23" t="str">
        <f t="shared" si="2"/>
        <v/>
      </c>
      <c r="S56" s="23" t="str">
        <f t="shared" si="2"/>
        <v/>
      </c>
      <c r="T56" s="4"/>
      <c r="U56" s="96"/>
      <c r="V56" s="3" t="s">
        <v>43</v>
      </c>
      <c r="W56" s="23"/>
      <c r="X56" s="23"/>
      <c r="Y56" s="23"/>
      <c r="Z56" s="23"/>
      <c r="AA56" s="23"/>
      <c r="AB56" s="23"/>
      <c r="AC56" s="23"/>
      <c r="AD56" s="23"/>
      <c r="AE56" s="23"/>
      <c r="AF56" s="23"/>
      <c r="AG56" s="23"/>
      <c r="AH56" s="23"/>
      <c r="AI56" s="23"/>
      <c r="AJ56" s="23"/>
      <c r="AK56" s="23"/>
      <c r="AL56" s="23"/>
      <c r="AM56" s="23"/>
    </row>
    <row r="57" spans="1:39" x14ac:dyDescent="0.25">
      <c r="A57" s="96"/>
      <c r="B57" s="3" t="s">
        <v>17</v>
      </c>
      <c r="C57" s="2">
        <f t="shared" ref="C57:K57" si="42">IF(C25&lt;3,3-C25,"")</f>
        <v>1</v>
      </c>
      <c r="D57" s="2" t="str">
        <f t="shared" si="42"/>
        <v/>
      </c>
      <c r="E57" s="2" t="str">
        <f t="shared" si="42"/>
        <v/>
      </c>
      <c r="F57" s="2" t="str">
        <f t="shared" si="42"/>
        <v/>
      </c>
      <c r="G57" s="2" t="str">
        <f t="shared" si="42"/>
        <v/>
      </c>
      <c r="H57" s="2" t="str">
        <f t="shared" si="42"/>
        <v/>
      </c>
      <c r="I57" s="2" t="str">
        <f t="shared" si="42"/>
        <v/>
      </c>
      <c r="J57" s="2" t="str">
        <f t="shared" si="42"/>
        <v/>
      </c>
      <c r="K57" s="2" t="str">
        <f t="shared" si="42"/>
        <v/>
      </c>
      <c r="L57" s="2"/>
      <c r="M57" s="2"/>
      <c r="N57" s="2"/>
      <c r="O57" s="2"/>
      <c r="P57" s="2"/>
      <c r="Q57" s="2"/>
      <c r="R57" s="2"/>
      <c r="S57" s="2"/>
      <c r="T57" s="4"/>
      <c r="U57" s="96"/>
      <c r="V57" s="3" t="s">
        <v>44</v>
      </c>
      <c r="W57" s="2"/>
      <c r="X57" s="2"/>
      <c r="Y57" s="2"/>
      <c r="Z57" s="2"/>
      <c r="AA57" s="2"/>
      <c r="AB57" s="2"/>
      <c r="AC57" s="2"/>
      <c r="AD57" s="2"/>
      <c r="AE57" s="2"/>
      <c r="AF57" s="2"/>
      <c r="AG57" s="2"/>
      <c r="AH57" s="2"/>
      <c r="AI57" s="2"/>
      <c r="AJ57" s="2"/>
      <c r="AK57" s="2"/>
      <c r="AL57" s="2"/>
      <c r="AM57" s="2"/>
    </row>
    <row r="58" spans="1:39" x14ac:dyDescent="0.25">
      <c r="A58" s="96"/>
      <c r="B58" s="3" t="s">
        <v>18</v>
      </c>
      <c r="C58" s="23" t="str">
        <f t="shared" ref="C58:K58" si="43">IF(C26&lt;3,3-C26,"")</f>
        <v/>
      </c>
      <c r="D58" s="23" t="str">
        <f t="shared" si="43"/>
        <v/>
      </c>
      <c r="E58" s="23" t="str">
        <f t="shared" si="43"/>
        <v/>
      </c>
      <c r="F58" s="23" t="str">
        <f t="shared" si="43"/>
        <v/>
      </c>
      <c r="G58" s="23" t="str">
        <f t="shared" si="43"/>
        <v/>
      </c>
      <c r="H58" s="23" t="str">
        <f t="shared" si="43"/>
        <v/>
      </c>
      <c r="I58" s="23" t="str">
        <f t="shared" si="43"/>
        <v/>
      </c>
      <c r="J58" s="23" t="str">
        <f t="shared" si="43"/>
        <v/>
      </c>
      <c r="K58" s="23" t="str">
        <f t="shared" si="43"/>
        <v/>
      </c>
      <c r="L58" s="23"/>
      <c r="M58" s="23"/>
      <c r="N58" s="23"/>
      <c r="O58" s="23"/>
      <c r="P58" s="23"/>
      <c r="Q58" s="23"/>
      <c r="R58" s="23"/>
      <c r="S58" s="23"/>
      <c r="T58" s="4"/>
      <c r="U58" s="96"/>
      <c r="V58" s="3" t="s">
        <v>45</v>
      </c>
      <c r="W58" s="23"/>
      <c r="X58" s="23"/>
      <c r="Y58" s="23"/>
      <c r="Z58" s="23"/>
      <c r="AA58" s="23"/>
      <c r="AB58" s="23"/>
      <c r="AC58" s="23"/>
      <c r="AD58" s="23"/>
      <c r="AE58" s="23"/>
      <c r="AF58" s="23"/>
      <c r="AG58" s="23"/>
      <c r="AH58" s="23"/>
      <c r="AI58" s="23"/>
      <c r="AJ58" s="23"/>
      <c r="AK58" s="23"/>
      <c r="AL58" s="23"/>
      <c r="AM58" s="23"/>
    </row>
    <row r="59" spans="1:39" x14ac:dyDescent="0.25">
      <c r="A59" s="96"/>
      <c r="B59" s="3" t="s">
        <v>19</v>
      </c>
      <c r="C59" s="2">
        <f t="shared" ref="C59:K59" si="44">IF(C27&lt;3,3-C27,"")</f>
        <v>1</v>
      </c>
      <c r="D59" s="2" t="str">
        <f t="shared" si="44"/>
        <v/>
      </c>
      <c r="E59" s="2">
        <f t="shared" si="44"/>
        <v>1</v>
      </c>
      <c r="F59" s="2" t="str">
        <f t="shared" si="44"/>
        <v/>
      </c>
      <c r="G59" s="2" t="str">
        <f t="shared" si="44"/>
        <v/>
      </c>
      <c r="H59" s="2" t="str">
        <f t="shared" si="44"/>
        <v/>
      </c>
      <c r="I59" s="2" t="str">
        <f t="shared" si="44"/>
        <v/>
      </c>
      <c r="J59" s="2" t="str">
        <f t="shared" si="44"/>
        <v/>
      </c>
      <c r="K59" s="2" t="str">
        <f t="shared" si="44"/>
        <v/>
      </c>
      <c r="L59" s="2"/>
      <c r="M59" s="2"/>
      <c r="N59" s="2"/>
      <c r="O59" s="2"/>
      <c r="P59" s="2"/>
      <c r="Q59" s="2"/>
      <c r="R59" s="2"/>
      <c r="S59" s="2"/>
      <c r="T59" s="4"/>
      <c r="U59" s="96"/>
      <c r="V59" s="3" t="s">
        <v>46</v>
      </c>
      <c r="W59" s="2"/>
      <c r="X59" s="2"/>
      <c r="Y59" s="2"/>
      <c r="Z59" s="2"/>
      <c r="AA59" s="2"/>
      <c r="AB59" s="2"/>
      <c r="AC59" s="2"/>
      <c r="AD59" s="2"/>
      <c r="AE59" s="2"/>
      <c r="AF59" s="2"/>
      <c r="AG59" s="2"/>
      <c r="AH59" s="2"/>
      <c r="AI59" s="2"/>
      <c r="AJ59" s="2"/>
      <c r="AK59" s="2"/>
      <c r="AL59" s="2"/>
      <c r="AM59" s="2"/>
    </row>
    <row r="60" spans="1:39" x14ac:dyDescent="0.25">
      <c r="A60" s="96"/>
      <c r="B60" s="3" t="s">
        <v>20</v>
      </c>
      <c r="C60" s="23" t="str">
        <f t="shared" ref="C60:K60" si="45">IF(C28&lt;3,3-C28,"")</f>
        <v/>
      </c>
      <c r="D60" s="23" t="str">
        <f t="shared" si="45"/>
        <v/>
      </c>
      <c r="E60" s="23" t="str">
        <f t="shared" si="45"/>
        <v/>
      </c>
      <c r="F60" s="23" t="str">
        <f t="shared" si="45"/>
        <v/>
      </c>
      <c r="G60" s="23" t="str">
        <f t="shared" si="45"/>
        <v/>
      </c>
      <c r="H60" s="23" t="str">
        <f t="shared" si="45"/>
        <v/>
      </c>
      <c r="I60" s="23" t="str">
        <f t="shared" si="45"/>
        <v/>
      </c>
      <c r="J60" s="23" t="str">
        <f t="shared" si="45"/>
        <v/>
      </c>
      <c r="K60" s="23" t="str">
        <f t="shared" si="45"/>
        <v/>
      </c>
      <c r="L60" s="23"/>
      <c r="M60" s="23"/>
      <c r="N60" s="23"/>
      <c r="O60" s="23"/>
      <c r="P60" s="23"/>
      <c r="Q60" s="23"/>
      <c r="R60" s="23"/>
      <c r="S60" s="23"/>
      <c r="T60" s="4"/>
      <c r="U60" s="96"/>
      <c r="V60" s="3" t="s">
        <v>47</v>
      </c>
      <c r="W60" s="23"/>
      <c r="X60" s="23"/>
      <c r="Y60" s="23"/>
      <c r="Z60" s="23"/>
      <c r="AA60" s="23"/>
      <c r="AB60" s="23"/>
      <c r="AC60" s="23"/>
      <c r="AD60" s="23"/>
      <c r="AE60" s="23"/>
      <c r="AF60" s="23"/>
      <c r="AG60" s="23"/>
      <c r="AH60" s="23"/>
      <c r="AI60" s="23"/>
      <c r="AJ60" s="23"/>
      <c r="AK60" s="23"/>
      <c r="AL60" s="23"/>
      <c r="AM60" s="23"/>
    </row>
    <row r="61" spans="1:39" x14ac:dyDescent="0.25">
      <c r="A61" s="96"/>
      <c r="B61" s="3" t="s">
        <v>21</v>
      </c>
      <c r="C61" s="2"/>
      <c r="D61" s="2"/>
      <c r="E61" s="2"/>
      <c r="F61" s="2"/>
      <c r="G61" s="2"/>
      <c r="H61" s="2"/>
      <c r="I61" s="2"/>
      <c r="J61" s="2"/>
      <c r="K61" s="2"/>
      <c r="L61" s="2"/>
      <c r="M61" s="2"/>
      <c r="N61" s="2"/>
      <c r="O61" s="2"/>
      <c r="P61" s="2"/>
      <c r="Q61" s="2"/>
      <c r="R61" s="2"/>
      <c r="S61" s="2"/>
      <c r="T61" s="4"/>
      <c r="U61" s="96"/>
      <c r="V61" s="3" t="s">
        <v>48</v>
      </c>
      <c r="W61" s="2"/>
      <c r="X61" s="2"/>
      <c r="Y61" s="2"/>
      <c r="Z61" s="2"/>
      <c r="AA61" s="2"/>
      <c r="AB61" s="2"/>
      <c r="AC61" s="2"/>
      <c r="AD61" s="2"/>
      <c r="AE61" s="2"/>
      <c r="AF61" s="2"/>
      <c r="AG61" s="2"/>
      <c r="AH61" s="2"/>
      <c r="AI61" s="2"/>
      <c r="AJ61" s="2"/>
      <c r="AK61" s="2"/>
      <c r="AL61" s="2"/>
      <c r="AM61" s="2"/>
    </row>
    <row r="62" spans="1:39" x14ac:dyDescent="0.25">
      <c r="A62" s="96"/>
      <c r="B62" s="3" t="s">
        <v>22</v>
      </c>
      <c r="C62" s="23"/>
      <c r="D62" s="23"/>
      <c r="E62" s="23"/>
      <c r="F62" s="23"/>
      <c r="G62" s="23"/>
      <c r="H62" s="23"/>
      <c r="I62" s="23"/>
      <c r="J62" s="23"/>
      <c r="K62" s="23"/>
      <c r="L62" s="23"/>
      <c r="M62" s="23"/>
      <c r="N62" s="23"/>
      <c r="O62" s="23"/>
      <c r="P62" s="23"/>
      <c r="Q62" s="23"/>
      <c r="R62" s="23"/>
      <c r="S62" s="23"/>
      <c r="T62" s="4"/>
      <c r="U62" s="96"/>
      <c r="V62" s="3" t="s">
        <v>49</v>
      </c>
      <c r="W62" s="23"/>
      <c r="X62" s="23"/>
      <c r="Y62" s="23"/>
      <c r="Z62" s="23"/>
      <c r="AA62" s="23"/>
      <c r="AB62" s="23"/>
      <c r="AC62" s="23"/>
      <c r="AD62" s="23"/>
      <c r="AE62" s="23"/>
      <c r="AF62" s="23"/>
      <c r="AG62" s="23"/>
      <c r="AH62" s="23"/>
      <c r="AI62" s="23"/>
      <c r="AJ62" s="23"/>
      <c r="AK62" s="23"/>
      <c r="AL62" s="23"/>
      <c r="AM62" s="23"/>
    </row>
    <row r="63" spans="1:39" x14ac:dyDescent="0.25">
      <c r="A63" s="96"/>
      <c r="B63" s="3" t="s">
        <v>23</v>
      </c>
      <c r="C63" s="2"/>
      <c r="D63" s="2"/>
      <c r="E63" s="2"/>
      <c r="F63" s="2"/>
      <c r="G63" s="2"/>
      <c r="H63" s="2"/>
      <c r="I63" s="2"/>
      <c r="J63" s="2"/>
      <c r="K63" s="2"/>
      <c r="L63" s="2"/>
      <c r="M63" s="2"/>
      <c r="N63" s="2"/>
      <c r="O63" s="2"/>
      <c r="P63" s="2"/>
      <c r="Q63" s="2"/>
      <c r="R63" s="2"/>
      <c r="S63" s="2"/>
      <c r="T63" s="4"/>
      <c r="U63" s="96"/>
      <c r="V63" s="3" t="s">
        <v>50</v>
      </c>
      <c r="W63" s="2"/>
      <c r="X63" s="2"/>
      <c r="Y63" s="2"/>
      <c r="Z63" s="2"/>
      <c r="AA63" s="2"/>
      <c r="AB63" s="2"/>
      <c r="AC63" s="2"/>
      <c r="AD63" s="2"/>
      <c r="AE63" s="2"/>
      <c r="AF63" s="2"/>
      <c r="AG63" s="2"/>
      <c r="AH63" s="2"/>
      <c r="AI63" s="2"/>
      <c r="AJ63" s="2"/>
      <c r="AK63" s="2"/>
      <c r="AL63" s="2"/>
      <c r="AM63" s="2"/>
    </row>
    <row r="64" spans="1:39" x14ac:dyDescent="0.25">
      <c r="A64" s="96"/>
      <c r="B64" s="3" t="s">
        <v>24</v>
      </c>
      <c r="C64" s="23"/>
      <c r="D64" s="23"/>
      <c r="E64" s="23"/>
      <c r="F64" s="23"/>
      <c r="G64" s="23"/>
      <c r="H64" s="23"/>
      <c r="I64" s="23"/>
      <c r="J64" s="23"/>
      <c r="K64" s="23"/>
      <c r="L64" s="23"/>
      <c r="M64" s="23"/>
      <c r="N64" s="23"/>
      <c r="O64" s="23"/>
      <c r="P64" s="23"/>
      <c r="Q64" s="23"/>
      <c r="R64" s="23"/>
      <c r="S64" s="23"/>
      <c r="T64" s="4"/>
      <c r="U64" s="96"/>
      <c r="V64" s="4"/>
      <c r="W64" s="4"/>
      <c r="X64" s="4"/>
      <c r="Y64" s="4"/>
      <c r="Z64" s="4"/>
      <c r="AA64" s="4"/>
      <c r="AB64" s="4"/>
      <c r="AC64" s="4"/>
      <c r="AD64" s="4"/>
      <c r="AE64" s="4"/>
      <c r="AF64" s="4"/>
      <c r="AG64" s="4"/>
      <c r="AH64" s="4"/>
      <c r="AI64" s="4"/>
    </row>
    <row r="66" spans="3:30" x14ac:dyDescent="0.25">
      <c r="E66" t="s">
        <v>97</v>
      </c>
      <c r="Y66" t="s">
        <v>97</v>
      </c>
    </row>
    <row r="67" spans="3:30" x14ac:dyDescent="0.25">
      <c r="C67" s="4" t="s">
        <v>94</v>
      </c>
      <c r="E67" s="43">
        <f>SUM(C40:K64)</f>
        <v>252</v>
      </c>
      <c r="G67" t="s">
        <v>96</v>
      </c>
      <c r="I67" s="115">
        <f>30*E67</f>
        <v>7560</v>
      </c>
      <c r="J67" s="115"/>
      <c r="K67" s="115"/>
      <c r="W67" s="4" t="s">
        <v>94</v>
      </c>
      <c r="Y67" s="43">
        <f>SUM(W40:AE63)</f>
        <v>80</v>
      </c>
      <c r="AA67" t="s">
        <v>96</v>
      </c>
      <c r="AC67" s="112">
        <f>30*Y67</f>
        <v>2400</v>
      </c>
      <c r="AD67" s="112"/>
    </row>
    <row r="68" spans="3:30" x14ac:dyDescent="0.25">
      <c r="C68" s="4" t="s">
        <v>95</v>
      </c>
      <c r="E68" s="43">
        <f>SUM(L40:S64)</f>
        <v>17</v>
      </c>
      <c r="G68" t="s">
        <v>96</v>
      </c>
      <c r="I68" s="115">
        <f>47.5*E68</f>
        <v>807.5</v>
      </c>
      <c r="J68" s="115"/>
      <c r="K68" s="115"/>
      <c r="W68" s="4" t="s">
        <v>95</v>
      </c>
      <c r="Y68" s="43">
        <f>SUM(AF40:AM63)</f>
        <v>0</v>
      </c>
      <c r="AA68" t="s">
        <v>96</v>
      </c>
      <c r="AC68" s="112">
        <f>47.5*Y68</f>
        <v>0</v>
      </c>
      <c r="AD68" s="112"/>
    </row>
    <row r="69" spans="3:30" x14ac:dyDescent="0.25">
      <c r="I69" s="49"/>
      <c r="J69" s="49"/>
      <c r="K69" s="49"/>
    </row>
    <row r="70" spans="3:30" x14ac:dyDescent="0.25">
      <c r="E70" s="43">
        <f>SUM(E67:E69)</f>
        <v>269</v>
      </c>
      <c r="I70" s="116">
        <f>SUM(I67:I69)</f>
        <v>8367.5</v>
      </c>
      <c r="J70" s="116"/>
      <c r="K70" s="116"/>
      <c r="Y70" s="43">
        <f>SUM(Y67:Y69)</f>
        <v>80</v>
      </c>
      <c r="AC70" s="113">
        <f>SUM(AC67:AC69)</f>
        <v>2400</v>
      </c>
      <c r="AD70" s="114"/>
    </row>
  </sheetData>
  <mergeCells count="20">
    <mergeCell ref="AC67:AD67"/>
    <mergeCell ref="AC68:AD68"/>
    <mergeCell ref="AC70:AD70"/>
    <mergeCell ref="I67:K67"/>
    <mergeCell ref="I68:K68"/>
    <mergeCell ref="I70:K70"/>
    <mergeCell ref="A8:A32"/>
    <mergeCell ref="U8:U32"/>
    <mergeCell ref="A2:AI2"/>
    <mergeCell ref="C5:O5"/>
    <mergeCell ref="C6:O6"/>
    <mergeCell ref="W5:AM5"/>
    <mergeCell ref="W6:AM6"/>
    <mergeCell ref="A40:A64"/>
    <mergeCell ref="U40:U64"/>
    <mergeCell ref="A35:AI35"/>
    <mergeCell ref="C37:O37"/>
    <mergeCell ref="C38:O38"/>
    <mergeCell ref="W37:AM37"/>
    <mergeCell ref="W38:AM38"/>
  </mergeCells>
  <phoneticPr fontId="11" type="noConversion"/>
  <pageMargins left="0.25" right="0.25" top="0.75" bottom="0.75" header="0.3" footer="0.3"/>
  <pageSetup scale="28" orientation="landscape" r:id="rId1"/>
  <ignoredErrors>
    <ignoredError sqref="B8:B32 C7:O7 W7:AI7 V8:V31 B40:B64 C39:O39 V40:V63 W39:AI39 P7:S7 P39:S39 AJ7:AM7 AJ39:AM39" numberStoredAsText="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4">
    <pageSetUpPr fitToPage="1"/>
  </sheetPr>
  <dimension ref="A1:AF67"/>
  <sheetViews>
    <sheetView workbookViewId="0">
      <selection activeCell="E10" sqref="E10"/>
    </sheetView>
  </sheetViews>
  <sheetFormatPr baseColWidth="10" defaultColWidth="11.42578125" defaultRowHeight="15" x14ac:dyDescent="0.25"/>
  <cols>
    <col min="2" max="2" width="5.28515625" bestFit="1" customWidth="1"/>
    <col min="3" max="3" width="4.5703125" bestFit="1" customWidth="1"/>
    <col min="4" max="15" width="5.28515625" bestFit="1" customWidth="1"/>
    <col min="16" max="16" width="0.7109375" customWidth="1"/>
    <col min="18" max="18" width="5.5703125" bestFit="1" customWidth="1"/>
    <col min="19" max="19" width="4.5703125" bestFit="1" customWidth="1"/>
    <col min="20" max="31" width="5.28515625" bestFit="1" customWidth="1"/>
  </cols>
  <sheetData>
    <row r="1" spans="1:32" ht="28.5" x14ac:dyDescent="0.45">
      <c r="A1" s="118" t="s">
        <v>90</v>
      </c>
      <c r="B1" s="118"/>
      <c r="C1" s="118"/>
      <c r="D1" s="118"/>
      <c r="E1" s="118"/>
      <c r="F1" s="118"/>
      <c r="G1" s="118"/>
      <c r="H1" s="118"/>
      <c r="I1" s="118"/>
      <c r="J1" s="118"/>
      <c r="K1" s="118"/>
      <c r="L1" s="118"/>
      <c r="M1" s="118"/>
      <c r="N1" s="118"/>
      <c r="O1" s="118"/>
      <c r="P1" s="118"/>
      <c r="Q1" s="118"/>
      <c r="R1" s="118"/>
      <c r="S1" s="118"/>
      <c r="T1" s="118"/>
      <c r="U1" s="118"/>
      <c r="V1" s="118"/>
      <c r="W1" s="118"/>
      <c r="X1" s="118"/>
      <c r="Y1" s="118"/>
      <c r="Z1" s="118"/>
      <c r="AA1" s="118"/>
      <c r="AB1" s="118"/>
      <c r="AC1" s="118"/>
      <c r="AD1" s="118"/>
      <c r="AE1" s="118"/>
    </row>
    <row r="2" spans="1:32" x14ac:dyDescent="0.25">
      <c r="A2" s="4"/>
      <c r="B2" s="4"/>
      <c r="C2" s="4"/>
      <c r="D2" s="4"/>
      <c r="E2" s="4"/>
      <c r="F2" s="4"/>
      <c r="G2" s="4"/>
      <c r="H2" s="4"/>
      <c r="I2" s="4"/>
      <c r="J2" s="4"/>
      <c r="K2" s="4"/>
      <c r="L2" s="4"/>
      <c r="M2" s="4"/>
      <c r="N2" s="4"/>
      <c r="O2" s="4"/>
      <c r="P2" s="4"/>
      <c r="Q2" s="4"/>
      <c r="R2" s="4"/>
      <c r="S2" s="4"/>
      <c r="T2" s="4"/>
      <c r="U2" s="4"/>
      <c r="V2" s="4"/>
      <c r="W2" s="4"/>
      <c r="X2" s="4"/>
      <c r="Y2" s="4"/>
      <c r="Z2" s="4"/>
      <c r="AA2" s="4"/>
      <c r="AB2" s="4"/>
      <c r="AC2" s="4"/>
      <c r="AD2" s="4"/>
      <c r="AE2" s="4"/>
      <c r="AF2" s="4"/>
    </row>
    <row r="3" spans="1:32" ht="36" x14ac:dyDescent="0.25">
      <c r="A3" s="4"/>
      <c r="B3" s="5"/>
      <c r="C3" s="97" t="s">
        <v>1</v>
      </c>
      <c r="D3" s="97"/>
      <c r="E3" s="97"/>
      <c r="F3" s="97"/>
      <c r="G3" s="97"/>
      <c r="H3" s="97"/>
      <c r="I3" s="97"/>
      <c r="J3" s="97"/>
      <c r="K3" s="97"/>
      <c r="L3" s="97"/>
      <c r="M3" s="97"/>
      <c r="N3" s="97"/>
      <c r="O3" s="97"/>
      <c r="P3" s="4"/>
      <c r="Q3" s="4"/>
      <c r="R3" s="4"/>
      <c r="S3" s="97" t="s">
        <v>1</v>
      </c>
      <c r="T3" s="97"/>
      <c r="U3" s="97"/>
      <c r="V3" s="97"/>
      <c r="W3" s="97"/>
      <c r="X3" s="97"/>
      <c r="Y3" s="97"/>
      <c r="Z3" s="97"/>
      <c r="AA3" s="97"/>
      <c r="AB3" s="97"/>
      <c r="AC3" s="97"/>
      <c r="AD3" s="97"/>
      <c r="AE3" s="97"/>
      <c r="AF3" s="4"/>
    </row>
    <row r="4" spans="1:32" ht="15.75" x14ac:dyDescent="0.25">
      <c r="A4" s="4"/>
      <c r="B4" s="5"/>
      <c r="C4" s="98" t="s">
        <v>52</v>
      </c>
      <c r="D4" s="98"/>
      <c r="E4" s="98"/>
      <c r="F4" s="98"/>
      <c r="G4" s="98"/>
      <c r="H4" s="98"/>
      <c r="I4" s="98"/>
      <c r="J4" s="98"/>
      <c r="K4" s="98"/>
      <c r="L4" s="98"/>
      <c r="M4" s="98"/>
      <c r="N4" s="98"/>
      <c r="O4" s="98"/>
      <c r="P4" s="4"/>
      <c r="Q4" s="4"/>
      <c r="R4" s="4"/>
      <c r="S4" s="98" t="s">
        <v>52</v>
      </c>
      <c r="T4" s="98"/>
      <c r="U4" s="98"/>
      <c r="V4" s="98"/>
      <c r="W4" s="98"/>
      <c r="X4" s="98"/>
      <c r="Y4" s="98"/>
      <c r="Z4" s="98"/>
      <c r="AA4" s="98"/>
      <c r="AB4" s="98"/>
      <c r="AC4" s="98"/>
      <c r="AD4" s="98"/>
      <c r="AE4" s="98"/>
      <c r="AF4" s="4"/>
    </row>
    <row r="5" spans="1:32" ht="15.75" x14ac:dyDescent="0.25">
      <c r="A5" s="6" t="s">
        <v>52</v>
      </c>
      <c r="B5" s="28"/>
      <c r="C5" s="3" t="s">
        <v>2</v>
      </c>
      <c r="D5" s="3" t="s">
        <v>3</v>
      </c>
      <c r="E5" s="3" t="s">
        <v>4</v>
      </c>
      <c r="F5" s="3" t="s">
        <v>5</v>
      </c>
      <c r="G5" s="3" t="s">
        <v>6</v>
      </c>
      <c r="H5" s="3" t="s">
        <v>7</v>
      </c>
      <c r="I5" s="3" t="s">
        <v>8</v>
      </c>
      <c r="J5" s="3" t="s">
        <v>9</v>
      </c>
      <c r="K5" s="3" t="s">
        <v>10</v>
      </c>
      <c r="L5" s="3" t="s">
        <v>11</v>
      </c>
      <c r="M5" s="3" t="s">
        <v>25</v>
      </c>
      <c r="N5" s="3" t="s">
        <v>26</v>
      </c>
      <c r="O5" s="3" t="s">
        <v>12</v>
      </c>
      <c r="P5" s="4"/>
      <c r="Q5" s="6" t="s">
        <v>51</v>
      </c>
      <c r="R5" s="28"/>
      <c r="S5" s="3" t="s">
        <v>2</v>
      </c>
      <c r="T5" s="3" t="s">
        <v>3</v>
      </c>
      <c r="U5" s="3" t="s">
        <v>4</v>
      </c>
      <c r="V5" s="3" t="s">
        <v>5</v>
      </c>
      <c r="W5" s="3" t="s">
        <v>6</v>
      </c>
      <c r="X5" s="3" t="s">
        <v>7</v>
      </c>
      <c r="Y5" s="3" t="s">
        <v>8</v>
      </c>
      <c r="Z5" s="3" t="s">
        <v>9</v>
      </c>
      <c r="AA5" s="3" t="s">
        <v>10</v>
      </c>
      <c r="AB5" s="3" t="s">
        <v>11</v>
      </c>
      <c r="AC5" s="3" t="s">
        <v>25</v>
      </c>
      <c r="AD5" s="3" t="s">
        <v>26</v>
      </c>
      <c r="AE5" s="3" t="s">
        <v>12</v>
      </c>
      <c r="AF5" s="4"/>
    </row>
    <row r="6" spans="1:32" x14ac:dyDescent="0.25">
      <c r="A6" s="96" t="s">
        <v>0</v>
      </c>
      <c r="B6" s="3" t="s">
        <v>2</v>
      </c>
      <c r="C6" s="23">
        <v>10</v>
      </c>
      <c r="D6" s="23">
        <v>7</v>
      </c>
      <c r="E6" s="23">
        <v>7</v>
      </c>
      <c r="F6" s="23">
        <v>10</v>
      </c>
      <c r="G6" s="23">
        <v>6</v>
      </c>
      <c r="H6" s="23">
        <v>2</v>
      </c>
      <c r="I6" s="23">
        <v>1</v>
      </c>
      <c r="J6" s="23">
        <v>4</v>
      </c>
      <c r="K6" s="61">
        <v>3</v>
      </c>
      <c r="L6" s="59">
        <v>3</v>
      </c>
      <c r="M6" s="23">
        <v>3</v>
      </c>
      <c r="N6" s="23">
        <v>4</v>
      </c>
      <c r="O6" s="23">
        <v>1</v>
      </c>
      <c r="P6" s="4"/>
      <c r="Q6" s="96" t="s">
        <v>0</v>
      </c>
      <c r="R6" s="3" t="s">
        <v>29</v>
      </c>
      <c r="S6" s="37">
        <v>4</v>
      </c>
      <c r="T6" s="37">
        <v>6</v>
      </c>
      <c r="U6" s="37">
        <v>6</v>
      </c>
      <c r="V6" s="37">
        <v>6</v>
      </c>
      <c r="W6" s="37">
        <v>6</v>
      </c>
      <c r="X6" s="37">
        <v>4</v>
      </c>
      <c r="Y6" s="37">
        <v>4</v>
      </c>
      <c r="Z6" s="37">
        <v>3</v>
      </c>
      <c r="AA6" s="78">
        <v>4</v>
      </c>
      <c r="AB6" s="76">
        <v>4</v>
      </c>
      <c r="AC6" s="37">
        <v>4</v>
      </c>
      <c r="AD6" s="37">
        <v>4</v>
      </c>
      <c r="AE6" s="37">
        <v>4</v>
      </c>
      <c r="AF6" s="4"/>
    </row>
    <row r="7" spans="1:32" x14ac:dyDescent="0.25">
      <c r="A7" s="96"/>
      <c r="B7" s="3" t="s">
        <v>3</v>
      </c>
      <c r="C7" s="2">
        <v>6</v>
      </c>
      <c r="D7" s="2">
        <v>6</v>
      </c>
      <c r="E7" s="2">
        <v>4</v>
      </c>
      <c r="F7" s="2">
        <v>6</v>
      </c>
      <c r="G7" s="2">
        <v>6</v>
      </c>
      <c r="H7" s="2">
        <v>4</v>
      </c>
      <c r="I7" s="2">
        <v>4</v>
      </c>
      <c r="J7" s="2">
        <v>4</v>
      </c>
      <c r="K7" s="62">
        <v>4</v>
      </c>
      <c r="L7" s="60">
        <v>4</v>
      </c>
      <c r="M7" s="2">
        <v>4</v>
      </c>
      <c r="N7" s="2">
        <v>4</v>
      </c>
      <c r="O7" s="2">
        <v>4</v>
      </c>
      <c r="P7" s="4"/>
      <c r="Q7" s="96"/>
      <c r="R7" s="3" t="s">
        <v>30</v>
      </c>
      <c r="S7" s="38">
        <v>3</v>
      </c>
      <c r="T7" s="38">
        <v>2</v>
      </c>
      <c r="U7" s="38">
        <v>4</v>
      </c>
      <c r="V7" s="38">
        <v>4</v>
      </c>
      <c r="W7" s="38">
        <v>4</v>
      </c>
      <c r="X7" s="38">
        <v>4</v>
      </c>
      <c r="Y7" s="38">
        <v>4</v>
      </c>
      <c r="Z7" s="38">
        <v>5</v>
      </c>
      <c r="AA7" s="79">
        <v>3</v>
      </c>
      <c r="AB7" s="77">
        <v>4</v>
      </c>
      <c r="AC7" s="38">
        <v>4</v>
      </c>
      <c r="AD7" s="38">
        <v>4</v>
      </c>
      <c r="AE7" s="38">
        <v>4</v>
      </c>
      <c r="AF7" s="4"/>
    </row>
    <row r="8" spans="1:32" x14ac:dyDescent="0.25">
      <c r="A8" s="96"/>
      <c r="B8" s="3" t="s">
        <v>4</v>
      </c>
      <c r="C8" s="23">
        <v>5</v>
      </c>
      <c r="D8" s="23">
        <v>9</v>
      </c>
      <c r="E8" s="23">
        <v>6</v>
      </c>
      <c r="F8" s="23">
        <v>8</v>
      </c>
      <c r="G8" s="23">
        <v>7</v>
      </c>
      <c r="H8" s="23">
        <v>4</v>
      </c>
      <c r="I8" s="23">
        <v>4</v>
      </c>
      <c r="J8" s="23">
        <v>4</v>
      </c>
      <c r="K8" s="61">
        <v>4</v>
      </c>
      <c r="L8" s="59">
        <v>3</v>
      </c>
      <c r="M8" s="23">
        <v>4</v>
      </c>
      <c r="N8" s="23">
        <v>4</v>
      </c>
      <c r="O8" s="23">
        <v>4</v>
      </c>
      <c r="P8" s="4"/>
      <c r="Q8" s="96"/>
      <c r="R8" s="3" t="s">
        <v>31</v>
      </c>
      <c r="S8" s="37">
        <v>4</v>
      </c>
      <c r="T8" s="37">
        <v>3</v>
      </c>
      <c r="U8" s="37">
        <v>4</v>
      </c>
      <c r="V8" s="37">
        <v>4</v>
      </c>
      <c r="W8" s="37">
        <v>5</v>
      </c>
      <c r="X8" s="37">
        <v>4</v>
      </c>
      <c r="Y8" s="37">
        <v>4</v>
      </c>
      <c r="Z8" s="37">
        <v>4</v>
      </c>
      <c r="AA8" s="78">
        <v>5</v>
      </c>
      <c r="AB8" s="76">
        <v>4</v>
      </c>
      <c r="AC8" s="37">
        <v>4</v>
      </c>
      <c r="AD8" s="37">
        <v>4</v>
      </c>
      <c r="AE8" s="37">
        <v>4</v>
      </c>
      <c r="AF8" s="4"/>
    </row>
    <row r="9" spans="1:32" x14ac:dyDescent="0.25">
      <c r="A9" s="96"/>
      <c r="B9" s="3" t="s">
        <v>5</v>
      </c>
      <c r="C9" s="2">
        <v>7</v>
      </c>
      <c r="D9" s="2">
        <v>6</v>
      </c>
      <c r="E9" s="2">
        <v>6</v>
      </c>
      <c r="F9" s="2">
        <v>7</v>
      </c>
      <c r="G9" s="2">
        <v>6</v>
      </c>
      <c r="H9" s="2">
        <v>4</v>
      </c>
      <c r="I9" s="2">
        <v>3</v>
      </c>
      <c r="J9" s="2">
        <v>4</v>
      </c>
      <c r="K9" s="62">
        <v>4</v>
      </c>
      <c r="L9" s="60">
        <v>5</v>
      </c>
      <c r="M9" s="2">
        <v>4</v>
      </c>
      <c r="N9" s="2">
        <v>4</v>
      </c>
      <c r="O9" s="2">
        <v>4</v>
      </c>
      <c r="P9" s="4"/>
      <c r="Q9" s="96"/>
      <c r="R9" s="3" t="s">
        <v>32</v>
      </c>
      <c r="S9" s="38">
        <v>4</v>
      </c>
      <c r="T9" s="38">
        <v>4</v>
      </c>
      <c r="U9" s="38">
        <v>4</v>
      </c>
      <c r="V9" s="38">
        <v>4</v>
      </c>
      <c r="W9" s="38">
        <v>4</v>
      </c>
      <c r="X9" s="38">
        <v>4</v>
      </c>
      <c r="Y9" s="38">
        <v>4</v>
      </c>
      <c r="Z9" s="38">
        <v>4</v>
      </c>
      <c r="AA9" s="79">
        <v>4</v>
      </c>
      <c r="AB9" s="77">
        <v>4</v>
      </c>
      <c r="AC9" s="38">
        <v>4</v>
      </c>
      <c r="AD9" s="38">
        <v>4</v>
      </c>
      <c r="AE9" s="38">
        <v>2</v>
      </c>
      <c r="AF9" s="4"/>
    </row>
    <row r="10" spans="1:32" x14ac:dyDescent="0.25">
      <c r="A10" s="96"/>
      <c r="B10" s="3" t="s">
        <v>6</v>
      </c>
      <c r="C10" s="23">
        <v>7</v>
      </c>
      <c r="D10" s="23">
        <v>6</v>
      </c>
      <c r="E10" s="23">
        <v>5</v>
      </c>
      <c r="F10" s="23">
        <v>5</v>
      </c>
      <c r="G10" s="23">
        <v>6</v>
      </c>
      <c r="H10" s="23">
        <v>3</v>
      </c>
      <c r="I10" s="23">
        <v>2</v>
      </c>
      <c r="J10" s="23">
        <v>2</v>
      </c>
      <c r="K10" s="61">
        <v>3</v>
      </c>
      <c r="L10" s="59">
        <v>4</v>
      </c>
      <c r="M10" s="23">
        <v>3</v>
      </c>
      <c r="N10" s="23">
        <v>4</v>
      </c>
      <c r="O10" s="23">
        <v>4</v>
      </c>
      <c r="P10" s="4"/>
      <c r="Q10" s="96"/>
      <c r="R10" s="3" t="s">
        <v>33</v>
      </c>
      <c r="S10" s="37">
        <v>3</v>
      </c>
      <c r="T10" s="37">
        <v>3</v>
      </c>
      <c r="U10" s="37">
        <v>4</v>
      </c>
      <c r="V10" s="37">
        <v>4</v>
      </c>
      <c r="W10" s="37">
        <v>4</v>
      </c>
      <c r="X10" s="37">
        <v>4</v>
      </c>
      <c r="Y10" s="37">
        <v>4</v>
      </c>
      <c r="Z10" s="37">
        <v>4</v>
      </c>
      <c r="AA10" s="78">
        <v>4</v>
      </c>
      <c r="AB10" s="76">
        <v>4</v>
      </c>
      <c r="AC10" s="37">
        <v>4</v>
      </c>
      <c r="AD10" s="37">
        <v>4</v>
      </c>
      <c r="AE10" s="37">
        <v>4</v>
      </c>
      <c r="AF10" s="4"/>
    </row>
    <row r="11" spans="1:32" x14ac:dyDescent="0.25">
      <c r="A11" s="96"/>
      <c r="B11" s="3" t="s">
        <v>7</v>
      </c>
      <c r="C11" s="2">
        <v>7</v>
      </c>
      <c r="D11" s="2">
        <v>3</v>
      </c>
      <c r="E11" s="2">
        <v>3</v>
      </c>
      <c r="F11" s="2">
        <v>4</v>
      </c>
      <c r="G11" s="2">
        <v>3</v>
      </c>
      <c r="H11" s="2">
        <v>3</v>
      </c>
      <c r="I11" s="2">
        <v>3</v>
      </c>
      <c r="J11" s="2">
        <v>3</v>
      </c>
      <c r="K11" s="62">
        <v>1</v>
      </c>
      <c r="L11" s="60">
        <v>3</v>
      </c>
      <c r="M11" s="2">
        <v>3</v>
      </c>
      <c r="N11" s="2">
        <v>3</v>
      </c>
      <c r="O11" s="2">
        <v>3</v>
      </c>
      <c r="P11" s="4"/>
      <c r="Q11" s="96"/>
      <c r="R11" s="3" t="s">
        <v>34</v>
      </c>
      <c r="S11" s="38">
        <v>3</v>
      </c>
      <c r="T11" s="38">
        <v>4</v>
      </c>
      <c r="U11" s="38">
        <v>4</v>
      </c>
      <c r="V11" s="38">
        <v>4</v>
      </c>
      <c r="W11" s="38">
        <v>4</v>
      </c>
      <c r="X11" s="38">
        <v>4</v>
      </c>
      <c r="Y11" s="38">
        <v>4</v>
      </c>
      <c r="Z11" s="38">
        <v>4</v>
      </c>
      <c r="AA11" s="79">
        <v>4</v>
      </c>
      <c r="AB11" s="77">
        <v>4</v>
      </c>
      <c r="AC11" s="38">
        <v>4</v>
      </c>
      <c r="AD11" s="38">
        <v>4</v>
      </c>
      <c r="AE11" s="38">
        <v>4</v>
      </c>
      <c r="AF11" s="4"/>
    </row>
    <row r="12" spans="1:32" x14ac:dyDescent="0.25">
      <c r="A12" s="96"/>
      <c r="B12" s="3" t="s">
        <v>8</v>
      </c>
      <c r="C12" s="23">
        <v>7</v>
      </c>
      <c r="D12" s="23">
        <v>3</v>
      </c>
      <c r="E12" s="23">
        <v>2</v>
      </c>
      <c r="F12" s="23">
        <v>3</v>
      </c>
      <c r="G12" s="23">
        <v>3</v>
      </c>
      <c r="H12" s="23">
        <v>3</v>
      </c>
      <c r="I12" s="23">
        <v>3</v>
      </c>
      <c r="J12" s="23">
        <v>3</v>
      </c>
      <c r="K12" s="61">
        <v>2</v>
      </c>
      <c r="L12" s="59">
        <v>3</v>
      </c>
      <c r="M12" s="23">
        <v>3</v>
      </c>
      <c r="N12" s="23">
        <v>3</v>
      </c>
      <c r="O12" s="23">
        <v>2</v>
      </c>
      <c r="P12" s="4"/>
      <c r="Q12" s="96"/>
      <c r="R12" s="3" t="s">
        <v>35</v>
      </c>
      <c r="S12" s="37">
        <v>4</v>
      </c>
      <c r="T12" s="37">
        <v>4</v>
      </c>
      <c r="U12" s="37">
        <v>4</v>
      </c>
      <c r="V12" s="37">
        <v>4</v>
      </c>
      <c r="W12" s="37">
        <v>4</v>
      </c>
      <c r="X12" s="37">
        <v>4</v>
      </c>
      <c r="Y12" s="37">
        <v>4</v>
      </c>
      <c r="Z12" s="37">
        <v>3</v>
      </c>
      <c r="AA12" s="78">
        <v>4</v>
      </c>
      <c r="AB12" s="76">
        <v>4</v>
      </c>
      <c r="AC12" s="37">
        <v>4</v>
      </c>
      <c r="AD12" s="37">
        <v>4</v>
      </c>
      <c r="AE12" s="37">
        <v>4</v>
      </c>
      <c r="AF12" s="4"/>
    </row>
    <row r="13" spans="1:32" x14ac:dyDescent="0.25">
      <c r="A13" s="96"/>
      <c r="B13" s="3" t="s">
        <v>9</v>
      </c>
      <c r="C13" s="2">
        <v>4</v>
      </c>
      <c r="D13" s="2">
        <v>3</v>
      </c>
      <c r="E13" s="2">
        <v>3</v>
      </c>
      <c r="F13" s="2">
        <v>3</v>
      </c>
      <c r="G13" s="2">
        <v>3</v>
      </c>
      <c r="H13" s="2">
        <v>3</v>
      </c>
      <c r="I13" s="2">
        <v>3</v>
      </c>
      <c r="J13" s="2">
        <v>3</v>
      </c>
      <c r="K13" s="62">
        <v>3</v>
      </c>
      <c r="L13" s="60">
        <v>3</v>
      </c>
      <c r="M13" s="2">
        <v>3</v>
      </c>
      <c r="N13" s="2">
        <v>3</v>
      </c>
      <c r="O13" s="2">
        <v>3</v>
      </c>
      <c r="P13" s="4"/>
      <c r="Q13" s="96"/>
      <c r="R13" s="3" t="s">
        <v>36</v>
      </c>
      <c r="S13" s="38">
        <v>4</v>
      </c>
      <c r="T13" s="38">
        <v>4</v>
      </c>
      <c r="U13" s="38">
        <v>4</v>
      </c>
      <c r="V13" s="38">
        <v>4</v>
      </c>
      <c r="W13" s="38">
        <v>4</v>
      </c>
      <c r="X13" s="38">
        <v>4</v>
      </c>
      <c r="Y13" s="38">
        <v>4</v>
      </c>
      <c r="Z13" s="38">
        <v>4</v>
      </c>
      <c r="AA13" s="79">
        <v>4</v>
      </c>
      <c r="AB13" s="77">
        <v>4</v>
      </c>
      <c r="AC13" s="38">
        <v>4</v>
      </c>
      <c r="AD13" s="38">
        <v>4</v>
      </c>
      <c r="AE13" s="38">
        <v>4</v>
      </c>
      <c r="AF13" s="4"/>
    </row>
    <row r="14" spans="1:32" x14ac:dyDescent="0.25">
      <c r="A14" s="96"/>
      <c r="B14" s="3" t="s">
        <v>10</v>
      </c>
      <c r="C14" s="23">
        <v>5</v>
      </c>
      <c r="D14" s="23">
        <v>3</v>
      </c>
      <c r="E14" s="23">
        <v>2</v>
      </c>
      <c r="F14" s="23">
        <v>3</v>
      </c>
      <c r="G14" s="23">
        <v>3</v>
      </c>
      <c r="H14" s="23">
        <v>3</v>
      </c>
      <c r="I14" s="23">
        <v>3</v>
      </c>
      <c r="J14" s="23">
        <v>3</v>
      </c>
      <c r="K14" s="61">
        <v>3</v>
      </c>
      <c r="L14" s="59">
        <v>4</v>
      </c>
      <c r="M14" s="23">
        <v>2</v>
      </c>
      <c r="N14" s="23">
        <v>3</v>
      </c>
      <c r="O14" s="23">
        <v>3</v>
      </c>
      <c r="P14" s="4"/>
      <c r="Q14" s="96"/>
      <c r="R14" s="3" t="s">
        <v>37</v>
      </c>
      <c r="S14" s="37">
        <v>4</v>
      </c>
      <c r="T14" s="37">
        <v>4</v>
      </c>
      <c r="U14" s="37">
        <v>4</v>
      </c>
      <c r="V14" s="37">
        <v>4</v>
      </c>
      <c r="W14" s="37">
        <v>4</v>
      </c>
      <c r="X14" s="37">
        <v>4</v>
      </c>
      <c r="Y14" s="37">
        <v>4</v>
      </c>
      <c r="Z14" s="37">
        <v>4</v>
      </c>
      <c r="AA14" s="78">
        <v>7</v>
      </c>
      <c r="AB14" s="76">
        <v>4</v>
      </c>
      <c r="AC14" s="37">
        <v>4</v>
      </c>
      <c r="AD14" s="37">
        <v>3</v>
      </c>
      <c r="AE14" s="37">
        <v>4</v>
      </c>
      <c r="AF14" s="4"/>
    </row>
    <row r="15" spans="1:32" x14ac:dyDescent="0.25">
      <c r="A15" s="96"/>
      <c r="B15" s="3" t="s">
        <v>11</v>
      </c>
      <c r="C15" s="2">
        <v>6</v>
      </c>
      <c r="D15" s="2">
        <v>3</v>
      </c>
      <c r="E15" s="2">
        <v>3</v>
      </c>
      <c r="F15" s="2">
        <v>3</v>
      </c>
      <c r="G15" s="2">
        <v>3</v>
      </c>
      <c r="H15" s="2">
        <v>3</v>
      </c>
      <c r="I15" s="2">
        <v>4</v>
      </c>
      <c r="J15" s="2">
        <v>3</v>
      </c>
      <c r="K15" s="62">
        <v>3</v>
      </c>
      <c r="L15" s="60">
        <v>3</v>
      </c>
      <c r="M15" s="2">
        <v>3</v>
      </c>
      <c r="N15" s="2">
        <v>3</v>
      </c>
      <c r="O15" s="2">
        <v>3</v>
      </c>
      <c r="P15" s="4"/>
      <c r="Q15" s="96"/>
      <c r="R15" s="3" t="s">
        <v>54</v>
      </c>
      <c r="S15" s="38">
        <v>4</v>
      </c>
      <c r="T15" s="38">
        <v>4</v>
      </c>
      <c r="U15" s="38">
        <v>4</v>
      </c>
      <c r="V15" s="38">
        <v>4</v>
      </c>
      <c r="W15" s="38">
        <v>4</v>
      </c>
      <c r="X15" s="38">
        <v>4</v>
      </c>
      <c r="Y15" s="38">
        <v>4</v>
      </c>
      <c r="Z15" s="38">
        <v>4</v>
      </c>
      <c r="AA15" s="79">
        <v>3</v>
      </c>
      <c r="AB15" s="77">
        <v>4</v>
      </c>
      <c r="AC15" s="38">
        <v>5</v>
      </c>
      <c r="AD15" s="38">
        <v>4</v>
      </c>
      <c r="AE15" s="38">
        <v>4</v>
      </c>
      <c r="AF15" s="4"/>
    </row>
    <row r="16" spans="1:32" x14ac:dyDescent="0.25">
      <c r="A16" s="96"/>
      <c r="B16" s="3" t="s">
        <v>25</v>
      </c>
      <c r="C16" s="23">
        <v>4</v>
      </c>
      <c r="D16" s="23">
        <v>5</v>
      </c>
      <c r="E16" s="23">
        <v>3</v>
      </c>
      <c r="F16" s="23">
        <v>3</v>
      </c>
      <c r="G16" s="23">
        <v>3</v>
      </c>
      <c r="H16" s="23">
        <v>3</v>
      </c>
      <c r="I16" s="23">
        <v>2</v>
      </c>
      <c r="J16" s="23">
        <v>3</v>
      </c>
      <c r="K16" s="61">
        <v>3</v>
      </c>
      <c r="L16" s="59">
        <v>3</v>
      </c>
      <c r="M16" s="23">
        <v>3</v>
      </c>
      <c r="N16" s="23">
        <v>3</v>
      </c>
      <c r="O16" s="23">
        <v>3</v>
      </c>
      <c r="P16" s="4"/>
      <c r="Q16" s="96"/>
      <c r="R16" s="3" t="s">
        <v>55</v>
      </c>
      <c r="S16" s="37">
        <v>5</v>
      </c>
      <c r="T16" s="37">
        <v>4</v>
      </c>
      <c r="U16" s="37">
        <v>4</v>
      </c>
      <c r="V16" s="37">
        <v>4</v>
      </c>
      <c r="W16" s="37">
        <v>4</v>
      </c>
      <c r="X16" s="37">
        <v>5</v>
      </c>
      <c r="Y16" s="37">
        <v>5</v>
      </c>
      <c r="Z16" s="37">
        <v>4</v>
      </c>
      <c r="AA16" s="78">
        <v>4</v>
      </c>
      <c r="AB16" s="76">
        <v>4</v>
      </c>
      <c r="AC16" s="37">
        <v>3</v>
      </c>
      <c r="AD16" s="37">
        <v>4</v>
      </c>
      <c r="AE16" s="37">
        <v>4</v>
      </c>
      <c r="AF16" s="4"/>
    </row>
    <row r="17" spans="1:32" x14ac:dyDescent="0.25">
      <c r="A17" s="96"/>
      <c r="B17" s="3" t="s">
        <v>26</v>
      </c>
      <c r="C17" s="2">
        <v>4</v>
      </c>
      <c r="D17" s="2">
        <v>3</v>
      </c>
      <c r="E17" s="2">
        <v>3</v>
      </c>
      <c r="F17" s="2">
        <v>3</v>
      </c>
      <c r="G17" s="2">
        <v>3</v>
      </c>
      <c r="H17" s="2">
        <v>3</v>
      </c>
      <c r="I17" s="2">
        <v>3</v>
      </c>
      <c r="J17" s="2">
        <v>3</v>
      </c>
      <c r="K17" s="62">
        <v>3</v>
      </c>
      <c r="L17" s="60">
        <v>3</v>
      </c>
      <c r="M17" s="2">
        <v>3</v>
      </c>
      <c r="N17" s="2">
        <v>3</v>
      </c>
      <c r="O17" s="2">
        <v>3</v>
      </c>
      <c r="P17" s="4"/>
      <c r="Q17" s="96"/>
      <c r="R17" s="3" t="s">
        <v>38</v>
      </c>
      <c r="S17" s="38">
        <v>4</v>
      </c>
      <c r="T17" s="38">
        <v>4</v>
      </c>
      <c r="U17" s="38">
        <v>4</v>
      </c>
      <c r="V17" s="38">
        <v>4</v>
      </c>
      <c r="W17" s="38">
        <v>4</v>
      </c>
      <c r="X17" s="38">
        <v>4</v>
      </c>
      <c r="Y17" s="38">
        <v>4</v>
      </c>
      <c r="Z17" s="38">
        <v>4</v>
      </c>
      <c r="AA17" s="79">
        <v>4</v>
      </c>
      <c r="AB17" s="77">
        <v>4</v>
      </c>
      <c r="AC17" s="38">
        <v>4</v>
      </c>
      <c r="AD17" s="38">
        <v>4</v>
      </c>
      <c r="AE17" s="38">
        <v>4</v>
      </c>
      <c r="AF17" s="4"/>
    </row>
    <row r="18" spans="1:32" x14ac:dyDescent="0.25">
      <c r="A18" s="96"/>
      <c r="B18" s="3" t="s">
        <v>12</v>
      </c>
      <c r="C18" s="23">
        <v>6</v>
      </c>
      <c r="D18" s="23">
        <v>3</v>
      </c>
      <c r="E18" s="23">
        <v>3</v>
      </c>
      <c r="F18" s="23">
        <v>3</v>
      </c>
      <c r="G18" s="23">
        <v>3</v>
      </c>
      <c r="H18" s="23">
        <v>3</v>
      </c>
      <c r="I18" s="23">
        <v>3</v>
      </c>
      <c r="J18" s="23">
        <v>3</v>
      </c>
      <c r="K18" s="61">
        <v>3</v>
      </c>
      <c r="L18" s="59">
        <v>3</v>
      </c>
      <c r="M18" s="23">
        <v>3</v>
      </c>
      <c r="N18" s="23">
        <v>3</v>
      </c>
      <c r="O18" s="23">
        <v>3</v>
      </c>
      <c r="P18" s="4"/>
      <c r="Q18" s="96"/>
      <c r="R18" s="3" t="s">
        <v>39</v>
      </c>
      <c r="S18" s="24"/>
      <c r="T18" s="24"/>
      <c r="U18" s="24"/>
      <c r="V18" s="24"/>
      <c r="W18" s="24"/>
      <c r="X18" s="24"/>
      <c r="Y18" s="24"/>
      <c r="Z18" s="24"/>
      <c r="AA18" s="80"/>
      <c r="AB18" s="65"/>
      <c r="AC18" s="24"/>
      <c r="AD18" s="24"/>
      <c r="AE18" s="24"/>
      <c r="AF18" s="4"/>
    </row>
    <row r="19" spans="1:32" x14ac:dyDescent="0.25">
      <c r="A19" s="96"/>
      <c r="B19" s="3" t="s">
        <v>13</v>
      </c>
      <c r="C19" s="2"/>
      <c r="D19" s="2"/>
      <c r="E19" s="2"/>
      <c r="F19" s="2"/>
      <c r="G19" s="2"/>
      <c r="H19" s="2"/>
      <c r="I19" s="2"/>
      <c r="J19" s="2"/>
      <c r="K19" s="62"/>
      <c r="L19" s="60"/>
      <c r="M19" s="2"/>
      <c r="N19" s="2"/>
      <c r="O19" s="2"/>
      <c r="P19" s="4"/>
      <c r="Q19" s="96"/>
      <c r="R19" s="3" t="s">
        <v>40</v>
      </c>
      <c r="S19" s="7"/>
      <c r="T19" s="7"/>
      <c r="U19" s="7"/>
      <c r="V19" s="7"/>
      <c r="W19" s="7"/>
      <c r="X19" s="7"/>
      <c r="Y19" s="7"/>
      <c r="Z19" s="7"/>
      <c r="AA19" s="81"/>
      <c r="AB19" s="66"/>
      <c r="AC19" s="7"/>
      <c r="AD19" s="7"/>
      <c r="AE19" s="7"/>
      <c r="AF19" s="4"/>
    </row>
    <row r="20" spans="1:32" x14ac:dyDescent="0.25">
      <c r="A20" s="96"/>
      <c r="B20" s="3" t="s">
        <v>14</v>
      </c>
      <c r="C20" s="23"/>
      <c r="D20" s="23"/>
      <c r="E20" s="23"/>
      <c r="F20" s="23"/>
      <c r="G20" s="23"/>
      <c r="H20" s="23"/>
      <c r="I20" s="23"/>
      <c r="J20" s="23"/>
      <c r="K20" s="61"/>
      <c r="L20" s="59"/>
      <c r="M20" s="23"/>
      <c r="N20" s="23"/>
      <c r="O20" s="23"/>
      <c r="P20" s="4"/>
      <c r="Q20" s="96"/>
      <c r="R20" s="3" t="s">
        <v>41</v>
      </c>
      <c r="S20" s="24"/>
      <c r="T20" s="24"/>
      <c r="U20" s="24"/>
      <c r="V20" s="24"/>
      <c r="W20" s="24"/>
      <c r="X20" s="24"/>
      <c r="Y20" s="24"/>
      <c r="Z20" s="24"/>
      <c r="AA20" s="80"/>
      <c r="AB20" s="65"/>
      <c r="AC20" s="24"/>
      <c r="AD20" s="24"/>
      <c r="AE20" s="24"/>
      <c r="AF20" s="4"/>
    </row>
    <row r="21" spans="1:32" x14ac:dyDescent="0.25">
      <c r="A21" s="96"/>
      <c r="B21" s="3" t="s">
        <v>15</v>
      </c>
      <c r="C21" s="2"/>
      <c r="D21" s="2"/>
      <c r="E21" s="2"/>
      <c r="F21" s="2"/>
      <c r="G21" s="2"/>
      <c r="H21" s="2"/>
      <c r="I21" s="2"/>
      <c r="J21" s="2"/>
      <c r="K21" s="62"/>
      <c r="L21" s="60"/>
      <c r="M21" s="2"/>
      <c r="N21" s="2"/>
      <c r="O21" s="2"/>
      <c r="P21" s="4"/>
      <c r="Q21" s="96"/>
      <c r="R21" s="3" t="s">
        <v>42</v>
      </c>
      <c r="S21" s="7"/>
      <c r="T21" s="7"/>
      <c r="U21" s="7"/>
      <c r="V21" s="7"/>
      <c r="W21" s="7"/>
      <c r="X21" s="7"/>
      <c r="Y21" s="7"/>
      <c r="Z21" s="7"/>
      <c r="AA21" s="81"/>
      <c r="AB21" s="66"/>
      <c r="AC21" s="7"/>
      <c r="AD21" s="7"/>
      <c r="AE21" s="7"/>
      <c r="AF21" s="4"/>
    </row>
    <row r="22" spans="1:32" x14ac:dyDescent="0.25">
      <c r="A22" s="96"/>
      <c r="B22" s="3" t="s">
        <v>16</v>
      </c>
      <c r="C22" s="23"/>
      <c r="D22" s="23"/>
      <c r="E22" s="23"/>
      <c r="F22" s="23"/>
      <c r="G22" s="23"/>
      <c r="H22" s="23"/>
      <c r="I22" s="23"/>
      <c r="J22" s="23"/>
      <c r="K22" s="61"/>
      <c r="L22" s="59"/>
      <c r="M22" s="23"/>
      <c r="N22" s="23"/>
      <c r="O22" s="23"/>
      <c r="P22" s="4"/>
      <c r="Q22" s="96"/>
      <c r="R22" s="3" t="s">
        <v>43</v>
      </c>
      <c r="S22" s="24"/>
      <c r="T22" s="24"/>
      <c r="U22" s="24"/>
      <c r="V22" s="24"/>
      <c r="W22" s="24"/>
      <c r="X22" s="24"/>
      <c r="Y22" s="24"/>
      <c r="Z22" s="24"/>
      <c r="AA22" s="80"/>
      <c r="AB22" s="65"/>
      <c r="AC22" s="24"/>
      <c r="AD22" s="24"/>
      <c r="AE22" s="24"/>
      <c r="AF22" s="4"/>
    </row>
    <row r="23" spans="1:32" x14ac:dyDescent="0.25">
      <c r="A23" s="96"/>
      <c r="B23" s="3" t="s">
        <v>17</v>
      </c>
      <c r="C23" s="2"/>
      <c r="D23" s="2"/>
      <c r="E23" s="2"/>
      <c r="F23" s="2"/>
      <c r="G23" s="2"/>
      <c r="H23" s="2"/>
      <c r="I23" s="2"/>
      <c r="J23" s="2"/>
      <c r="K23" s="62"/>
      <c r="L23" s="60"/>
      <c r="M23" s="2"/>
      <c r="N23" s="2"/>
      <c r="O23" s="2"/>
      <c r="P23" s="4"/>
      <c r="Q23" s="96"/>
      <c r="R23" s="3" t="s">
        <v>44</v>
      </c>
      <c r="S23" s="7"/>
      <c r="T23" s="7"/>
      <c r="U23" s="7"/>
      <c r="V23" s="7"/>
      <c r="W23" s="7"/>
      <c r="X23" s="7"/>
      <c r="Y23" s="7"/>
      <c r="Z23" s="7"/>
      <c r="AA23" s="81"/>
      <c r="AB23" s="66"/>
      <c r="AC23" s="7"/>
      <c r="AD23" s="7"/>
      <c r="AE23" s="7"/>
      <c r="AF23" s="4"/>
    </row>
    <row r="24" spans="1:32" x14ac:dyDescent="0.25">
      <c r="A24" s="96"/>
      <c r="B24" s="3" t="s">
        <v>18</v>
      </c>
      <c r="C24" s="23"/>
      <c r="D24" s="23"/>
      <c r="E24" s="23"/>
      <c r="F24" s="23"/>
      <c r="G24" s="23"/>
      <c r="H24" s="23"/>
      <c r="I24" s="23"/>
      <c r="J24" s="23"/>
      <c r="K24" s="61"/>
      <c r="L24" s="59"/>
      <c r="M24" s="23"/>
      <c r="N24" s="23"/>
      <c r="O24" s="23"/>
      <c r="P24" s="4"/>
      <c r="Q24" s="96"/>
      <c r="R24" s="3" t="s">
        <v>45</v>
      </c>
      <c r="S24" s="24"/>
      <c r="T24" s="24"/>
      <c r="U24" s="24"/>
      <c r="V24" s="24"/>
      <c r="W24" s="24"/>
      <c r="X24" s="24"/>
      <c r="Y24" s="24"/>
      <c r="Z24" s="24"/>
      <c r="AA24" s="80"/>
      <c r="AB24" s="65"/>
      <c r="AC24" s="24"/>
      <c r="AD24" s="24"/>
      <c r="AE24" s="24"/>
      <c r="AF24" s="4"/>
    </row>
    <row r="25" spans="1:32" x14ac:dyDescent="0.25">
      <c r="A25" s="96"/>
      <c r="B25" s="3" t="s">
        <v>19</v>
      </c>
      <c r="C25" s="2"/>
      <c r="D25" s="2"/>
      <c r="E25" s="2"/>
      <c r="F25" s="2"/>
      <c r="G25" s="2"/>
      <c r="H25" s="2"/>
      <c r="I25" s="2"/>
      <c r="J25" s="2"/>
      <c r="K25" s="62"/>
      <c r="L25" s="60"/>
      <c r="M25" s="2"/>
      <c r="N25" s="2"/>
      <c r="O25" s="2"/>
      <c r="P25" s="4"/>
      <c r="Q25" s="96"/>
      <c r="R25" s="3" t="s">
        <v>46</v>
      </c>
      <c r="S25" s="7" t="s">
        <v>85</v>
      </c>
      <c r="T25" s="7"/>
      <c r="U25" s="7"/>
      <c r="V25" s="7"/>
      <c r="W25" s="7"/>
      <c r="X25" s="7"/>
      <c r="Y25" s="7"/>
      <c r="Z25" s="7"/>
      <c r="AA25" s="81"/>
      <c r="AB25" s="66"/>
      <c r="AC25" s="7"/>
      <c r="AD25" s="7"/>
      <c r="AE25" s="7"/>
      <c r="AF25" s="4"/>
    </row>
    <row r="26" spans="1:32" x14ac:dyDescent="0.25">
      <c r="A26" s="96"/>
      <c r="B26" s="3" t="s">
        <v>20</v>
      </c>
      <c r="C26" s="23"/>
      <c r="D26" s="23"/>
      <c r="E26" s="23"/>
      <c r="F26" s="23"/>
      <c r="G26" s="23"/>
      <c r="H26" s="23"/>
      <c r="I26" s="23"/>
      <c r="J26" s="23"/>
      <c r="K26" s="61"/>
      <c r="L26" s="59"/>
      <c r="M26" s="23"/>
      <c r="N26" s="23"/>
      <c r="O26" s="23"/>
      <c r="P26" s="4"/>
      <c r="Q26" s="96"/>
      <c r="R26" s="3" t="s">
        <v>47</v>
      </c>
      <c r="S26" s="24"/>
      <c r="T26" s="24"/>
      <c r="U26" s="24"/>
      <c r="V26" s="24"/>
      <c r="W26" s="24"/>
      <c r="X26" s="24"/>
      <c r="Y26" s="24"/>
      <c r="Z26" s="24"/>
      <c r="AA26" s="80"/>
      <c r="AB26" s="65"/>
      <c r="AC26" s="24"/>
      <c r="AD26" s="24"/>
      <c r="AE26" s="24"/>
      <c r="AF26" s="4"/>
    </row>
    <row r="27" spans="1:32" x14ac:dyDescent="0.25">
      <c r="A27" s="96"/>
      <c r="B27" s="3" t="s">
        <v>21</v>
      </c>
      <c r="C27" s="2"/>
      <c r="D27" s="2"/>
      <c r="E27" s="2"/>
      <c r="F27" s="2"/>
      <c r="G27" s="2"/>
      <c r="H27" s="2"/>
      <c r="I27" s="2"/>
      <c r="J27" s="2"/>
      <c r="K27" s="62"/>
      <c r="L27" s="60"/>
      <c r="M27" s="2"/>
      <c r="N27" s="2"/>
      <c r="O27" s="2"/>
      <c r="P27" s="4"/>
      <c r="Q27" s="96"/>
      <c r="R27" s="3" t="s">
        <v>48</v>
      </c>
      <c r="S27" s="7"/>
      <c r="T27" s="7"/>
      <c r="U27" s="7"/>
      <c r="V27" s="7"/>
      <c r="W27" s="7"/>
      <c r="X27" s="7"/>
      <c r="Y27" s="7"/>
      <c r="Z27" s="7"/>
      <c r="AA27" s="81"/>
      <c r="AB27" s="66"/>
      <c r="AC27" s="7"/>
      <c r="AD27" s="7"/>
      <c r="AE27" s="7"/>
      <c r="AF27" s="4"/>
    </row>
    <row r="28" spans="1:32" x14ac:dyDescent="0.25">
      <c r="A28" s="96"/>
      <c r="B28" s="3" t="s">
        <v>22</v>
      </c>
      <c r="C28" s="23"/>
      <c r="D28" s="23"/>
      <c r="E28" s="23"/>
      <c r="F28" s="23"/>
      <c r="G28" s="23"/>
      <c r="H28" s="23"/>
      <c r="I28" s="23"/>
      <c r="J28" s="23"/>
      <c r="K28" s="61"/>
      <c r="L28" s="59"/>
      <c r="M28" s="23"/>
      <c r="N28" s="23"/>
      <c r="O28" s="23"/>
      <c r="P28" s="4"/>
      <c r="Q28" s="96"/>
      <c r="R28" s="3" t="s">
        <v>49</v>
      </c>
      <c r="S28" s="24"/>
      <c r="T28" s="24"/>
      <c r="U28" s="24"/>
      <c r="V28" s="24"/>
      <c r="W28" s="24"/>
      <c r="X28" s="24"/>
      <c r="Y28" s="24"/>
      <c r="Z28" s="24"/>
      <c r="AA28" s="80"/>
      <c r="AB28" s="65"/>
      <c r="AC28" s="24"/>
      <c r="AD28" s="24"/>
      <c r="AE28" s="24"/>
      <c r="AF28" s="4"/>
    </row>
    <row r="29" spans="1:32" x14ac:dyDescent="0.25">
      <c r="A29" s="96"/>
      <c r="B29" s="3" t="s">
        <v>23</v>
      </c>
      <c r="C29" s="2"/>
      <c r="D29" s="2"/>
      <c r="E29" s="2"/>
      <c r="F29" s="2"/>
      <c r="G29" s="2"/>
      <c r="H29" s="2"/>
      <c r="I29" s="2"/>
      <c r="J29" s="2"/>
      <c r="K29" s="62"/>
      <c r="L29" s="60"/>
      <c r="M29" s="2"/>
      <c r="N29" s="2"/>
      <c r="O29" s="2"/>
      <c r="P29" s="4"/>
      <c r="Q29" s="96"/>
      <c r="R29" s="3" t="s">
        <v>50</v>
      </c>
      <c r="S29" s="7"/>
      <c r="T29" s="7"/>
      <c r="U29" s="7"/>
      <c r="V29" s="7"/>
      <c r="W29" s="7"/>
      <c r="X29" s="7"/>
      <c r="Y29" s="7"/>
      <c r="Z29" s="7"/>
      <c r="AA29" s="81"/>
      <c r="AB29" s="66"/>
      <c r="AC29" s="7"/>
      <c r="AD29" s="7"/>
      <c r="AE29" s="7"/>
      <c r="AF29" s="4"/>
    </row>
    <row r="30" spans="1:32" x14ac:dyDescent="0.25">
      <c r="A30" s="96"/>
      <c r="B30" s="3" t="s">
        <v>24</v>
      </c>
      <c r="C30" s="23"/>
      <c r="D30" s="23"/>
      <c r="E30" s="23"/>
      <c r="F30" s="23"/>
      <c r="G30" s="23"/>
      <c r="H30" s="23"/>
      <c r="I30" s="23"/>
      <c r="J30" s="23"/>
      <c r="K30" s="61"/>
      <c r="L30" s="59"/>
      <c r="M30" s="23"/>
      <c r="N30" s="23"/>
      <c r="O30" s="23"/>
      <c r="P30" s="4"/>
      <c r="Q30" s="96"/>
      <c r="R30" s="4"/>
      <c r="S30" s="4"/>
      <c r="T30" s="4"/>
      <c r="U30" s="4"/>
      <c r="V30" s="4"/>
      <c r="W30" s="4"/>
      <c r="X30" s="4"/>
      <c r="Y30" s="4"/>
      <c r="Z30" s="4"/>
      <c r="AA30" s="4"/>
      <c r="AB30" s="4"/>
      <c r="AC30" s="4"/>
      <c r="AD30" s="4"/>
      <c r="AE30" s="4"/>
      <c r="AF30" s="4"/>
    </row>
    <row r="31" spans="1:32" x14ac:dyDescent="0.25">
      <c r="A31" s="32"/>
      <c r="B31" s="1"/>
      <c r="C31" s="33"/>
      <c r="D31" s="33"/>
      <c r="E31" s="33"/>
      <c r="F31" s="33"/>
      <c r="G31" s="33"/>
      <c r="H31" s="33"/>
      <c r="I31" s="33"/>
      <c r="J31" s="33"/>
      <c r="K31" s="33"/>
      <c r="L31" s="33"/>
      <c r="M31" s="33"/>
      <c r="N31" s="33"/>
      <c r="O31" s="33"/>
      <c r="P31" s="1"/>
      <c r="Q31" s="32"/>
      <c r="R31" s="1"/>
      <c r="S31" s="1"/>
      <c r="T31" s="1"/>
      <c r="U31" s="1"/>
      <c r="V31" s="1"/>
      <c r="W31" s="1"/>
      <c r="X31" s="1"/>
      <c r="Y31" s="1"/>
      <c r="Z31" s="1"/>
      <c r="AA31" s="1"/>
      <c r="AB31" s="1"/>
      <c r="AC31" s="1"/>
      <c r="AD31" s="1"/>
      <c r="AE31" s="1"/>
      <c r="AF31" s="1"/>
    </row>
    <row r="32" spans="1:32" ht="23.25" x14ac:dyDescent="0.25">
      <c r="A32" s="95" t="s">
        <v>77</v>
      </c>
      <c r="B32" s="95"/>
      <c r="C32" s="95"/>
      <c r="D32" s="95"/>
      <c r="E32" s="95"/>
      <c r="F32" s="95"/>
      <c r="G32" s="95"/>
      <c r="H32" s="95"/>
      <c r="I32" s="95"/>
      <c r="J32" s="95"/>
      <c r="K32" s="95"/>
      <c r="L32" s="95"/>
      <c r="M32" s="95"/>
      <c r="N32" s="95"/>
      <c r="O32" s="95"/>
      <c r="P32" s="95"/>
      <c r="Q32" s="95"/>
      <c r="R32" s="95"/>
      <c r="S32" s="95"/>
      <c r="T32" s="95"/>
      <c r="U32" s="95"/>
      <c r="V32" s="95"/>
      <c r="W32" s="95"/>
      <c r="X32" s="95"/>
      <c r="Y32" s="95"/>
      <c r="Z32" s="95"/>
      <c r="AA32" s="95"/>
      <c r="AB32" s="95"/>
      <c r="AC32" s="95"/>
      <c r="AD32" s="95"/>
      <c r="AE32" s="1"/>
      <c r="AF32" s="1"/>
    </row>
    <row r="33" spans="1:31" ht="15.75" x14ac:dyDescent="0.25">
      <c r="B33" s="117" t="s">
        <v>88</v>
      </c>
      <c r="C33" s="117"/>
      <c r="D33" s="117"/>
      <c r="E33" s="117"/>
      <c r="F33" s="117"/>
      <c r="G33" s="117"/>
      <c r="H33" s="117"/>
      <c r="I33" s="117"/>
      <c r="J33" s="117"/>
      <c r="K33" s="117"/>
      <c r="L33" s="117"/>
      <c r="M33" s="117"/>
      <c r="N33" s="117"/>
      <c r="O33" s="117"/>
      <c r="S33" s="117" t="s">
        <v>88</v>
      </c>
      <c r="T33" s="117"/>
      <c r="U33" s="117"/>
      <c r="V33" s="117"/>
      <c r="W33" s="117"/>
      <c r="X33" s="117"/>
      <c r="Y33" s="117"/>
      <c r="Z33" s="117"/>
      <c r="AA33" s="117"/>
      <c r="AB33" s="117"/>
      <c r="AC33" s="117"/>
      <c r="AD33" s="117"/>
      <c r="AE33" s="117"/>
    </row>
    <row r="34" spans="1:31" ht="36" x14ac:dyDescent="0.25">
      <c r="A34" s="4"/>
      <c r="B34" s="5"/>
      <c r="C34" s="97" t="s">
        <v>1</v>
      </c>
      <c r="D34" s="97"/>
      <c r="E34" s="97"/>
      <c r="F34" s="97"/>
      <c r="G34" s="97"/>
      <c r="H34" s="97"/>
      <c r="I34" s="97"/>
      <c r="J34" s="97"/>
      <c r="K34" s="97"/>
      <c r="L34" s="97"/>
      <c r="M34" s="97"/>
      <c r="N34" s="97"/>
      <c r="O34" s="97"/>
      <c r="P34" s="4"/>
      <c r="Q34" s="4"/>
      <c r="R34" s="4"/>
      <c r="S34" s="97" t="s">
        <v>1</v>
      </c>
      <c r="T34" s="97"/>
      <c r="U34" s="97"/>
      <c r="V34" s="97"/>
      <c r="W34" s="97"/>
      <c r="X34" s="97"/>
      <c r="Y34" s="97"/>
      <c r="Z34" s="97"/>
      <c r="AA34" s="97"/>
      <c r="AB34" s="97"/>
      <c r="AC34" s="97"/>
      <c r="AD34" s="97"/>
      <c r="AE34" s="97"/>
    </row>
    <row r="35" spans="1:31" ht="15.75" x14ac:dyDescent="0.25">
      <c r="A35" s="4"/>
      <c r="B35" s="5"/>
      <c r="C35" s="98" t="s">
        <v>52</v>
      </c>
      <c r="D35" s="98"/>
      <c r="E35" s="98"/>
      <c r="F35" s="98"/>
      <c r="G35" s="98"/>
      <c r="H35" s="98"/>
      <c r="I35" s="98"/>
      <c r="J35" s="98"/>
      <c r="K35" s="98"/>
      <c r="L35" s="98"/>
      <c r="M35" s="98"/>
      <c r="N35" s="98"/>
      <c r="O35" s="98"/>
      <c r="P35" s="4"/>
      <c r="Q35" s="4"/>
      <c r="R35" s="4"/>
      <c r="S35" s="98" t="s">
        <v>52</v>
      </c>
      <c r="T35" s="98"/>
      <c r="U35" s="98"/>
      <c r="V35" s="98"/>
      <c r="W35" s="98"/>
      <c r="X35" s="98"/>
      <c r="Y35" s="98"/>
      <c r="Z35" s="98"/>
      <c r="AA35" s="98"/>
      <c r="AB35" s="98"/>
      <c r="AC35" s="98"/>
      <c r="AD35" s="98"/>
      <c r="AE35" s="98"/>
    </row>
    <row r="36" spans="1:31" ht="21" x14ac:dyDescent="0.25">
      <c r="A36" s="29" t="s">
        <v>52</v>
      </c>
      <c r="B36" s="1"/>
      <c r="C36" s="3" t="s">
        <v>2</v>
      </c>
      <c r="D36" s="3" t="s">
        <v>3</v>
      </c>
      <c r="E36" s="3" t="s">
        <v>4</v>
      </c>
      <c r="F36" s="3" t="s">
        <v>5</v>
      </c>
      <c r="G36" s="3" t="s">
        <v>6</v>
      </c>
      <c r="H36" s="3" t="s">
        <v>7</v>
      </c>
      <c r="I36" s="3" t="s">
        <v>8</v>
      </c>
      <c r="J36" s="3" t="s">
        <v>9</v>
      </c>
      <c r="K36" s="3" t="s">
        <v>10</v>
      </c>
      <c r="L36" s="3" t="s">
        <v>11</v>
      </c>
      <c r="M36" s="3" t="s">
        <v>25</v>
      </c>
      <c r="N36" s="3" t="s">
        <v>26</v>
      </c>
      <c r="O36" s="3" t="s">
        <v>12</v>
      </c>
      <c r="P36" s="4"/>
      <c r="Q36" s="29" t="s">
        <v>51</v>
      </c>
      <c r="R36" s="1"/>
      <c r="S36" s="3" t="s">
        <v>2</v>
      </c>
      <c r="T36" s="3" t="s">
        <v>3</v>
      </c>
      <c r="U36" s="3" t="s">
        <v>4</v>
      </c>
      <c r="V36" s="3" t="s">
        <v>5</v>
      </c>
      <c r="W36" s="3" t="s">
        <v>6</v>
      </c>
      <c r="X36" s="3" t="s">
        <v>7</v>
      </c>
      <c r="Y36" s="3" t="s">
        <v>8</v>
      </c>
      <c r="Z36" s="3" t="s">
        <v>9</v>
      </c>
      <c r="AA36" s="3" t="s">
        <v>10</v>
      </c>
      <c r="AB36" s="3" t="s">
        <v>11</v>
      </c>
      <c r="AC36" s="3" t="s">
        <v>25</v>
      </c>
      <c r="AD36" s="3" t="s">
        <v>26</v>
      </c>
      <c r="AE36" s="3" t="s">
        <v>12</v>
      </c>
    </row>
    <row r="37" spans="1:31" x14ac:dyDescent="0.25">
      <c r="A37" s="96" t="s">
        <v>71</v>
      </c>
      <c r="B37" s="3" t="s">
        <v>2</v>
      </c>
      <c r="C37" s="23" t="str">
        <f>IF(C6&lt;10,10-C6,"")</f>
        <v/>
      </c>
      <c r="D37" s="23">
        <f>IF(D6&lt;10,10-D6,"")</f>
        <v>3</v>
      </c>
      <c r="E37" s="23">
        <f>IF(E6&lt;10,10-E6,"")</f>
        <v>3</v>
      </c>
      <c r="F37" s="23" t="str">
        <f>IF(F6&lt;10,10-F6,"")</f>
        <v/>
      </c>
      <c r="G37" s="23">
        <f>IF(G6&lt;10,10-G6,"")</f>
        <v>4</v>
      </c>
      <c r="H37" s="23">
        <f t="shared" ref="H37:O37" si="0">IF(H6&lt;4,4-H6,"")</f>
        <v>2</v>
      </c>
      <c r="I37" s="23">
        <f t="shared" si="0"/>
        <v>3</v>
      </c>
      <c r="J37" s="23" t="str">
        <f t="shared" si="0"/>
        <v/>
      </c>
      <c r="K37" s="23">
        <f t="shared" si="0"/>
        <v>1</v>
      </c>
      <c r="L37" s="23">
        <f t="shared" si="0"/>
        <v>1</v>
      </c>
      <c r="M37" s="23">
        <f t="shared" si="0"/>
        <v>1</v>
      </c>
      <c r="N37" s="23" t="str">
        <f t="shared" si="0"/>
        <v/>
      </c>
      <c r="O37" s="23">
        <f t="shared" si="0"/>
        <v>3</v>
      </c>
      <c r="P37" s="4"/>
      <c r="Q37" s="96" t="s">
        <v>72</v>
      </c>
      <c r="R37" s="3" t="s">
        <v>29</v>
      </c>
      <c r="S37" s="23">
        <f>IF(S6&lt;6,6-S6,"")</f>
        <v>2</v>
      </c>
      <c r="T37" s="23" t="str">
        <f t="shared" ref="T37:W37" si="1">IF(T6&lt;6,6-T6,"")</f>
        <v/>
      </c>
      <c r="U37" s="23" t="str">
        <f t="shared" si="1"/>
        <v/>
      </c>
      <c r="V37" s="23" t="str">
        <f t="shared" si="1"/>
        <v/>
      </c>
      <c r="W37" s="23" t="str">
        <f t="shared" si="1"/>
        <v/>
      </c>
      <c r="X37" s="23" t="str">
        <f t="shared" ref="X37:AE37" si="2">IF(X6&lt;4,4-X6,"")</f>
        <v/>
      </c>
      <c r="Y37" s="23" t="str">
        <f t="shared" si="2"/>
        <v/>
      </c>
      <c r="Z37" s="23">
        <f t="shared" si="2"/>
        <v>1</v>
      </c>
      <c r="AA37" s="23" t="str">
        <f t="shared" si="2"/>
        <v/>
      </c>
      <c r="AB37" s="23" t="str">
        <f t="shared" si="2"/>
        <v/>
      </c>
      <c r="AC37" s="23" t="str">
        <f t="shared" si="2"/>
        <v/>
      </c>
      <c r="AD37" s="23" t="str">
        <f t="shared" si="2"/>
        <v/>
      </c>
      <c r="AE37" s="23" t="str">
        <f t="shared" si="2"/>
        <v/>
      </c>
    </row>
    <row r="38" spans="1:31" x14ac:dyDescent="0.25">
      <c r="A38" s="96"/>
      <c r="B38" s="3" t="s">
        <v>3</v>
      </c>
      <c r="C38" s="31">
        <f t="shared" ref="C38:G40" si="3">IF(C7&lt;8,8-C7,"")</f>
        <v>2</v>
      </c>
      <c r="D38" s="31">
        <f t="shared" si="3"/>
        <v>2</v>
      </c>
      <c r="E38" s="31">
        <f t="shared" si="3"/>
        <v>4</v>
      </c>
      <c r="F38" s="31">
        <f t="shared" si="3"/>
        <v>2</v>
      </c>
      <c r="G38" s="31">
        <f t="shared" si="3"/>
        <v>2</v>
      </c>
      <c r="H38" s="31" t="str">
        <f t="shared" ref="H38:O38" si="4">IF(H7&lt;4,4-H7,"")</f>
        <v/>
      </c>
      <c r="I38" s="31" t="str">
        <f t="shared" si="4"/>
        <v/>
      </c>
      <c r="J38" s="31" t="str">
        <f t="shared" si="4"/>
        <v/>
      </c>
      <c r="K38" s="31" t="str">
        <f t="shared" si="4"/>
        <v/>
      </c>
      <c r="L38" s="31" t="str">
        <f t="shared" si="4"/>
        <v/>
      </c>
      <c r="M38" s="31" t="str">
        <f t="shared" si="4"/>
        <v/>
      </c>
      <c r="N38" s="31" t="str">
        <f t="shared" si="4"/>
        <v/>
      </c>
      <c r="O38" s="31" t="str">
        <f t="shared" si="4"/>
        <v/>
      </c>
      <c r="P38" s="4"/>
      <c r="Q38" s="96"/>
      <c r="R38" s="3" t="s">
        <v>30</v>
      </c>
      <c r="S38" s="2">
        <f>IF(S7&lt;4,4-S7,"")</f>
        <v>1</v>
      </c>
      <c r="T38" s="2">
        <f t="shared" ref="T38:AE38" si="5">IF(T7&lt;4,4-T7,"")</f>
        <v>2</v>
      </c>
      <c r="U38" s="2" t="str">
        <f t="shared" si="5"/>
        <v/>
      </c>
      <c r="V38" s="2" t="str">
        <f t="shared" si="5"/>
        <v/>
      </c>
      <c r="W38" s="2" t="str">
        <f t="shared" si="5"/>
        <v/>
      </c>
      <c r="X38" s="2" t="str">
        <f t="shared" si="5"/>
        <v/>
      </c>
      <c r="Y38" s="2" t="str">
        <f t="shared" si="5"/>
        <v/>
      </c>
      <c r="Z38" s="2" t="str">
        <f t="shared" si="5"/>
        <v/>
      </c>
      <c r="AA38" s="2">
        <f t="shared" si="5"/>
        <v>1</v>
      </c>
      <c r="AB38" s="2" t="str">
        <f t="shared" si="5"/>
        <v/>
      </c>
      <c r="AC38" s="2" t="str">
        <f t="shared" si="5"/>
        <v/>
      </c>
      <c r="AD38" s="2" t="str">
        <f t="shared" si="5"/>
        <v/>
      </c>
      <c r="AE38" s="2" t="str">
        <f t="shared" si="5"/>
        <v/>
      </c>
    </row>
    <row r="39" spans="1:31" x14ac:dyDescent="0.25">
      <c r="A39" s="96"/>
      <c r="B39" s="3" t="s">
        <v>4</v>
      </c>
      <c r="C39" s="23">
        <f t="shared" si="3"/>
        <v>3</v>
      </c>
      <c r="D39" s="23" t="str">
        <f t="shared" si="3"/>
        <v/>
      </c>
      <c r="E39" s="23">
        <f t="shared" si="3"/>
        <v>2</v>
      </c>
      <c r="F39" s="23" t="str">
        <f t="shared" si="3"/>
        <v/>
      </c>
      <c r="G39" s="23">
        <f t="shared" si="3"/>
        <v>1</v>
      </c>
      <c r="H39" s="23" t="str">
        <f t="shared" ref="H39:O39" si="6">IF(H8&lt;4,4-H8,"")</f>
        <v/>
      </c>
      <c r="I39" s="23" t="str">
        <f t="shared" si="6"/>
        <v/>
      </c>
      <c r="J39" s="23" t="str">
        <f t="shared" si="6"/>
        <v/>
      </c>
      <c r="K39" s="23" t="str">
        <f t="shared" si="6"/>
        <v/>
      </c>
      <c r="L39" s="23">
        <f t="shared" si="6"/>
        <v>1</v>
      </c>
      <c r="M39" s="23" t="str">
        <f t="shared" si="6"/>
        <v/>
      </c>
      <c r="N39" s="23" t="str">
        <f t="shared" si="6"/>
        <v/>
      </c>
      <c r="O39" s="23" t="str">
        <f t="shared" si="6"/>
        <v/>
      </c>
      <c r="P39" s="4"/>
      <c r="Q39" s="96"/>
      <c r="R39" s="3" t="s">
        <v>31</v>
      </c>
      <c r="S39" s="23" t="str">
        <f t="shared" ref="S39:AE39" si="7">IF(S8&lt;4,4-S8,"")</f>
        <v/>
      </c>
      <c r="T39" s="23">
        <f t="shared" si="7"/>
        <v>1</v>
      </c>
      <c r="U39" s="23" t="str">
        <f t="shared" si="7"/>
        <v/>
      </c>
      <c r="V39" s="23" t="str">
        <f t="shared" si="7"/>
        <v/>
      </c>
      <c r="W39" s="23" t="str">
        <f t="shared" si="7"/>
        <v/>
      </c>
      <c r="X39" s="23" t="str">
        <f t="shared" si="7"/>
        <v/>
      </c>
      <c r="Y39" s="23" t="str">
        <f t="shared" si="7"/>
        <v/>
      </c>
      <c r="Z39" s="23" t="str">
        <f t="shared" si="7"/>
        <v/>
      </c>
      <c r="AA39" s="23" t="str">
        <f t="shared" si="7"/>
        <v/>
      </c>
      <c r="AB39" s="23" t="str">
        <f t="shared" si="7"/>
        <v/>
      </c>
      <c r="AC39" s="23" t="str">
        <f t="shared" si="7"/>
        <v/>
      </c>
      <c r="AD39" s="23" t="str">
        <f t="shared" si="7"/>
        <v/>
      </c>
      <c r="AE39" s="23" t="str">
        <f t="shared" si="7"/>
        <v/>
      </c>
    </row>
    <row r="40" spans="1:31" x14ac:dyDescent="0.25">
      <c r="A40" s="96"/>
      <c r="B40" s="3" t="s">
        <v>5</v>
      </c>
      <c r="C40" s="31">
        <f t="shared" si="3"/>
        <v>1</v>
      </c>
      <c r="D40" s="31">
        <f t="shared" si="3"/>
        <v>2</v>
      </c>
      <c r="E40" s="31">
        <f t="shared" si="3"/>
        <v>2</v>
      </c>
      <c r="F40" s="31">
        <f t="shared" si="3"/>
        <v>1</v>
      </c>
      <c r="G40" s="31">
        <f t="shared" si="3"/>
        <v>2</v>
      </c>
      <c r="H40" s="31" t="str">
        <f t="shared" ref="H40:O40" si="8">IF(H9&lt;4,4-H9,"")</f>
        <v/>
      </c>
      <c r="I40" s="31">
        <f t="shared" si="8"/>
        <v>1</v>
      </c>
      <c r="J40" s="31" t="str">
        <f t="shared" si="8"/>
        <v/>
      </c>
      <c r="K40" s="31" t="str">
        <f t="shared" si="8"/>
        <v/>
      </c>
      <c r="L40" s="31" t="str">
        <f t="shared" si="8"/>
        <v/>
      </c>
      <c r="M40" s="31" t="str">
        <f t="shared" si="8"/>
        <v/>
      </c>
      <c r="N40" s="31" t="str">
        <f t="shared" si="8"/>
        <v/>
      </c>
      <c r="O40" s="31" t="str">
        <f t="shared" si="8"/>
        <v/>
      </c>
      <c r="P40" s="4"/>
      <c r="Q40" s="96"/>
      <c r="R40" s="3" t="s">
        <v>32</v>
      </c>
      <c r="S40" s="2" t="str">
        <f t="shared" ref="S40:AE40" si="9">IF(S9&lt;4,4-S9,"")</f>
        <v/>
      </c>
      <c r="T40" s="2" t="str">
        <f t="shared" si="9"/>
        <v/>
      </c>
      <c r="U40" s="2" t="str">
        <f t="shared" si="9"/>
        <v/>
      </c>
      <c r="V40" s="2" t="str">
        <f t="shared" si="9"/>
        <v/>
      </c>
      <c r="W40" s="2" t="str">
        <f t="shared" si="9"/>
        <v/>
      </c>
      <c r="X40" s="2" t="str">
        <f t="shared" si="9"/>
        <v/>
      </c>
      <c r="Y40" s="2" t="str">
        <f t="shared" si="9"/>
        <v/>
      </c>
      <c r="Z40" s="2" t="str">
        <f t="shared" si="9"/>
        <v/>
      </c>
      <c r="AA40" s="2" t="str">
        <f t="shared" si="9"/>
        <v/>
      </c>
      <c r="AB40" s="2" t="str">
        <f t="shared" si="9"/>
        <v/>
      </c>
      <c r="AC40" s="2" t="str">
        <f t="shared" si="9"/>
        <v/>
      </c>
      <c r="AD40" s="2" t="str">
        <f t="shared" si="9"/>
        <v/>
      </c>
      <c r="AE40" s="2">
        <f t="shared" si="9"/>
        <v>2</v>
      </c>
    </row>
    <row r="41" spans="1:31" x14ac:dyDescent="0.25">
      <c r="A41" s="96"/>
      <c r="B41" s="3" t="s">
        <v>6</v>
      </c>
      <c r="C41" s="23">
        <f>IF(C10&lt;8,8-C10,"")</f>
        <v>1</v>
      </c>
      <c r="D41" s="23" t="str">
        <f t="shared" ref="C41:G45" si="10">IF(D10&lt;6,6-D10,"")</f>
        <v/>
      </c>
      <c r="E41" s="23">
        <f t="shared" si="10"/>
        <v>1</v>
      </c>
      <c r="F41" s="23">
        <f t="shared" si="10"/>
        <v>1</v>
      </c>
      <c r="G41" s="23" t="str">
        <f t="shared" si="10"/>
        <v/>
      </c>
      <c r="H41" s="23">
        <f t="shared" ref="H41:O41" si="11">IF(H10&lt;4,4-H10,"")</f>
        <v>1</v>
      </c>
      <c r="I41" s="23">
        <f t="shared" si="11"/>
        <v>2</v>
      </c>
      <c r="J41" s="23">
        <f t="shared" si="11"/>
        <v>2</v>
      </c>
      <c r="K41" s="23">
        <f t="shared" si="11"/>
        <v>1</v>
      </c>
      <c r="L41" s="23" t="str">
        <f t="shared" si="11"/>
        <v/>
      </c>
      <c r="M41" s="23">
        <f t="shared" si="11"/>
        <v>1</v>
      </c>
      <c r="N41" s="23" t="str">
        <f t="shared" si="11"/>
        <v/>
      </c>
      <c r="O41" s="23" t="str">
        <f t="shared" si="11"/>
        <v/>
      </c>
      <c r="P41" s="4"/>
      <c r="Q41" s="96"/>
      <c r="R41" s="3" t="s">
        <v>33</v>
      </c>
      <c r="S41" s="23">
        <f t="shared" ref="S41:AE41" si="12">IF(S10&lt;4,4-S10,"")</f>
        <v>1</v>
      </c>
      <c r="T41" s="23">
        <f t="shared" si="12"/>
        <v>1</v>
      </c>
      <c r="U41" s="23" t="str">
        <f t="shared" si="12"/>
        <v/>
      </c>
      <c r="V41" s="23" t="str">
        <f t="shared" si="12"/>
        <v/>
      </c>
      <c r="W41" s="23" t="str">
        <f t="shared" si="12"/>
        <v/>
      </c>
      <c r="X41" s="23" t="str">
        <f t="shared" si="12"/>
        <v/>
      </c>
      <c r="Y41" s="23" t="str">
        <f t="shared" si="12"/>
        <v/>
      </c>
      <c r="Z41" s="23" t="str">
        <f t="shared" si="12"/>
        <v/>
      </c>
      <c r="AA41" s="23" t="str">
        <f t="shared" si="12"/>
        <v/>
      </c>
      <c r="AB41" s="23" t="str">
        <f t="shared" si="12"/>
        <v/>
      </c>
      <c r="AC41" s="23" t="str">
        <f t="shared" si="12"/>
        <v/>
      </c>
      <c r="AD41" s="23" t="str">
        <f t="shared" si="12"/>
        <v/>
      </c>
      <c r="AE41" s="23" t="str">
        <f t="shared" si="12"/>
        <v/>
      </c>
    </row>
    <row r="42" spans="1:31" x14ac:dyDescent="0.25">
      <c r="A42" s="96"/>
      <c r="B42" s="3" t="s">
        <v>7</v>
      </c>
      <c r="C42" s="31">
        <f>IF(C11&lt;8,8-C11,"")</f>
        <v>1</v>
      </c>
      <c r="D42" s="31" t="str">
        <f t="shared" ref="D42:O42" si="13">IF(D11&lt;3,3-D11,"")</f>
        <v/>
      </c>
      <c r="E42" s="31" t="str">
        <f t="shared" si="13"/>
        <v/>
      </c>
      <c r="F42" s="31" t="str">
        <f t="shared" si="13"/>
        <v/>
      </c>
      <c r="G42" s="31" t="str">
        <f t="shared" si="13"/>
        <v/>
      </c>
      <c r="H42" s="31" t="str">
        <f t="shared" si="13"/>
        <v/>
      </c>
      <c r="I42" s="31" t="str">
        <f t="shared" si="13"/>
        <v/>
      </c>
      <c r="J42" s="31" t="str">
        <f t="shared" si="13"/>
        <v/>
      </c>
      <c r="K42" s="31">
        <f t="shared" si="13"/>
        <v>2</v>
      </c>
      <c r="L42" s="31" t="str">
        <f t="shared" si="13"/>
        <v/>
      </c>
      <c r="M42" s="31" t="str">
        <f t="shared" si="13"/>
        <v/>
      </c>
      <c r="N42" s="31" t="str">
        <f t="shared" si="13"/>
        <v/>
      </c>
      <c r="O42" s="31" t="str">
        <f t="shared" si="13"/>
        <v/>
      </c>
      <c r="P42" s="4"/>
      <c r="Q42" s="96"/>
      <c r="R42" s="3" t="s">
        <v>34</v>
      </c>
      <c r="S42" s="2">
        <f t="shared" ref="S42:AE42" si="14">IF(S11&lt;4,4-S11,"")</f>
        <v>1</v>
      </c>
      <c r="T42" s="2" t="str">
        <f t="shared" si="14"/>
        <v/>
      </c>
      <c r="U42" s="2" t="str">
        <f t="shared" si="14"/>
        <v/>
      </c>
      <c r="V42" s="2" t="str">
        <f t="shared" si="14"/>
        <v/>
      </c>
      <c r="W42" s="2" t="str">
        <f t="shared" si="14"/>
        <v/>
      </c>
      <c r="X42" s="2" t="str">
        <f t="shared" si="14"/>
        <v/>
      </c>
      <c r="Y42" s="2" t="str">
        <f t="shared" si="14"/>
        <v/>
      </c>
      <c r="Z42" s="2" t="str">
        <f t="shared" si="14"/>
        <v/>
      </c>
      <c r="AA42" s="2" t="str">
        <f t="shared" si="14"/>
        <v/>
      </c>
      <c r="AB42" s="2" t="str">
        <f t="shared" si="14"/>
        <v/>
      </c>
      <c r="AC42" s="2" t="str">
        <f t="shared" si="14"/>
        <v/>
      </c>
      <c r="AD42" s="2" t="str">
        <f t="shared" si="14"/>
        <v/>
      </c>
      <c r="AE42" s="2" t="str">
        <f t="shared" si="14"/>
        <v/>
      </c>
    </row>
    <row r="43" spans="1:31" x14ac:dyDescent="0.25">
      <c r="A43" s="96"/>
      <c r="B43" s="3" t="s">
        <v>8</v>
      </c>
      <c r="C43" s="23">
        <f>IF(C12&lt;8,8-C12,"")</f>
        <v>1</v>
      </c>
      <c r="D43" s="23" t="str">
        <f t="shared" ref="D43:O43" si="15">IF(D12&lt;3,3-D12,"")</f>
        <v/>
      </c>
      <c r="E43" s="23">
        <f t="shared" si="15"/>
        <v>1</v>
      </c>
      <c r="F43" s="23" t="str">
        <f t="shared" si="15"/>
        <v/>
      </c>
      <c r="G43" s="23" t="str">
        <f t="shared" si="15"/>
        <v/>
      </c>
      <c r="H43" s="23" t="str">
        <f t="shared" si="15"/>
        <v/>
      </c>
      <c r="I43" s="23" t="str">
        <f t="shared" si="15"/>
        <v/>
      </c>
      <c r="J43" s="23" t="str">
        <f t="shared" si="15"/>
        <v/>
      </c>
      <c r="K43" s="23">
        <f t="shared" si="15"/>
        <v>1</v>
      </c>
      <c r="L43" s="23" t="str">
        <f t="shared" si="15"/>
        <v/>
      </c>
      <c r="M43" s="23" t="str">
        <f t="shared" si="15"/>
        <v/>
      </c>
      <c r="N43" s="23" t="str">
        <f t="shared" si="15"/>
        <v/>
      </c>
      <c r="O43" s="23">
        <f t="shared" si="15"/>
        <v>1</v>
      </c>
      <c r="P43" s="4"/>
      <c r="Q43" s="96"/>
      <c r="R43" s="3" t="s">
        <v>35</v>
      </c>
      <c r="S43" s="23" t="str">
        <f t="shared" ref="S43:AE43" si="16">IF(S12&lt;4,4-S12,"")</f>
        <v/>
      </c>
      <c r="T43" s="23" t="str">
        <f t="shared" si="16"/>
        <v/>
      </c>
      <c r="U43" s="23" t="str">
        <f t="shared" si="16"/>
        <v/>
      </c>
      <c r="V43" s="23" t="str">
        <f t="shared" si="16"/>
        <v/>
      </c>
      <c r="W43" s="23" t="str">
        <f t="shared" si="16"/>
        <v/>
      </c>
      <c r="X43" s="23" t="str">
        <f t="shared" si="16"/>
        <v/>
      </c>
      <c r="Y43" s="23" t="str">
        <f t="shared" si="16"/>
        <v/>
      </c>
      <c r="Z43" s="23">
        <f t="shared" si="16"/>
        <v>1</v>
      </c>
      <c r="AA43" s="23" t="str">
        <f t="shared" si="16"/>
        <v/>
      </c>
      <c r="AB43" s="23" t="str">
        <f t="shared" si="16"/>
        <v/>
      </c>
      <c r="AC43" s="23" t="str">
        <f t="shared" si="16"/>
        <v/>
      </c>
      <c r="AD43" s="23" t="str">
        <f t="shared" si="16"/>
        <v/>
      </c>
      <c r="AE43" s="23" t="str">
        <f t="shared" si="16"/>
        <v/>
      </c>
    </row>
    <row r="44" spans="1:31" x14ac:dyDescent="0.25">
      <c r="A44" s="96"/>
      <c r="B44" s="3" t="s">
        <v>9</v>
      </c>
      <c r="C44" s="31">
        <f t="shared" si="10"/>
        <v>2</v>
      </c>
      <c r="D44" s="31" t="str">
        <f t="shared" ref="D44:O44" si="17">IF(D13&lt;3,3-D13,"")</f>
        <v/>
      </c>
      <c r="E44" s="31" t="str">
        <f t="shared" si="17"/>
        <v/>
      </c>
      <c r="F44" s="31" t="str">
        <f t="shared" si="17"/>
        <v/>
      </c>
      <c r="G44" s="31" t="str">
        <f t="shared" si="17"/>
        <v/>
      </c>
      <c r="H44" s="31" t="str">
        <f t="shared" si="17"/>
        <v/>
      </c>
      <c r="I44" s="31" t="str">
        <f t="shared" si="17"/>
        <v/>
      </c>
      <c r="J44" s="31" t="str">
        <f t="shared" si="17"/>
        <v/>
      </c>
      <c r="K44" s="31" t="str">
        <f t="shared" si="17"/>
        <v/>
      </c>
      <c r="L44" s="31" t="str">
        <f t="shared" si="17"/>
        <v/>
      </c>
      <c r="M44" s="31" t="str">
        <f t="shared" si="17"/>
        <v/>
      </c>
      <c r="N44" s="31" t="str">
        <f t="shared" si="17"/>
        <v/>
      </c>
      <c r="O44" s="31" t="str">
        <f t="shared" si="17"/>
        <v/>
      </c>
      <c r="P44" s="4"/>
      <c r="Q44" s="96"/>
      <c r="R44" s="3" t="s">
        <v>36</v>
      </c>
      <c r="S44" s="2" t="str">
        <f t="shared" ref="S44:AE44" si="18">IF(S13&lt;4,4-S13,"")</f>
        <v/>
      </c>
      <c r="T44" s="2" t="str">
        <f t="shared" si="18"/>
        <v/>
      </c>
      <c r="U44" s="2" t="str">
        <f t="shared" si="18"/>
        <v/>
      </c>
      <c r="V44" s="2" t="str">
        <f t="shared" si="18"/>
        <v/>
      </c>
      <c r="W44" s="2" t="str">
        <f t="shared" si="18"/>
        <v/>
      </c>
      <c r="X44" s="2" t="str">
        <f t="shared" si="18"/>
        <v/>
      </c>
      <c r="Y44" s="2" t="str">
        <f t="shared" si="18"/>
        <v/>
      </c>
      <c r="Z44" s="2" t="str">
        <f t="shared" si="18"/>
        <v/>
      </c>
      <c r="AA44" s="2" t="str">
        <f t="shared" si="18"/>
        <v/>
      </c>
      <c r="AB44" s="2" t="str">
        <f t="shared" si="18"/>
        <v/>
      </c>
      <c r="AC44" s="2" t="str">
        <f t="shared" si="18"/>
        <v/>
      </c>
      <c r="AD44" s="2" t="str">
        <f t="shared" si="18"/>
        <v/>
      </c>
      <c r="AE44" s="2" t="str">
        <f t="shared" si="18"/>
        <v/>
      </c>
    </row>
    <row r="45" spans="1:31" x14ac:dyDescent="0.25">
      <c r="A45" s="96"/>
      <c r="B45" s="3" t="s">
        <v>10</v>
      </c>
      <c r="C45" s="23">
        <f t="shared" si="10"/>
        <v>1</v>
      </c>
      <c r="D45" s="23" t="str">
        <f t="shared" ref="D45:O45" si="19">IF(D14&lt;3,3-D14,"")</f>
        <v/>
      </c>
      <c r="E45" s="23">
        <f t="shared" si="19"/>
        <v>1</v>
      </c>
      <c r="F45" s="23" t="str">
        <f t="shared" si="19"/>
        <v/>
      </c>
      <c r="G45" s="23" t="str">
        <f t="shared" si="19"/>
        <v/>
      </c>
      <c r="H45" s="23" t="str">
        <f t="shared" si="19"/>
        <v/>
      </c>
      <c r="I45" s="23" t="str">
        <f t="shared" si="19"/>
        <v/>
      </c>
      <c r="J45" s="23" t="str">
        <f t="shared" si="19"/>
        <v/>
      </c>
      <c r="K45" s="23" t="str">
        <f t="shared" si="19"/>
        <v/>
      </c>
      <c r="L45" s="23" t="str">
        <f t="shared" si="19"/>
        <v/>
      </c>
      <c r="M45" s="23">
        <f t="shared" si="19"/>
        <v>1</v>
      </c>
      <c r="N45" s="23" t="str">
        <f t="shared" si="19"/>
        <v/>
      </c>
      <c r="O45" s="23" t="str">
        <f t="shared" si="19"/>
        <v/>
      </c>
      <c r="P45" s="4"/>
      <c r="Q45" s="96"/>
      <c r="R45" s="3" t="s">
        <v>37</v>
      </c>
      <c r="S45" s="23" t="str">
        <f t="shared" ref="S45:AE45" si="20">IF(S14&lt;4,4-S14,"")</f>
        <v/>
      </c>
      <c r="T45" s="23" t="str">
        <f t="shared" si="20"/>
        <v/>
      </c>
      <c r="U45" s="23" t="str">
        <f t="shared" si="20"/>
        <v/>
      </c>
      <c r="V45" s="23" t="str">
        <f t="shared" si="20"/>
        <v/>
      </c>
      <c r="W45" s="23" t="str">
        <f t="shared" si="20"/>
        <v/>
      </c>
      <c r="X45" s="23" t="str">
        <f t="shared" si="20"/>
        <v/>
      </c>
      <c r="Y45" s="23" t="str">
        <f t="shared" si="20"/>
        <v/>
      </c>
      <c r="Z45" s="23" t="str">
        <f t="shared" si="20"/>
        <v/>
      </c>
      <c r="AA45" s="23" t="str">
        <f t="shared" si="20"/>
        <v/>
      </c>
      <c r="AB45" s="23" t="str">
        <f t="shared" si="20"/>
        <v/>
      </c>
      <c r="AC45" s="23" t="str">
        <f t="shared" si="20"/>
        <v/>
      </c>
      <c r="AD45" s="23">
        <f t="shared" si="20"/>
        <v>1</v>
      </c>
      <c r="AE45" s="23" t="str">
        <f t="shared" si="20"/>
        <v/>
      </c>
    </row>
    <row r="46" spans="1:31" x14ac:dyDescent="0.25">
      <c r="A46" s="96"/>
      <c r="B46" s="3" t="s">
        <v>11</v>
      </c>
      <c r="C46" s="31" t="str">
        <f>IF(C15&lt;6,6-C15,"")</f>
        <v/>
      </c>
      <c r="D46" s="31" t="str">
        <f t="shared" ref="D46:O46" si="21">IF(D15&lt;3,3-D15,"")</f>
        <v/>
      </c>
      <c r="E46" s="31" t="str">
        <f t="shared" si="21"/>
        <v/>
      </c>
      <c r="F46" s="31" t="str">
        <f t="shared" si="21"/>
        <v/>
      </c>
      <c r="G46" s="31" t="str">
        <f t="shared" si="21"/>
        <v/>
      </c>
      <c r="H46" s="31" t="str">
        <f t="shared" si="21"/>
        <v/>
      </c>
      <c r="I46" s="31" t="str">
        <f t="shared" si="21"/>
        <v/>
      </c>
      <c r="J46" s="31" t="str">
        <f t="shared" si="21"/>
        <v/>
      </c>
      <c r="K46" s="31" t="str">
        <f t="shared" si="21"/>
        <v/>
      </c>
      <c r="L46" s="31" t="str">
        <f t="shared" si="21"/>
        <v/>
      </c>
      <c r="M46" s="31" t="str">
        <f t="shared" si="21"/>
        <v/>
      </c>
      <c r="N46" s="31" t="str">
        <f t="shared" si="21"/>
        <v/>
      </c>
      <c r="O46" s="31" t="str">
        <f t="shared" si="21"/>
        <v/>
      </c>
      <c r="P46" s="4"/>
      <c r="Q46" s="96"/>
      <c r="R46" s="3" t="s">
        <v>54</v>
      </c>
      <c r="S46" s="2" t="str">
        <f t="shared" ref="S46:AE46" si="22">IF(S15&lt;4,4-S15,"")</f>
        <v/>
      </c>
      <c r="T46" s="2" t="str">
        <f t="shared" si="22"/>
        <v/>
      </c>
      <c r="U46" s="2" t="str">
        <f t="shared" si="22"/>
        <v/>
      </c>
      <c r="V46" s="2" t="str">
        <f t="shared" si="22"/>
        <v/>
      </c>
      <c r="W46" s="2" t="str">
        <f t="shared" si="22"/>
        <v/>
      </c>
      <c r="X46" s="2" t="str">
        <f t="shared" si="22"/>
        <v/>
      </c>
      <c r="Y46" s="2" t="str">
        <f t="shared" si="22"/>
        <v/>
      </c>
      <c r="Z46" s="2" t="str">
        <f t="shared" si="22"/>
        <v/>
      </c>
      <c r="AA46" s="2">
        <f t="shared" si="22"/>
        <v>1</v>
      </c>
      <c r="AB46" s="2" t="str">
        <f t="shared" si="22"/>
        <v/>
      </c>
      <c r="AC46" s="2" t="str">
        <f t="shared" si="22"/>
        <v/>
      </c>
      <c r="AD46" s="2" t="str">
        <f t="shared" si="22"/>
        <v/>
      </c>
      <c r="AE46" s="2" t="str">
        <f t="shared" si="22"/>
        <v/>
      </c>
    </row>
    <row r="47" spans="1:31" x14ac:dyDescent="0.25">
      <c r="A47" s="96"/>
      <c r="B47" s="3" t="s">
        <v>25</v>
      </c>
      <c r="C47" s="23">
        <f>IF(C16&lt;6,6-C16,"")</f>
        <v>2</v>
      </c>
      <c r="D47" s="23" t="str">
        <f t="shared" ref="D47:O47" si="23">IF(D16&lt;3,3-D16,"")</f>
        <v/>
      </c>
      <c r="E47" s="23" t="str">
        <f t="shared" si="23"/>
        <v/>
      </c>
      <c r="F47" s="23" t="str">
        <f t="shared" si="23"/>
        <v/>
      </c>
      <c r="G47" s="23" t="str">
        <f t="shared" si="23"/>
        <v/>
      </c>
      <c r="H47" s="23" t="str">
        <f t="shared" si="23"/>
        <v/>
      </c>
      <c r="I47" s="23">
        <f t="shared" si="23"/>
        <v>1</v>
      </c>
      <c r="J47" s="23" t="str">
        <f t="shared" si="23"/>
        <v/>
      </c>
      <c r="K47" s="23" t="str">
        <f t="shared" si="23"/>
        <v/>
      </c>
      <c r="L47" s="23" t="str">
        <f t="shared" si="23"/>
        <v/>
      </c>
      <c r="M47" s="23" t="str">
        <f t="shared" si="23"/>
        <v/>
      </c>
      <c r="N47" s="23" t="str">
        <f t="shared" si="23"/>
        <v/>
      </c>
      <c r="O47" s="23" t="str">
        <f t="shared" si="23"/>
        <v/>
      </c>
      <c r="P47" s="4"/>
      <c r="Q47" s="96"/>
      <c r="R47" s="3" t="s">
        <v>55</v>
      </c>
      <c r="S47" s="23" t="str">
        <f t="shared" ref="S47:AE47" si="24">IF(S16&lt;4,4-S16,"")</f>
        <v/>
      </c>
      <c r="T47" s="23" t="str">
        <f t="shared" si="24"/>
        <v/>
      </c>
      <c r="U47" s="23" t="str">
        <f t="shared" si="24"/>
        <v/>
      </c>
      <c r="V47" s="23" t="str">
        <f t="shared" si="24"/>
        <v/>
      </c>
      <c r="W47" s="23" t="str">
        <f t="shared" si="24"/>
        <v/>
      </c>
      <c r="X47" s="23" t="str">
        <f t="shared" si="24"/>
        <v/>
      </c>
      <c r="Y47" s="23" t="str">
        <f t="shared" si="24"/>
        <v/>
      </c>
      <c r="Z47" s="23" t="str">
        <f t="shared" si="24"/>
        <v/>
      </c>
      <c r="AA47" s="23" t="str">
        <f t="shared" si="24"/>
        <v/>
      </c>
      <c r="AB47" s="23" t="str">
        <f t="shared" si="24"/>
        <v/>
      </c>
      <c r="AC47" s="23">
        <f t="shared" si="24"/>
        <v>1</v>
      </c>
      <c r="AD47" s="23" t="str">
        <f t="shared" si="24"/>
        <v/>
      </c>
      <c r="AE47" s="23" t="str">
        <f t="shared" si="24"/>
        <v/>
      </c>
    </row>
    <row r="48" spans="1:31" x14ac:dyDescent="0.25">
      <c r="A48" s="96"/>
      <c r="B48" s="3" t="s">
        <v>26</v>
      </c>
      <c r="C48" s="31">
        <f>IF(C17&lt;6,6-C17,"")</f>
        <v>2</v>
      </c>
      <c r="D48" s="31" t="str">
        <f t="shared" ref="D48:O48" si="25">IF(D17&lt;3,3-D17,"")</f>
        <v/>
      </c>
      <c r="E48" s="31" t="str">
        <f t="shared" si="25"/>
        <v/>
      </c>
      <c r="F48" s="31" t="str">
        <f t="shared" si="25"/>
        <v/>
      </c>
      <c r="G48" s="31" t="str">
        <f t="shared" si="25"/>
        <v/>
      </c>
      <c r="H48" s="31" t="str">
        <f t="shared" si="25"/>
        <v/>
      </c>
      <c r="I48" s="31" t="str">
        <f t="shared" si="25"/>
        <v/>
      </c>
      <c r="J48" s="31" t="str">
        <f t="shared" si="25"/>
        <v/>
      </c>
      <c r="K48" s="31" t="str">
        <f t="shared" si="25"/>
        <v/>
      </c>
      <c r="L48" s="31" t="str">
        <f t="shared" si="25"/>
        <v/>
      </c>
      <c r="M48" s="31" t="str">
        <f t="shared" si="25"/>
        <v/>
      </c>
      <c r="N48" s="31" t="str">
        <f t="shared" si="25"/>
        <v/>
      </c>
      <c r="O48" s="31" t="str">
        <f t="shared" si="25"/>
        <v/>
      </c>
      <c r="P48" s="4"/>
      <c r="Q48" s="96"/>
      <c r="R48" s="3" t="s">
        <v>38</v>
      </c>
      <c r="S48" s="2" t="str">
        <f t="shared" ref="S48:AE48" si="26">IF(S17&lt;4,4-S17,"")</f>
        <v/>
      </c>
      <c r="T48" s="2" t="str">
        <f t="shared" si="26"/>
        <v/>
      </c>
      <c r="U48" s="2" t="str">
        <f t="shared" si="26"/>
        <v/>
      </c>
      <c r="V48" s="2" t="str">
        <f t="shared" si="26"/>
        <v/>
      </c>
      <c r="W48" s="2" t="str">
        <f t="shared" si="26"/>
        <v/>
      </c>
      <c r="X48" s="2" t="str">
        <f t="shared" si="26"/>
        <v/>
      </c>
      <c r="Y48" s="2" t="str">
        <f t="shared" si="26"/>
        <v/>
      </c>
      <c r="Z48" s="2" t="str">
        <f t="shared" si="26"/>
        <v/>
      </c>
      <c r="AA48" s="2" t="str">
        <f t="shared" si="26"/>
        <v/>
      </c>
      <c r="AB48" s="2" t="str">
        <f t="shared" si="26"/>
        <v/>
      </c>
      <c r="AC48" s="2" t="str">
        <f t="shared" si="26"/>
        <v/>
      </c>
      <c r="AD48" s="2" t="str">
        <f t="shared" si="26"/>
        <v/>
      </c>
      <c r="AE48" s="2" t="str">
        <f t="shared" si="26"/>
        <v/>
      </c>
    </row>
    <row r="49" spans="1:31" x14ac:dyDescent="0.25">
      <c r="A49" s="96"/>
      <c r="B49" s="3" t="s">
        <v>12</v>
      </c>
      <c r="C49" s="23" t="str">
        <f>IF(C18&lt;6,6-C18,"")</f>
        <v/>
      </c>
      <c r="D49" s="23" t="str">
        <f t="shared" ref="D49:O49" si="27">IF(D18&lt;3,3-D18,"")</f>
        <v/>
      </c>
      <c r="E49" s="23" t="str">
        <f t="shared" si="27"/>
        <v/>
      </c>
      <c r="F49" s="23" t="str">
        <f t="shared" si="27"/>
        <v/>
      </c>
      <c r="G49" s="23" t="str">
        <f t="shared" si="27"/>
        <v/>
      </c>
      <c r="H49" s="23" t="str">
        <f t="shared" si="27"/>
        <v/>
      </c>
      <c r="I49" s="23" t="str">
        <f t="shared" si="27"/>
        <v/>
      </c>
      <c r="J49" s="23" t="str">
        <f t="shared" si="27"/>
        <v/>
      </c>
      <c r="K49" s="23" t="str">
        <f t="shared" si="27"/>
        <v/>
      </c>
      <c r="L49" s="23" t="str">
        <f t="shared" si="27"/>
        <v/>
      </c>
      <c r="M49" s="23" t="str">
        <f t="shared" si="27"/>
        <v/>
      </c>
      <c r="N49" s="23" t="str">
        <f t="shared" si="27"/>
        <v/>
      </c>
      <c r="O49" s="23" t="str">
        <f t="shared" si="27"/>
        <v/>
      </c>
      <c r="P49" s="4"/>
      <c r="Q49" s="96"/>
      <c r="R49" s="3" t="s">
        <v>39</v>
      </c>
      <c r="S49" s="23"/>
      <c r="T49" s="23"/>
      <c r="U49" s="23"/>
      <c r="V49" s="23"/>
      <c r="W49" s="23"/>
      <c r="X49" s="23"/>
      <c r="Y49" s="23"/>
      <c r="Z49" s="23"/>
      <c r="AA49" s="23"/>
      <c r="AB49" s="23"/>
      <c r="AC49" s="23"/>
      <c r="AD49" s="23"/>
      <c r="AE49" s="23"/>
    </row>
    <row r="50" spans="1:31" x14ac:dyDescent="0.25">
      <c r="A50" s="96"/>
      <c r="B50" s="3" t="s">
        <v>13</v>
      </c>
      <c r="C50" s="2"/>
      <c r="D50" s="2"/>
      <c r="E50" s="2"/>
      <c r="F50" s="2"/>
      <c r="G50" s="2"/>
      <c r="H50" s="2"/>
      <c r="I50" s="2"/>
      <c r="J50" s="2"/>
      <c r="K50" s="2"/>
      <c r="L50" s="2"/>
      <c r="M50" s="2"/>
      <c r="N50" s="2"/>
      <c r="O50" s="2"/>
      <c r="P50" s="4"/>
      <c r="Q50" s="96"/>
      <c r="R50" s="3" t="s">
        <v>40</v>
      </c>
      <c r="S50" s="2"/>
      <c r="T50" s="2"/>
      <c r="U50" s="2"/>
      <c r="V50" s="2"/>
      <c r="W50" s="2"/>
      <c r="X50" s="2"/>
      <c r="Y50" s="2"/>
      <c r="Z50" s="2"/>
      <c r="AA50" s="2"/>
      <c r="AB50" s="2"/>
      <c r="AC50" s="2"/>
      <c r="AD50" s="2"/>
      <c r="AE50" s="2"/>
    </row>
    <row r="51" spans="1:31" x14ac:dyDescent="0.25">
      <c r="A51" s="96"/>
      <c r="B51" s="3" t="s">
        <v>14</v>
      </c>
      <c r="C51" s="23"/>
      <c r="D51" s="23"/>
      <c r="E51" s="23"/>
      <c r="F51" s="23"/>
      <c r="G51" s="23"/>
      <c r="H51" s="23"/>
      <c r="I51" s="23"/>
      <c r="J51" s="23"/>
      <c r="K51" s="23"/>
      <c r="L51" s="23"/>
      <c r="M51" s="23"/>
      <c r="N51" s="23"/>
      <c r="O51" s="23"/>
      <c r="P51" s="4"/>
      <c r="Q51" s="96"/>
      <c r="R51" s="3" t="s">
        <v>41</v>
      </c>
      <c r="S51" s="23"/>
      <c r="T51" s="23"/>
      <c r="U51" s="23"/>
      <c r="V51" s="23"/>
      <c r="W51" s="23"/>
      <c r="X51" s="23"/>
      <c r="Y51" s="23"/>
      <c r="Z51" s="23"/>
      <c r="AA51" s="23"/>
      <c r="AB51" s="23"/>
      <c r="AC51" s="23"/>
      <c r="AD51" s="23"/>
      <c r="AE51" s="23"/>
    </row>
    <row r="52" spans="1:31" x14ac:dyDescent="0.25">
      <c r="A52" s="96"/>
      <c r="B52" s="3" t="s">
        <v>15</v>
      </c>
      <c r="C52" s="2"/>
      <c r="D52" s="2"/>
      <c r="E52" s="2"/>
      <c r="F52" s="2"/>
      <c r="G52" s="2"/>
      <c r="H52" s="2"/>
      <c r="I52" s="2"/>
      <c r="J52" s="2"/>
      <c r="K52" s="2"/>
      <c r="L52" s="2"/>
      <c r="M52" s="2"/>
      <c r="N52" s="2"/>
      <c r="O52" s="2"/>
      <c r="P52" s="4"/>
      <c r="Q52" s="96"/>
      <c r="R52" s="3" t="s">
        <v>42</v>
      </c>
      <c r="S52" s="2"/>
      <c r="T52" s="2"/>
      <c r="U52" s="2"/>
      <c r="V52" s="2"/>
      <c r="W52" s="2"/>
      <c r="X52" s="2"/>
      <c r="Y52" s="2"/>
      <c r="Z52" s="2"/>
      <c r="AA52" s="2"/>
      <c r="AB52" s="2"/>
      <c r="AC52" s="2"/>
      <c r="AD52" s="2"/>
      <c r="AE52" s="2"/>
    </row>
    <row r="53" spans="1:31" x14ac:dyDescent="0.25">
      <c r="A53" s="96"/>
      <c r="B53" s="3" t="s">
        <v>16</v>
      </c>
      <c r="C53" s="23"/>
      <c r="D53" s="23"/>
      <c r="E53" s="23"/>
      <c r="F53" s="23"/>
      <c r="G53" s="23"/>
      <c r="H53" s="23"/>
      <c r="I53" s="23"/>
      <c r="J53" s="23"/>
      <c r="K53" s="23"/>
      <c r="L53" s="23"/>
      <c r="M53" s="23"/>
      <c r="N53" s="23"/>
      <c r="O53" s="23"/>
      <c r="P53" s="4"/>
      <c r="Q53" s="96"/>
      <c r="R53" s="3" t="s">
        <v>43</v>
      </c>
      <c r="S53" s="23"/>
      <c r="T53" s="23"/>
      <c r="U53" s="23"/>
      <c r="V53" s="23"/>
      <c r="W53" s="23"/>
      <c r="X53" s="23"/>
      <c r="Y53" s="23"/>
      <c r="Z53" s="23"/>
      <c r="AA53" s="23"/>
      <c r="AB53" s="23"/>
      <c r="AC53" s="23"/>
      <c r="AD53" s="23"/>
      <c r="AE53" s="23"/>
    </row>
    <row r="54" spans="1:31" x14ac:dyDescent="0.25">
      <c r="A54" s="96"/>
      <c r="B54" s="3" t="s">
        <v>17</v>
      </c>
      <c r="C54" s="2"/>
      <c r="D54" s="2"/>
      <c r="E54" s="2"/>
      <c r="F54" s="2"/>
      <c r="G54" s="2"/>
      <c r="H54" s="2"/>
      <c r="I54" s="2"/>
      <c r="J54" s="2"/>
      <c r="K54" s="2"/>
      <c r="L54" s="2"/>
      <c r="M54" s="2"/>
      <c r="N54" s="2"/>
      <c r="O54" s="2"/>
      <c r="P54" s="4"/>
      <c r="Q54" s="96"/>
      <c r="R54" s="3" t="s">
        <v>44</v>
      </c>
      <c r="S54" s="2"/>
      <c r="T54" s="2"/>
      <c r="U54" s="2"/>
      <c r="V54" s="2"/>
      <c r="W54" s="2"/>
      <c r="X54" s="2"/>
      <c r="Y54" s="2"/>
      <c r="Z54" s="2"/>
      <c r="AA54" s="2"/>
      <c r="AB54" s="2"/>
      <c r="AC54" s="2"/>
      <c r="AD54" s="2"/>
      <c r="AE54" s="2"/>
    </row>
    <row r="55" spans="1:31" x14ac:dyDescent="0.25">
      <c r="A55" s="96"/>
      <c r="B55" s="3" t="s">
        <v>18</v>
      </c>
      <c r="C55" s="23"/>
      <c r="D55" s="23"/>
      <c r="E55" s="23"/>
      <c r="F55" s="23"/>
      <c r="G55" s="23"/>
      <c r="H55" s="23"/>
      <c r="I55" s="23"/>
      <c r="J55" s="23"/>
      <c r="K55" s="23"/>
      <c r="L55" s="23"/>
      <c r="M55" s="23"/>
      <c r="N55" s="23"/>
      <c r="O55" s="23"/>
      <c r="P55" s="4"/>
      <c r="Q55" s="96"/>
      <c r="R55" s="3" t="s">
        <v>45</v>
      </c>
      <c r="S55" s="23"/>
      <c r="T55" s="23"/>
      <c r="U55" s="23"/>
      <c r="V55" s="23"/>
      <c r="W55" s="23"/>
      <c r="X55" s="23"/>
      <c r="Y55" s="23"/>
      <c r="Z55" s="23"/>
      <c r="AA55" s="23"/>
      <c r="AB55" s="23"/>
      <c r="AC55" s="23"/>
      <c r="AD55" s="23"/>
      <c r="AE55" s="23"/>
    </row>
    <row r="56" spans="1:31" x14ac:dyDescent="0.25">
      <c r="A56" s="96"/>
      <c r="B56" s="3" t="s">
        <v>19</v>
      </c>
      <c r="C56" s="2"/>
      <c r="D56" s="2"/>
      <c r="E56" s="2"/>
      <c r="F56" s="2"/>
      <c r="G56" s="2"/>
      <c r="H56" s="2"/>
      <c r="I56" s="2"/>
      <c r="J56" s="2"/>
      <c r="K56" s="2"/>
      <c r="L56" s="2"/>
      <c r="M56" s="2"/>
      <c r="N56" s="2"/>
      <c r="O56" s="2"/>
      <c r="P56" s="4"/>
      <c r="Q56" s="96"/>
      <c r="R56" s="3" t="s">
        <v>46</v>
      </c>
      <c r="S56" s="2"/>
      <c r="T56" s="2"/>
      <c r="U56" s="2"/>
      <c r="V56" s="2"/>
      <c r="W56" s="2"/>
      <c r="X56" s="2"/>
      <c r="Y56" s="2"/>
      <c r="Z56" s="2"/>
      <c r="AA56" s="2"/>
      <c r="AB56" s="2"/>
      <c r="AC56" s="2"/>
      <c r="AD56" s="2"/>
      <c r="AE56" s="2"/>
    </row>
    <row r="57" spans="1:31" x14ac:dyDescent="0.25">
      <c r="A57" s="96"/>
      <c r="B57" s="3" t="s">
        <v>20</v>
      </c>
      <c r="C57" s="23"/>
      <c r="D57" s="23"/>
      <c r="E57" s="23"/>
      <c r="F57" s="23"/>
      <c r="G57" s="23"/>
      <c r="H57" s="23"/>
      <c r="I57" s="23"/>
      <c r="J57" s="23"/>
      <c r="K57" s="23"/>
      <c r="L57" s="23"/>
      <c r="M57" s="23"/>
      <c r="N57" s="23"/>
      <c r="O57" s="23"/>
      <c r="P57" s="4"/>
      <c r="Q57" s="96"/>
      <c r="R57" s="3" t="s">
        <v>47</v>
      </c>
      <c r="S57" s="23"/>
      <c r="T57" s="23"/>
      <c r="U57" s="23"/>
      <c r="V57" s="23"/>
      <c r="W57" s="23"/>
      <c r="X57" s="23"/>
      <c r="Y57" s="23"/>
      <c r="Z57" s="23"/>
      <c r="AA57" s="23"/>
      <c r="AB57" s="23"/>
      <c r="AC57" s="23"/>
      <c r="AD57" s="23"/>
      <c r="AE57" s="23"/>
    </row>
    <row r="58" spans="1:31" x14ac:dyDescent="0.25">
      <c r="A58" s="96"/>
      <c r="B58" s="3" t="s">
        <v>21</v>
      </c>
      <c r="C58" s="2"/>
      <c r="D58" s="2"/>
      <c r="E58" s="2"/>
      <c r="F58" s="2"/>
      <c r="G58" s="2"/>
      <c r="H58" s="2"/>
      <c r="I58" s="2"/>
      <c r="J58" s="2"/>
      <c r="K58" s="2"/>
      <c r="L58" s="2"/>
      <c r="M58" s="2"/>
      <c r="N58" s="2"/>
      <c r="O58" s="2"/>
      <c r="P58" s="4"/>
      <c r="Q58" s="96"/>
      <c r="R58" s="3" t="s">
        <v>48</v>
      </c>
      <c r="S58" s="2"/>
      <c r="T58" s="2"/>
      <c r="U58" s="2"/>
      <c r="V58" s="2"/>
      <c r="W58" s="2"/>
      <c r="X58" s="2"/>
      <c r="Y58" s="2"/>
      <c r="Z58" s="2"/>
      <c r="AA58" s="2"/>
      <c r="AB58" s="2"/>
      <c r="AC58" s="2"/>
      <c r="AD58" s="2"/>
      <c r="AE58" s="2"/>
    </row>
    <row r="59" spans="1:31" x14ac:dyDescent="0.25">
      <c r="A59" s="96"/>
      <c r="B59" s="3" t="s">
        <v>22</v>
      </c>
      <c r="C59" s="23"/>
      <c r="D59" s="23"/>
      <c r="E59" s="23"/>
      <c r="F59" s="23"/>
      <c r="G59" s="23"/>
      <c r="H59" s="23"/>
      <c r="I59" s="23"/>
      <c r="J59" s="23"/>
      <c r="K59" s="23"/>
      <c r="L59" s="23"/>
      <c r="M59" s="23"/>
      <c r="N59" s="23"/>
      <c r="O59" s="23"/>
      <c r="P59" s="4"/>
      <c r="Q59" s="96"/>
      <c r="R59" s="3" t="s">
        <v>49</v>
      </c>
      <c r="S59" s="23"/>
      <c r="T59" s="23"/>
      <c r="U59" s="23"/>
      <c r="V59" s="23"/>
      <c r="W59" s="23"/>
      <c r="X59" s="23"/>
      <c r="Y59" s="23"/>
      <c r="Z59" s="23"/>
      <c r="AA59" s="23"/>
      <c r="AB59" s="23"/>
      <c r="AC59" s="23"/>
      <c r="AD59" s="23"/>
      <c r="AE59" s="23"/>
    </row>
    <row r="60" spans="1:31" x14ac:dyDescent="0.25">
      <c r="A60" s="96"/>
      <c r="B60" s="3" t="s">
        <v>23</v>
      </c>
      <c r="C60" s="2"/>
      <c r="D60" s="2"/>
      <c r="E60" s="2"/>
      <c r="F60" s="2"/>
      <c r="G60" s="2"/>
      <c r="H60" s="2"/>
      <c r="I60" s="2"/>
      <c r="J60" s="2"/>
      <c r="K60" s="2"/>
      <c r="L60" s="2"/>
      <c r="M60" s="2"/>
      <c r="N60" s="2"/>
      <c r="O60" s="2"/>
      <c r="P60" s="4"/>
      <c r="Q60" s="96"/>
      <c r="R60" s="3" t="s">
        <v>50</v>
      </c>
      <c r="S60" s="2"/>
      <c r="T60" s="2"/>
      <c r="U60" s="2"/>
      <c r="V60" s="2"/>
      <c r="W60" s="2"/>
      <c r="X60" s="2"/>
      <c r="Y60" s="2"/>
      <c r="Z60" s="2"/>
      <c r="AA60" s="2"/>
      <c r="AB60" s="2"/>
      <c r="AC60" s="2"/>
      <c r="AD60" s="2"/>
      <c r="AE60" s="2"/>
    </row>
    <row r="61" spans="1:31" x14ac:dyDescent="0.25">
      <c r="A61" s="96"/>
      <c r="B61" s="3" t="s">
        <v>24</v>
      </c>
      <c r="C61" s="23"/>
      <c r="D61" s="23"/>
      <c r="E61" s="23"/>
      <c r="F61" s="23"/>
      <c r="G61" s="23"/>
      <c r="H61" s="23"/>
      <c r="I61" s="23"/>
      <c r="J61" s="23"/>
      <c r="K61" s="23"/>
      <c r="L61" s="23"/>
      <c r="M61" s="23"/>
      <c r="N61" s="23"/>
      <c r="O61" s="23"/>
      <c r="P61" s="4"/>
      <c r="Q61" s="96"/>
      <c r="R61" s="4"/>
      <c r="S61" s="4"/>
      <c r="T61" s="4"/>
      <c r="U61" s="4"/>
      <c r="V61" s="4"/>
      <c r="W61" s="4"/>
      <c r="X61" s="4"/>
      <c r="Y61" s="4"/>
      <c r="Z61" s="4"/>
      <c r="AA61" s="4"/>
      <c r="AB61" s="4"/>
      <c r="AC61" s="4"/>
      <c r="AD61" s="4"/>
      <c r="AE61" s="4"/>
    </row>
    <row r="63" spans="1:31" x14ac:dyDescent="0.25">
      <c r="E63" t="s">
        <v>97</v>
      </c>
      <c r="G63" t="s">
        <v>96</v>
      </c>
      <c r="U63" t="s">
        <v>97</v>
      </c>
      <c r="W63" t="s">
        <v>96</v>
      </c>
    </row>
    <row r="64" spans="1:31" x14ac:dyDescent="0.25">
      <c r="C64" s="4" t="s">
        <v>94</v>
      </c>
      <c r="E64" s="43">
        <f>SUM(C37:K61)</f>
        <v>67</v>
      </c>
      <c r="G64" s="119">
        <f>E64*37.5</f>
        <v>2512.5</v>
      </c>
      <c r="H64" s="119"/>
      <c r="S64" s="4" t="s">
        <v>94</v>
      </c>
      <c r="U64" s="43">
        <f>SUM(S37:AA60)</f>
        <v>13</v>
      </c>
      <c r="W64" s="119">
        <f>U64*37.5</f>
        <v>487.5</v>
      </c>
      <c r="X64" s="119"/>
    </row>
    <row r="65" spans="3:24" x14ac:dyDescent="0.25">
      <c r="C65" s="4" t="s">
        <v>95</v>
      </c>
      <c r="E65" s="43">
        <f>SUM(L37:O61)</f>
        <v>9</v>
      </c>
      <c r="G65" s="119">
        <f>E65*60</f>
        <v>540</v>
      </c>
      <c r="H65" s="119"/>
      <c r="S65" s="4" t="s">
        <v>95</v>
      </c>
      <c r="U65" s="43">
        <f>SUM(AB37:AE60)</f>
        <v>4</v>
      </c>
      <c r="W65" s="119">
        <f>U65*60</f>
        <v>240</v>
      </c>
      <c r="X65" s="119"/>
    </row>
    <row r="67" spans="3:24" x14ac:dyDescent="0.25">
      <c r="E67" s="43">
        <f>SUM(E64:E66)</f>
        <v>76</v>
      </c>
      <c r="G67" s="113">
        <f>SUM(G64:G66)</f>
        <v>3052.5</v>
      </c>
      <c r="H67" s="114"/>
      <c r="U67" s="43">
        <f>SUM(U64:U66)</f>
        <v>17</v>
      </c>
      <c r="W67" s="113">
        <f>SUM(W64:W66)</f>
        <v>727.5</v>
      </c>
      <c r="X67" s="114"/>
    </row>
  </sheetData>
  <mergeCells count="22">
    <mergeCell ref="G64:H64"/>
    <mergeCell ref="G65:H65"/>
    <mergeCell ref="W64:X64"/>
    <mergeCell ref="W65:X65"/>
    <mergeCell ref="G67:H67"/>
    <mergeCell ref="W67:X67"/>
    <mergeCell ref="C34:O34"/>
    <mergeCell ref="S34:AE34"/>
    <mergeCell ref="C35:O35"/>
    <mergeCell ref="S35:AE35"/>
    <mergeCell ref="A37:A61"/>
    <mergeCell ref="Q37:Q61"/>
    <mergeCell ref="S33:AE33"/>
    <mergeCell ref="A1:AE1"/>
    <mergeCell ref="A6:A30"/>
    <mergeCell ref="Q6:Q30"/>
    <mergeCell ref="A32:AD32"/>
    <mergeCell ref="C3:O3"/>
    <mergeCell ref="S3:AE3"/>
    <mergeCell ref="C4:O4"/>
    <mergeCell ref="S4:AE4"/>
    <mergeCell ref="B33:O33"/>
  </mergeCells>
  <pageMargins left="0.53" right="0.7" top="0.75" bottom="0.75" header="0.3" footer="0.3"/>
  <pageSetup scale="48" orientation="landscape" r:id="rId1"/>
  <ignoredErrors>
    <ignoredError sqref="B6:B30 C5:O5 R6:R29 S5:AE5 S19:AE24 C36:AE36 B37:B61 C50:AE61 P37:R37 P38:R38 P43:R43 P44:R44 P49:AE49 P40:R42 S25:AE25 P39:R39 P45:R48" numberStoredAsText="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81AC6E-62C2-4EE9-B798-9DBF4F1ABEA4}">
  <dimension ref="A1:AE67"/>
  <sheetViews>
    <sheetView workbookViewId="0">
      <selection activeCell="F12" sqref="F12"/>
    </sheetView>
  </sheetViews>
  <sheetFormatPr baseColWidth="10" defaultRowHeight="15" x14ac:dyDescent="0.25"/>
  <cols>
    <col min="2" max="2" width="5.28515625" bestFit="1" customWidth="1"/>
    <col min="3" max="3" width="4.5703125" bestFit="1" customWidth="1"/>
    <col min="4" max="15" width="5.28515625" bestFit="1" customWidth="1"/>
    <col min="16" max="16" width="0.7109375" customWidth="1"/>
    <col min="18" max="18" width="5.5703125" bestFit="1" customWidth="1"/>
    <col min="19" max="19" width="4.5703125" bestFit="1" customWidth="1"/>
    <col min="20" max="31" width="5.28515625" bestFit="1" customWidth="1"/>
  </cols>
  <sheetData>
    <row r="1" spans="1:31" ht="28.5" x14ac:dyDescent="0.45">
      <c r="A1" s="118" t="s">
        <v>115</v>
      </c>
      <c r="B1" s="118"/>
      <c r="C1" s="118"/>
      <c r="D1" s="118"/>
      <c r="E1" s="118"/>
      <c r="F1" s="118"/>
      <c r="G1" s="118"/>
      <c r="H1" s="118"/>
      <c r="I1" s="118"/>
      <c r="J1" s="118"/>
      <c r="K1" s="118"/>
      <c r="L1" s="118"/>
      <c r="M1" s="118"/>
      <c r="N1" s="118"/>
      <c r="O1" s="118"/>
      <c r="P1" s="118"/>
      <c r="Q1" s="118"/>
      <c r="R1" s="118"/>
      <c r="S1" s="118"/>
      <c r="T1" s="118"/>
      <c r="U1" s="118"/>
      <c r="V1" s="118"/>
      <c r="W1" s="118"/>
      <c r="X1" s="118"/>
      <c r="Y1" s="118"/>
      <c r="Z1" s="118"/>
      <c r="AA1" s="118"/>
      <c r="AB1" s="118"/>
      <c r="AC1" s="118"/>
      <c r="AD1" s="118"/>
      <c r="AE1" s="118"/>
    </row>
    <row r="2" spans="1:31" x14ac:dyDescent="0.25">
      <c r="A2" s="4"/>
      <c r="B2" s="4"/>
      <c r="C2" s="4"/>
      <c r="D2" s="4"/>
      <c r="E2" s="4"/>
      <c r="F2" s="4"/>
      <c r="G2" s="4"/>
      <c r="H2" s="4"/>
      <c r="I2" s="4"/>
      <c r="J2" s="4"/>
      <c r="K2" s="4"/>
      <c r="L2" s="4"/>
      <c r="M2" s="4"/>
      <c r="N2" s="4"/>
      <c r="O2" s="4"/>
      <c r="P2" s="4"/>
      <c r="Q2" s="4"/>
      <c r="R2" s="4"/>
      <c r="S2" s="4"/>
      <c r="T2" s="4"/>
      <c r="U2" s="4"/>
      <c r="V2" s="4"/>
      <c r="W2" s="4"/>
      <c r="X2" s="4"/>
      <c r="Y2" s="4"/>
      <c r="Z2" s="4"/>
      <c r="AA2" s="4"/>
      <c r="AB2" s="4"/>
      <c r="AC2" s="4"/>
      <c r="AD2" s="4"/>
      <c r="AE2" s="4"/>
    </row>
    <row r="3" spans="1:31" ht="36" x14ac:dyDescent="0.25">
      <c r="A3" s="4"/>
      <c r="B3" s="5"/>
      <c r="C3" s="97" t="s">
        <v>1</v>
      </c>
      <c r="D3" s="97"/>
      <c r="E3" s="97"/>
      <c r="F3" s="97"/>
      <c r="G3" s="97"/>
      <c r="H3" s="97"/>
      <c r="I3" s="97"/>
      <c r="J3" s="97"/>
      <c r="K3" s="97"/>
      <c r="L3" s="97"/>
      <c r="M3" s="97"/>
      <c r="N3" s="97"/>
      <c r="O3" s="97"/>
      <c r="P3" s="4"/>
      <c r="Q3" s="4"/>
      <c r="R3" s="4"/>
      <c r="S3" s="97" t="s">
        <v>1</v>
      </c>
      <c r="T3" s="97"/>
      <c r="U3" s="97"/>
      <c r="V3" s="97"/>
      <c r="W3" s="97"/>
      <c r="X3" s="97"/>
      <c r="Y3" s="97"/>
      <c r="Z3" s="97"/>
      <c r="AA3" s="97"/>
      <c r="AB3" s="97"/>
      <c r="AC3" s="97"/>
      <c r="AD3" s="97"/>
      <c r="AE3" s="97"/>
    </row>
    <row r="4" spans="1:31" ht="15.75" x14ac:dyDescent="0.25">
      <c r="A4" s="4"/>
      <c r="B4" s="5"/>
      <c r="C4" s="98" t="s">
        <v>52</v>
      </c>
      <c r="D4" s="98"/>
      <c r="E4" s="98"/>
      <c r="F4" s="98"/>
      <c r="G4" s="98"/>
      <c r="H4" s="98"/>
      <c r="I4" s="98"/>
      <c r="J4" s="98"/>
      <c r="K4" s="98"/>
      <c r="L4" s="98"/>
      <c r="M4" s="98"/>
      <c r="N4" s="98"/>
      <c r="O4" s="98"/>
      <c r="P4" s="4"/>
      <c r="Q4" s="4"/>
      <c r="R4" s="4"/>
      <c r="S4" s="98" t="s">
        <v>52</v>
      </c>
      <c r="T4" s="98"/>
      <c r="U4" s="98"/>
      <c r="V4" s="98"/>
      <c r="W4" s="98"/>
      <c r="X4" s="98"/>
      <c r="Y4" s="98"/>
      <c r="Z4" s="98"/>
      <c r="AA4" s="98"/>
      <c r="AB4" s="98"/>
      <c r="AC4" s="98"/>
      <c r="AD4" s="98"/>
      <c r="AE4" s="98"/>
    </row>
    <row r="5" spans="1:31" ht="15.75" x14ac:dyDescent="0.25">
      <c r="A5" s="6" t="s">
        <v>52</v>
      </c>
      <c r="B5" s="28"/>
      <c r="C5" s="3" t="s">
        <v>2</v>
      </c>
      <c r="D5" s="3" t="s">
        <v>3</v>
      </c>
      <c r="E5" s="3" t="s">
        <v>4</v>
      </c>
      <c r="F5" s="3" t="s">
        <v>5</v>
      </c>
      <c r="G5" s="3" t="s">
        <v>6</v>
      </c>
      <c r="H5" s="3" t="s">
        <v>7</v>
      </c>
      <c r="I5" s="3" t="s">
        <v>8</v>
      </c>
      <c r="J5" s="3" t="s">
        <v>9</v>
      </c>
      <c r="K5" s="3" t="s">
        <v>10</v>
      </c>
      <c r="L5" s="3" t="s">
        <v>11</v>
      </c>
      <c r="M5" s="3" t="s">
        <v>25</v>
      </c>
      <c r="N5" s="3" t="s">
        <v>26</v>
      </c>
      <c r="O5" s="3" t="s">
        <v>12</v>
      </c>
      <c r="P5" s="4"/>
      <c r="Q5" s="6" t="s">
        <v>51</v>
      </c>
      <c r="R5" s="28"/>
      <c r="S5" s="3" t="s">
        <v>2</v>
      </c>
      <c r="T5" s="3" t="s">
        <v>3</v>
      </c>
      <c r="U5" s="3" t="s">
        <v>4</v>
      </c>
      <c r="V5" s="3" t="s">
        <v>5</v>
      </c>
      <c r="W5" s="3" t="s">
        <v>6</v>
      </c>
      <c r="X5" s="3" t="s">
        <v>7</v>
      </c>
      <c r="Y5" s="3" t="s">
        <v>8</v>
      </c>
      <c r="Z5" s="3" t="s">
        <v>9</v>
      </c>
      <c r="AA5" s="3" t="s">
        <v>10</v>
      </c>
      <c r="AB5" s="3" t="s">
        <v>11</v>
      </c>
      <c r="AC5" s="3" t="s">
        <v>25</v>
      </c>
      <c r="AD5" s="3" t="s">
        <v>26</v>
      </c>
      <c r="AE5" s="3" t="s">
        <v>12</v>
      </c>
    </row>
    <row r="6" spans="1:31" x14ac:dyDescent="0.25">
      <c r="A6" s="96" t="s">
        <v>0</v>
      </c>
      <c r="B6" s="3" t="s">
        <v>2</v>
      </c>
      <c r="C6" s="23">
        <v>3</v>
      </c>
      <c r="D6" s="23">
        <v>4</v>
      </c>
      <c r="E6" s="23">
        <v>4</v>
      </c>
      <c r="F6" s="23">
        <v>4</v>
      </c>
      <c r="G6" s="23">
        <v>4</v>
      </c>
      <c r="H6" s="23">
        <v>4</v>
      </c>
      <c r="I6" s="23">
        <v>3</v>
      </c>
      <c r="J6" s="23">
        <v>4</v>
      </c>
      <c r="K6" s="61">
        <v>3</v>
      </c>
      <c r="L6" s="59"/>
      <c r="M6" s="23"/>
      <c r="N6" s="23"/>
      <c r="O6" s="23"/>
      <c r="P6" s="4"/>
      <c r="Q6" s="96" t="s">
        <v>0</v>
      </c>
      <c r="R6" s="3" t="s">
        <v>29</v>
      </c>
      <c r="S6" s="37">
        <v>2</v>
      </c>
      <c r="T6" s="37">
        <v>2</v>
      </c>
      <c r="U6" s="37">
        <v>2</v>
      </c>
      <c r="V6" s="37">
        <v>2</v>
      </c>
      <c r="W6" s="37">
        <v>2</v>
      </c>
      <c r="X6" s="37">
        <v>2</v>
      </c>
      <c r="Y6" s="37">
        <v>2</v>
      </c>
      <c r="Z6" s="37">
        <v>2</v>
      </c>
      <c r="AA6" s="78"/>
      <c r="AB6" s="76"/>
      <c r="AC6" s="37"/>
      <c r="AD6" s="37"/>
      <c r="AE6" s="37"/>
    </row>
    <row r="7" spans="1:31" x14ac:dyDescent="0.25">
      <c r="A7" s="96"/>
      <c r="B7" s="3" t="s">
        <v>3</v>
      </c>
      <c r="C7" s="2">
        <v>4</v>
      </c>
      <c r="D7" s="2">
        <v>4</v>
      </c>
      <c r="E7" s="2">
        <v>4</v>
      </c>
      <c r="F7" s="2">
        <v>4</v>
      </c>
      <c r="G7" s="2">
        <v>4</v>
      </c>
      <c r="H7" s="2">
        <v>4</v>
      </c>
      <c r="I7" s="2">
        <v>4</v>
      </c>
      <c r="J7" s="2">
        <v>2</v>
      </c>
      <c r="K7" s="62">
        <v>4</v>
      </c>
      <c r="L7" s="60"/>
      <c r="M7" s="2"/>
      <c r="N7" s="2"/>
      <c r="O7" s="2"/>
      <c r="P7" s="4"/>
      <c r="Q7" s="96"/>
      <c r="R7" s="3" t="s">
        <v>30</v>
      </c>
      <c r="S7" s="38">
        <v>2</v>
      </c>
      <c r="T7" s="38">
        <v>2</v>
      </c>
      <c r="U7" s="38">
        <v>2</v>
      </c>
      <c r="V7" s="38">
        <v>2</v>
      </c>
      <c r="W7" s="38">
        <v>2</v>
      </c>
      <c r="X7" s="38">
        <v>2</v>
      </c>
      <c r="Y7" s="38">
        <v>2</v>
      </c>
      <c r="Z7" s="38">
        <v>2</v>
      </c>
      <c r="AA7" s="79">
        <v>2</v>
      </c>
      <c r="AB7" s="77"/>
      <c r="AC7" s="38"/>
      <c r="AD7" s="38"/>
      <c r="AE7" s="38"/>
    </row>
    <row r="8" spans="1:31" x14ac:dyDescent="0.25">
      <c r="A8" s="96"/>
      <c r="B8" s="3" t="s">
        <v>4</v>
      </c>
      <c r="C8" s="23">
        <v>4</v>
      </c>
      <c r="D8" s="23">
        <v>4</v>
      </c>
      <c r="E8" s="23">
        <v>4</v>
      </c>
      <c r="F8" s="23">
        <v>4</v>
      </c>
      <c r="G8" s="23">
        <v>4</v>
      </c>
      <c r="H8" s="23">
        <v>4</v>
      </c>
      <c r="I8" s="23">
        <v>4</v>
      </c>
      <c r="J8" s="23">
        <v>4</v>
      </c>
      <c r="K8" s="61">
        <v>4</v>
      </c>
      <c r="L8" s="59"/>
      <c r="M8" s="23"/>
      <c r="N8" s="23"/>
      <c r="O8" s="23"/>
      <c r="P8" s="4"/>
      <c r="Q8" s="96"/>
      <c r="R8" s="3" t="s">
        <v>31</v>
      </c>
      <c r="S8" s="37">
        <v>2</v>
      </c>
      <c r="T8" s="37">
        <v>2</v>
      </c>
      <c r="U8" s="37">
        <v>2</v>
      </c>
      <c r="V8" s="37">
        <v>2</v>
      </c>
      <c r="W8" s="37">
        <v>2</v>
      </c>
      <c r="X8" s="37">
        <v>2</v>
      </c>
      <c r="Y8" s="37">
        <v>1</v>
      </c>
      <c r="Z8" s="37">
        <v>2</v>
      </c>
      <c r="AA8" s="78">
        <v>2</v>
      </c>
      <c r="AB8" s="76"/>
      <c r="AC8" s="37"/>
      <c r="AD8" s="37"/>
      <c r="AE8" s="37"/>
    </row>
    <row r="9" spans="1:31" x14ac:dyDescent="0.25">
      <c r="A9" s="96"/>
      <c r="B9" s="3" t="s">
        <v>5</v>
      </c>
      <c r="C9" s="2">
        <v>2</v>
      </c>
      <c r="D9" s="2">
        <v>4</v>
      </c>
      <c r="E9" s="2">
        <v>4</v>
      </c>
      <c r="F9" s="2">
        <v>4</v>
      </c>
      <c r="G9" s="2">
        <v>4</v>
      </c>
      <c r="H9" s="2">
        <v>4</v>
      </c>
      <c r="I9" s="2">
        <v>2</v>
      </c>
      <c r="J9" s="2">
        <v>4</v>
      </c>
      <c r="K9" s="62">
        <v>4</v>
      </c>
      <c r="L9" s="60"/>
      <c r="M9" s="2"/>
      <c r="N9" s="2"/>
      <c r="O9" s="2"/>
      <c r="P9" s="4"/>
      <c r="Q9" s="96"/>
      <c r="R9" s="3" t="s">
        <v>32</v>
      </c>
      <c r="S9" s="38">
        <v>2</v>
      </c>
      <c r="T9" s="38">
        <v>2</v>
      </c>
      <c r="U9" s="38">
        <v>2</v>
      </c>
      <c r="V9" s="38">
        <v>1</v>
      </c>
      <c r="W9" s="38">
        <v>2</v>
      </c>
      <c r="X9" s="38">
        <v>2</v>
      </c>
      <c r="Y9" s="38">
        <v>2</v>
      </c>
      <c r="Z9" s="38">
        <v>2</v>
      </c>
      <c r="AA9" s="79">
        <v>2</v>
      </c>
      <c r="AB9" s="77"/>
      <c r="AC9" s="38"/>
      <c r="AD9" s="38"/>
      <c r="AE9" s="38"/>
    </row>
    <row r="10" spans="1:31" x14ac:dyDescent="0.25">
      <c r="A10" s="96"/>
      <c r="B10" s="3" t="s">
        <v>6</v>
      </c>
      <c r="C10" s="23">
        <v>4</v>
      </c>
      <c r="D10" s="23">
        <v>4</v>
      </c>
      <c r="E10" s="23">
        <v>4</v>
      </c>
      <c r="F10" s="23">
        <v>4</v>
      </c>
      <c r="G10" s="23">
        <v>4</v>
      </c>
      <c r="H10" s="23">
        <v>4</v>
      </c>
      <c r="I10" s="23">
        <v>4</v>
      </c>
      <c r="J10" s="23">
        <v>4</v>
      </c>
      <c r="K10" s="61">
        <v>4</v>
      </c>
      <c r="L10" s="59"/>
      <c r="M10" s="23"/>
      <c r="N10" s="23"/>
      <c r="O10" s="23"/>
      <c r="P10" s="4"/>
      <c r="Q10" s="96"/>
      <c r="R10" s="3" t="s">
        <v>33</v>
      </c>
      <c r="S10" s="37">
        <v>2</v>
      </c>
      <c r="T10" s="37">
        <v>2</v>
      </c>
      <c r="U10" s="37">
        <v>2</v>
      </c>
      <c r="V10" s="37">
        <v>2</v>
      </c>
      <c r="W10" s="37">
        <v>2</v>
      </c>
      <c r="X10" s="37">
        <v>2</v>
      </c>
      <c r="Y10" s="37">
        <v>2</v>
      </c>
      <c r="Z10" s="37">
        <v>2</v>
      </c>
      <c r="AA10" s="78">
        <v>2</v>
      </c>
      <c r="AB10" s="76"/>
      <c r="AC10" s="37"/>
      <c r="AD10" s="37"/>
      <c r="AE10" s="37"/>
    </row>
    <row r="11" spans="1:31" x14ac:dyDescent="0.25">
      <c r="A11" s="96"/>
      <c r="B11" s="3" t="s">
        <v>7</v>
      </c>
      <c r="C11" s="2">
        <v>3</v>
      </c>
      <c r="D11" s="2">
        <v>3</v>
      </c>
      <c r="E11" s="2">
        <v>4</v>
      </c>
      <c r="F11" s="2">
        <v>2</v>
      </c>
      <c r="G11" s="2">
        <v>4</v>
      </c>
      <c r="H11" s="2">
        <v>4</v>
      </c>
      <c r="I11" s="2">
        <v>4</v>
      </c>
      <c r="J11" s="2">
        <v>4</v>
      </c>
      <c r="K11" s="62">
        <v>4</v>
      </c>
      <c r="L11" s="60"/>
      <c r="M11" s="2"/>
      <c r="N11" s="2"/>
      <c r="O11" s="2"/>
      <c r="P11" s="4"/>
      <c r="Q11" s="96"/>
      <c r="R11" s="3" t="s">
        <v>34</v>
      </c>
      <c r="S11" s="38">
        <v>2</v>
      </c>
      <c r="T11" s="38">
        <v>2</v>
      </c>
      <c r="U11" s="38">
        <v>2</v>
      </c>
      <c r="V11" s="38">
        <v>3</v>
      </c>
      <c r="W11" s="38">
        <v>2</v>
      </c>
      <c r="X11" s="38">
        <v>2</v>
      </c>
      <c r="Y11" s="38">
        <v>2</v>
      </c>
      <c r="Z11" s="38">
        <v>2</v>
      </c>
      <c r="AA11" s="79">
        <v>2</v>
      </c>
      <c r="AB11" s="77"/>
      <c r="AC11" s="38"/>
      <c r="AD11" s="38"/>
      <c r="AE11" s="38"/>
    </row>
    <row r="12" spans="1:31" x14ac:dyDescent="0.25">
      <c r="A12" s="96"/>
      <c r="B12" s="3" t="s">
        <v>8</v>
      </c>
      <c r="C12" s="23">
        <v>4</v>
      </c>
      <c r="D12" s="23">
        <v>4</v>
      </c>
      <c r="E12" s="23">
        <v>3</v>
      </c>
      <c r="F12" s="23">
        <v>3</v>
      </c>
      <c r="G12" s="23">
        <v>4</v>
      </c>
      <c r="H12" s="23">
        <v>4</v>
      </c>
      <c r="I12" s="23">
        <v>4</v>
      </c>
      <c r="J12" s="23">
        <v>4</v>
      </c>
      <c r="K12" s="61">
        <v>4</v>
      </c>
      <c r="L12" s="59"/>
      <c r="M12" s="23"/>
      <c r="N12" s="23"/>
      <c r="O12" s="23"/>
      <c r="P12" s="4"/>
      <c r="Q12" s="96"/>
      <c r="R12" s="3" t="s">
        <v>35</v>
      </c>
      <c r="S12" s="37">
        <v>2</v>
      </c>
      <c r="T12" s="37">
        <v>2</v>
      </c>
      <c r="U12" s="37">
        <v>2</v>
      </c>
      <c r="V12" s="37">
        <v>2</v>
      </c>
      <c r="W12" s="37">
        <v>2</v>
      </c>
      <c r="X12" s="37">
        <v>2</v>
      </c>
      <c r="Y12" s="37">
        <v>2</v>
      </c>
      <c r="Z12" s="37">
        <v>2</v>
      </c>
      <c r="AA12" s="78">
        <v>2</v>
      </c>
      <c r="AB12" s="76"/>
      <c r="AC12" s="37"/>
      <c r="AD12" s="37"/>
      <c r="AE12" s="37"/>
    </row>
    <row r="13" spans="1:31" x14ac:dyDescent="0.25">
      <c r="A13" s="96"/>
      <c r="B13" s="3" t="s">
        <v>9</v>
      </c>
      <c r="C13" s="2">
        <v>4</v>
      </c>
      <c r="D13" s="2">
        <v>4</v>
      </c>
      <c r="E13" s="2">
        <v>4</v>
      </c>
      <c r="F13" s="2">
        <v>4</v>
      </c>
      <c r="G13" s="2">
        <v>4</v>
      </c>
      <c r="H13" s="2">
        <v>4</v>
      </c>
      <c r="I13" s="2">
        <v>4</v>
      </c>
      <c r="J13" s="2">
        <v>4</v>
      </c>
      <c r="K13" s="62">
        <v>4</v>
      </c>
      <c r="L13" s="60"/>
      <c r="M13" s="2"/>
      <c r="N13" s="2"/>
      <c r="O13" s="2"/>
      <c r="P13" s="4"/>
      <c r="Q13" s="96"/>
      <c r="R13" s="3" t="s">
        <v>36</v>
      </c>
      <c r="S13" s="38"/>
      <c r="T13" s="38">
        <v>2</v>
      </c>
      <c r="U13" s="38">
        <v>2</v>
      </c>
      <c r="V13" s="38">
        <v>2</v>
      </c>
      <c r="W13" s="38">
        <v>2</v>
      </c>
      <c r="X13" s="38">
        <v>2</v>
      </c>
      <c r="Y13" s="38">
        <v>2</v>
      </c>
      <c r="Z13" s="38">
        <v>2</v>
      </c>
      <c r="AA13" s="79">
        <v>2</v>
      </c>
      <c r="AB13" s="77"/>
      <c r="AC13" s="38"/>
      <c r="AD13" s="38"/>
      <c r="AE13" s="38"/>
    </row>
    <row r="14" spans="1:31" x14ac:dyDescent="0.25">
      <c r="A14" s="96"/>
      <c r="B14" s="3" t="s">
        <v>10</v>
      </c>
      <c r="C14" s="23">
        <v>4</v>
      </c>
      <c r="D14" s="23">
        <v>4</v>
      </c>
      <c r="E14" s="23">
        <v>4</v>
      </c>
      <c r="F14" s="23">
        <v>4</v>
      </c>
      <c r="G14" s="23">
        <v>4</v>
      </c>
      <c r="H14" s="23">
        <v>2</v>
      </c>
      <c r="I14" s="23">
        <v>5</v>
      </c>
      <c r="J14" s="23">
        <v>4</v>
      </c>
      <c r="K14" s="61">
        <v>4</v>
      </c>
      <c r="L14" s="59"/>
      <c r="M14" s="23"/>
      <c r="N14" s="23"/>
      <c r="O14" s="23"/>
      <c r="P14" s="4"/>
      <c r="Q14" s="96"/>
      <c r="R14" s="3" t="s">
        <v>37</v>
      </c>
      <c r="S14" s="37">
        <v>2</v>
      </c>
      <c r="T14" s="37">
        <v>2</v>
      </c>
      <c r="U14" s="37">
        <v>2</v>
      </c>
      <c r="V14" s="37">
        <v>2</v>
      </c>
      <c r="W14" s="37">
        <v>2</v>
      </c>
      <c r="X14" s="37">
        <v>2</v>
      </c>
      <c r="Y14" s="37">
        <v>2</v>
      </c>
      <c r="Z14" s="37">
        <v>2</v>
      </c>
      <c r="AA14" s="78">
        <v>2</v>
      </c>
      <c r="AB14" s="76"/>
      <c r="AC14" s="37"/>
      <c r="AD14" s="37"/>
      <c r="AE14" s="37"/>
    </row>
    <row r="15" spans="1:31" x14ac:dyDescent="0.25">
      <c r="A15" s="96"/>
      <c r="B15" s="3" t="s">
        <v>11</v>
      </c>
      <c r="C15" s="2">
        <v>4</v>
      </c>
      <c r="D15" s="2">
        <v>4</v>
      </c>
      <c r="E15" s="2">
        <v>4</v>
      </c>
      <c r="F15" s="2">
        <v>3</v>
      </c>
      <c r="G15" s="2">
        <v>4</v>
      </c>
      <c r="H15" s="2">
        <v>4</v>
      </c>
      <c r="I15" s="2">
        <v>4</v>
      </c>
      <c r="J15" s="2">
        <v>4</v>
      </c>
      <c r="K15" s="62">
        <v>4</v>
      </c>
      <c r="L15" s="60"/>
      <c r="M15" s="2"/>
      <c r="N15" s="2"/>
      <c r="O15" s="2"/>
      <c r="P15" s="4"/>
      <c r="Q15" s="96"/>
      <c r="R15" s="3" t="s">
        <v>54</v>
      </c>
      <c r="S15" s="38">
        <v>2</v>
      </c>
      <c r="T15" s="38">
        <v>2</v>
      </c>
      <c r="U15" s="38">
        <v>2</v>
      </c>
      <c r="V15" s="38">
        <v>2</v>
      </c>
      <c r="W15" s="38">
        <v>2</v>
      </c>
      <c r="X15" s="38">
        <v>2</v>
      </c>
      <c r="Y15" s="38">
        <v>2</v>
      </c>
      <c r="Z15" s="38">
        <v>2</v>
      </c>
      <c r="AA15" s="79">
        <v>2</v>
      </c>
      <c r="AB15" s="77"/>
      <c r="AC15" s="38"/>
      <c r="AD15" s="38"/>
      <c r="AE15" s="38"/>
    </row>
    <row r="16" spans="1:31" x14ac:dyDescent="0.25">
      <c r="A16" s="96"/>
      <c r="B16" s="3" t="s">
        <v>25</v>
      </c>
      <c r="C16" s="23">
        <v>4</v>
      </c>
      <c r="D16" s="23">
        <v>4</v>
      </c>
      <c r="E16" s="23">
        <v>4</v>
      </c>
      <c r="F16" s="23">
        <v>4</v>
      </c>
      <c r="G16" s="23">
        <v>4</v>
      </c>
      <c r="H16" s="23">
        <v>4</v>
      </c>
      <c r="I16" s="23">
        <v>4</v>
      </c>
      <c r="J16" s="23">
        <v>4</v>
      </c>
      <c r="K16" s="61">
        <v>4</v>
      </c>
      <c r="L16" s="59"/>
      <c r="M16" s="23"/>
      <c r="N16" s="23"/>
      <c r="O16" s="23"/>
      <c r="P16" s="4"/>
      <c r="Q16" s="96"/>
      <c r="R16" s="3" t="s">
        <v>55</v>
      </c>
      <c r="S16" s="37">
        <v>2</v>
      </c>
      <c r="T16" s="37">
        <v>2</v>
      </c>
      <c r="U16" s="37">
        <v>2</v>
      </c>
      <c r="V16" s="37">
        <v>2</v>
      </c>
      <c r="W16" s="37">
        <v>2</v>
      </c>
      <c r="X16" s="37">
        <v>2</v>
      </c>
      <c r="Y16" s="37">
        <v>2</v>
      </c>
      <c r="Z16" s="37">
        <v>2</v>
      </c>
      <c r="AA16" s="78">
        <v>2</v>
      </c>
      <c r="AB16" s="76"/>
      <c r="AC16" s="37"/>
      <c r="AD16" s="37"/>
      <c r="AE16" s="37"/>
    </row>
    <row r="17" spans="1:31" x14ac:dyDescent="0.25">
      <c r="A17" s="96"/>
      <c r="B17" s="3" t="s">
        <v>26</v>
      </c>
      <c r="C17" s="2">
        <v>4</v>
      </c>
      <c r="D17" s="2">
        <v>4</v>
      </c>
      <c r="E17" s="2">
        <v>4</v>
      </c>
      <c r="F17" s="2">
        <v>4</v>
      </c>
      <c r="G17" s="2">
        <v>4</v>
      </c>
      <c r="H17" s="2">
        <v>4</v>
      </c>
      <c r="I17" s="2">
        <v>4</v>
      </c>
      <c r="J17" s="2">
        <v>4</v>
      </c>
      <c r="K17" s="62">
        <v>4</v>
      </c>
      <c r="L17" s="60"/>
      <c r="M17" s="2"/>
      <c r="N17" s="2"/>
      <c r="O17" s="2"/>
      <c r="P17" s="4"/>
      <c r="Q17" s="96"/>
      <c r="R17" s="3" t="s">
        <v>38</v>
      </c>
      <c r="S17" s="38">
        <v>2</v>
      </c>
      <c r="T17" s="38">
        <v>2</v>
      </c>
      <c r="U17" s="38">
        <v>2</v>
      </c>
      <c r="V17" s="38">
        <v>2</v>
      </c>
      <c r="W17" s="38">
        <v>2</v>
      </c>
      <c r="X17" s="38">
        <v>2</v>
      </c>
      <c r="Y17" s="38">
        <v>2</v>
      </c>
      <c r="Z17" s="38">
        <v>2</v>
      </c>
      <c r="AA17" s="79">
        <v>2</v>
      </c>
      <c r="AB17" s="77"/>
      <c r="AC17" s="38"/>
      <c r="AD17" s="38"/>
      <c r="AE17" s="38"/>
    </row>
    <row r="18" spans="1:31" x14ac:dyDescent="0.25">
      <c r="A18" s="96"/>
      <c r="B18" s="3" t="s">
        <v>12</v>
      </c>
      <c r="C18" s="23">
        <v>4</v>
      </c>
      <c r="D18" s="23">
        <v>4</v>
      </c>
      <c r="E18" s="23">
        <v>4</v>
      </c>
      <c r="F18" s="23">
        <v>4</v>
      </c>
      <c r="G18" s="23">
        <v>4</v>
      </c>
      <c r="H18" s="23">
        <v>4</v>
      </c>
      <c r="I18" s="23">
        <v>4</v>
      </c>
      <c r="J18" s="23">
        <v>4</v>
      </c>
      <c r="K18" s="61">
        <v>4</v>
      </c>
      <c r="L18" s="59"/>
      <c r="M18" s="23"/>
      <c r="N18" s="23"/>
      <c r="O18" s="23"/>
      <c r="P18" s="4"/>
      <c r="Q18" s="96"/>
      <c r="R18" s="3" t="s">
        <v>39</v>
      </c>
      <c r="S18" s="24"/>
      <c r="T18" s="24"/>
      <c r="U18" s="24"/>
      <c r="V18" s="24"/>
      <c r="W18" s="24"/>
      <c r="X18" s="24"/>
      <c r="Y18" s="24"/>
      <c r="Z18" s="24"/>
      <c r="AA18" s="80"/>
      <c r="AB18" s="65"/>
      <c r="AC18" s="24"/>
      <c r="AD18" s="24"/>
      <c r="AE18" s="24"/>
    </row>
    <row r="19" spans="1:31" x14ac:dyDescent="0.25">
      <c r="A19" s="96"/>
      <c r="B19" s="3" t="s">
        <v>13</v>
      </c>
      <c r="C19" s="2"/>
      <c r="D19" s="2"/>
      <c r="E19" s="2"/>
      <c r="F19" s="2"/>
      <c r="G19" s="2"/>
      <c r="H19" s="2"/>
      <c r="I19" s="2"/>
      <c r="J19" s="2"/>
      <c r="K19" s="62"/>
      <c r="L19" s="60"/>
      <c r="M19" s="2"/>
      <c r="N19" s="2"/>
      <c r="O19" s="2"/>
      <c r="P19" s="4"/>
      <c r="Q19" s="96"/>
      <c r="R19" s="3" t="s">
        <v>40</v>
      </c>
      <c r="S19" s="7"/>
      <c r="T19" s="7"/>
      <c r="U19" s="7"/>
      <c r="V19" s="7"/>
      <c r="W19" s="7"/>
      <c r="X19" s="7"/>
      <c r="Y19" s="7"/>
      <c r="Z19" s="7"/>
      <c r="AA19" s="81"/>
      <c r="AB19" s="66"/>
      <c r="AC19" s="7"/>
      <c r="AD19" s="7"/>
      <c r="AE19" s="7"/>
    </row>
    <row r="20" spans="1:31" x14ac:dyDescent="0.25">
      <c r="A20" s="96"/>
      <c r="B20" s="3" t="s">
        <v>14</v>
      </c>
      <c r="C20" s="23"/>
      <c r="D20" s="23"/>
      <c r="E20" s="23"/>
      <c r="F20" s="23"/>
      <c r="G20" s="23"/>
      <c r="H20" s="23"/>
      <c r="I20" s="23"/>
      <c r="J20" s="23"/>
      <c r="K20" s="61"/>
      <c r="L20" s="59"/>
      <c r="M20" s="23"/>
      <c r="N20" s="23"/>
      <c r="O20" s="23"/>
      <c r="P20" s="4"/>
      <c r="Q20" s="96"/>
      <c r="R20" s="3" t="s">
        <v>41</v>
      </c>
      <c r="S20" s="24"/>
      <c r="T20" s="24"/>
      <c r="U20" s="24"/>
      <c r="V20" s="24"/>
      <c r="W20" s="24"/>
      <c r="X20" s="24"/>
      <c r="Y20" s="24"/>
      <c r="Z20" s="24"/>
      <c r="AA20" s="80"/>
      <c r="AB20" s="65"/>
      <c r="AC20" s="24"/>
      <c r="AD20" s="24"/>
      <c r="AE20" s="24"/>
    </row>
    <row r="21" spans="1:31" x14ac:dyDescent="0.25">
      <c r="A21" s="96"/>
      <c r="B21" s="3" t="s">
        <v>15</v>
      </c>
      <c r="C21" s="2"/>
      <c r="D21" s="2"/>
      <c r="E21" s="2"/>
      <c r="F21" s="2"/>
      <c r="G21" s="2"/>
      <c r="H21" s="2"/>
      <c r="I21" s="2"/>
      <c r="J21" s="2"/>
      <c r="K21" s="62"/>
      <c r="L21" s="60"/>
      <c r="M21" s="2"/>
      <c r="N21" s="2"/>
      <c r="O21" s="2"/>
      <c r="P21" s="4"/>
      <c r="Q21" s="96"/>
      <c r="R21" s="3" t="s">
        <v>42</v>
      </c>
      <c r="S21" s="7"/>
      <c r="T21" s="7"/>
      <c r="U21" s="7"/>
      <c r="V21" s="7"/>
      <c r="W21" s="7"/>
      <c r="X21" s="7"/>
      <c r="Y21" s="7"/>
      <c r="Z21" s="7"/>
      <c r="AA21" s="81"/>
      <c r="AB21" s="66"/>
      <c r="AC21" s="7"/>
      <c r="AD21" s="7"/>
      <c r="AE21" s="7"/>
    </row>
    <row r="22" spans="1:31" x14ac:dyDescent="0.25">
      <c r="A22" s="96"/>
      <c r="B22" s="3" t="s">
        <v>16</v>
      </c>
      <c r="C22" s="23"/>
      <c r="D22" s="23"/>
      <c r="E22" s="23"/>
      <c r="F22" s="23"/>
      <c r="G22" s="23"/>
      <c r="H22" s="23"/>
      <c r="I22" s="23"/>
      <c r="J22" s="23"/>
      <c r="K22" s="61"/>
      <c r="L22" s="59"/>
      <c r="M22" s="23"/>
      <c r="N22" s="23"/>
      <c r="O22" s="23"/>
      <c r="P22" s="4"/>
      <c r="Q22" s="96"/>
      <c r="R22" s="3" t="s">
        <v>43</v>
      </c>
      <c r="S22" s="24"/>
      <c r="T22" s="24"/>
      <c r="U22" s="24"/>
      <c r="V22" s="24"/>
      <c r="W22" s="24"/>
      <c r="X22" s="24"/>
      <c r="Y22" s="24"/>
      <c r="Z22" s="24"/>
      <c r="AA22" s="80"/>
      <c r="AB22" s="65"/>
      <c r="AC22" s="24"/>
      <c r="AD22" s="24"/>
      <c r="AE22" s="24"/>
    </row>
    <row r="23" spans="1:31" x14ac:dyDescent="0.25">
      <c r="A23" s="96"/>
      <c r="B23" s="3" t="s">
        <v>17</v>
      </c>
      <c r="C23" s="2"/>
      <c r="D23" s="2"/>
      <c r="E23" s="2"/>
      <c r="F23" s="2"/>
      <c r="G23" s="2"/>
      <c r="H23" s="2"/>
      <c r="I23" s="2"/>
      <c r="J23" s="2"/>
      <c r="K23" s="62"/>
      <c r="L23" s="60"/>
      <c r="M23" s="2"/>
      <c r="N23" s="2"/>
      <c r="O23" s="2"/>
      <c r="P23" s="4"/>
      <c r="Q23" s="96"/>
      <c r="R23" s="3" t="s">
        <v>44</v>
      </c>
      <c r="S23" s="7"/>
      <c r="T23" s="7"/>
      <c r="U23" s="7"/>
      <c r="V23" s="7"/>
      <c r="W23" s="7"/>
      <c r="X23" s="7"/>
      <c r="Y23" s="7"/>
      <c r="Z23" s="7"/>
      <c r="AA23" s="81"/>
      <c r="AB23" s="66"/>
      <c r="AC23" s="7"/>
      <c r="AD23" s="7"/>
      <c r="AE23" s="7"/>
    </row>
    <row r="24" spans="1:31" x14ac:dyDescent="0.25">
      <c r="A24" s="96"/>
      <c r="B24" s="3" t="s">
        <v>18</v>
      </c>
      <c r="C24" s="23"/>
      <c r="D24" s="23"/>
      <c r="E24" s="23"/>
      <c r="F24" s="23"/>
      <c r="G24" s="23"/>
      <c r="H24" s="23"/>
      <c r="I24" s="23"/>
      <c r="J24" s="23"/>
      <c r="K24" s="61"/>
      <c r="L24" s="59"/>
      <c r="M24" s="23"/>
      <c r="N24" s="23"/>
      <c r="O24" s="23"/>
      <c r="P24" s="4"/>
      <c r="Q24" s="96"/>
      <c r="R24" s="3" t="s">
        <v>45</v>
      </c>
      <c r="S24" s="24"/>
      <c r="T24" s="24"/>
      <c r="U24" s="24"/>
      <c r="V24" s="24"/>
      <c r="W24" s="24"/>
      <c r="X24" s="24"/>
      <c r="Y24" s="24"/>
      <c r="Z24" s="24"/>
      <c r="AA24" s="80"/>
      <c r="AB24" s="65"/>
      <c r="AC24" s="24"/>
      <c r="AD24" s="24"/>
      <c r="AE24" s="24"/>
    </row>
    <row r="25" spans="1:31" x14ac:dyDescent="0.25">
      <c r="A25" s="96"/>
      <c r="B25" s="3" t="s">
        <v>19</v>
      </c>
      <c r="C25" s="2"/>
      <c r="D25" s="2"/>
      <c r="E25" s="2"/>
      <c r="F25" s="2"/>
      <c r="G25" s="2"/>
      <c r="H25" s="2"/>
      <c r="I25" s="2"/>
      <c r="J25" s="2"/>
      <c r="K25" s="62"/>
      <c r="L25" s="60"/>
      <c r="M25" s="2"/>
      <c r="N25" s="2"/>
      <c r="O25" s="2"/>
      <c r="P25" s="4"/>
      <c r="Q25" s="96"/>
      <c r="R25" s="3" t="s">
        <v>46</v>
      </c>
      <c r="S25" s="7"/>
      <c r="T25" s="7"/>
      <c r="U25" s="7"/>
      <c r="V25" s="7"/>
      <c r="W25" s="7"/>
      <c r="X25" s="7"/>
      <c r="Y25" s="7"/>
      <c r="Z25" s="7"/>
      <c r="AA25" s="81"/>
      <c r="AB25" s="66"/>
      <c r="AC25" s="7"/>
      <c r="AD25" s="7"/>
      <c r="AE25" s="7"/>
    </row>
    <row r="26" spans="1:31" x14ac:dyDescent="0.25">
      <c r="A26" s="96"/>
      <c r="B26" s="3" t="s">
        <v>20</v>
      </c>
      <c r="C26" s="23"/>
      <c r="D26" s="23"/>
      <c r="E26" s="23"/>
      <c r="F26" s="23"/>
      <c r="G26" s="23"/>
      <c r="H26" s="23"/>
      <c r="I26" s="23"/>
      <c r="J26" s="23"/>
      <c r="K26" s="61"/>
      <c r="L26" s="59"/>
      <c r="M26" s="23"/>
      <c r="N26" s="23"/>
      <c r="O26" s="23"/>
      <c r="P26" s="4"/>
      <c r="Q26" s="96"/>
      <c r="R26" s="3" t="s">
        <v>47</v>
      </c>
      <c r="S26" s="24"/>
      <c r="T26" s="24"/>
      <c r="U26" s="24"/>
      <c r="V26" s="24"/>
      <c r="W26" s="24"/>
      <c r="X26" s="24"/>
      <c r="Y26" s="24"/>
      <c r="Z26" s="24"/>
      <c r="AA26" s="80"/>
      <c r="AB26" s="65"/>
      <c r="AC26" s="24"/>
      <c r="AD26" s="24"/>
      <c r="AE26" s="24"/>
    </row>
    <row r="27" spans="1:31" x14ac:dyDescent="0.25">
      <c r="A27" s="96"/>
      <c r="B27" s="3" t="s">
        <v>21</v>
      </c>
      <c r="C27" s="2"/>
      <c r="D27" s="2"/>
      <c r="E27" s="2"/>
      <c r="F27" s="2"/>
      <c r="G27" s="2"/>
      <c r="H27" s="2"/>
      <c r="I27" s="2"/>
      <c r="J27" s="2"/>
      <c r="K27" s="62"/>
      <c r="L27" s="60"/>
      <c r="M27" s="2"/>
      <c r="N27" s="2"/>
      <c r="O27" s="2"/>
      <c r="P27" s="4"/>
      <c r="Q27" s="96"/>
      <c r="R27" s="3" t="s">
        <v>48</v>
      </c>
      <c r="S27" s="7"/>
      <c r="T27" s="7"/>
      <c r="U27" s="7"/>
      <c r="V27" s="7"/>
      <c r="W27" s="7"/>
      <c r="X27" s="7"/>
      <c r="Y27" s="7"/>
      <c r="Z27" s="7"/>
      <c r="AA27" s="81"/>
      <c r="AB27" s="66"/>
      <c r="AC27" s="7"/>
      <c r="AD27" s="7"/>
      <c r="AE27" s="7"/>
    </row>
    <row r="28" spans="1:31" x14ac:dyDescent="0.25">
      <c r="A28" s="96"/>
      <c r="B28" s="3" t="s">
        <v>22</v>
      </c>
      <c r="C28" s="23"/>
      <c r="D28" s="23"/>
      <c r="E28" s="23"/>
      <c r="F28" s="23"/>
      <c r="G28" s="23"/>
      <c r="H28" s="23"/>
      <c r="I28" s="23"/>
      <c r="J28" s="23"/>
      <c r="K28" s="61"/>
      <c r="L28" s="59"/>
      <c r="M28" s="23"/>
      <c r="N28" s="23"/>
      <c r="O28" s="23"/>
      <c r="P28" s="4"/>
      <c r="Q28" s="96"/>
      <c r="R28" s="3" t="s">
        <v>49</v>
      </c>
      <c r="S28" s="24"/>
      <c r="T28" s="24"/>
      <c r="U28" s="24"/>
      <c r="V28" s="24"/>
      <c r="W28" s="24"/>
      <c r="X28" s="24"/>
      <c r="Y28" s="24"/>
      <c r="Z28" s="24"/>
      <c r="AA28" s="80"/>
      <c r="AB28" s="65"/>
      <c r="AC28" s="24"/>
      <c r="AD28" s="24"/>
      <c r="AE28" s="24"/>
    </row>
    <row r="29" spans="1:31" x14ac:dyDescent="0.25">
      <c r="A29" s="96"/>
      <c r="B29" s="3" t="s">
        <v>23</v>
      </c>
      <c r="C29" s="2"/>
      <c r="D29" s="2"/>
      <c r="E29" s="2"/>
      <c r="F29" s="2"/>
      <c r="G29" s="2"/>
      <c r="H29" s="2"/>
      <c r="I29" s="2"/>
      <c r="J29" s="2"/>
      <c r="K29" s="62"/>
      <c r="L29" s="60"/>
      <c r="M29" s="2"/>
      <c r="N29" s="2"/>
      <c r="O29" s="2"/>
      <c r="P29" s="4"/>
      <c r="Q29" s="96"/>
      <c r="R29" s="3" t="s">
        <v>50</v>
      </c>
      <c r="S29" s="7"/>
      <c r="T29" s="7"/>
      <c r="U29" s="7"/>
      <c r="V29" s="7"/>
      <c r="W29" s="7"/>
      <c r="X29" s="7"/>
      <c r="Y29" s="7"/>
      <c r="Z29" s="7"/>
      <c r="AA29" s="81"/>
      <c r="AB29" s="66"/>
      <c r="AC29" s="7"/>
      <c r="AD29" s="7"/>
      <c r="AE29" s="7"/>
    </row>
    <row r="30" spans="1:31" x14ac:dyDescent="0.25">
      <c r="A30" s="96"/>
      <c r="B30" s="3" t="s">
        <v>24</v>
      </c>
      <c r="C30" s="23"/>
      <c r="D30" s="23"/>
      <c r="E30" s="23"/>
      <c r="F30" s="23"/>
      <c r="G30" s="23"/>
      <c r="H30" s="23"/>
      <c r="I30" s="23"/>
      <c r="J30" s="23"/>
      <c r="K30" s="61"/>
      <c r="L30" s="59"/>
      <c r="M30" s="23"/>
      <c r="N30" s="23"/>
      <c r="O30" s="23"/>
      <c r="P30" s="4"/>
      <c r="Q30" s="96"/>
      <c r="R30" s="4"/>
      <c r="S30" s="4"/>
      <c r="T30" s="4"/>
      <c r="U30" s="4"/>
      <c r="V30" s="4"/>
      <c r="W30" s="4"/>
      <c r="X30" s="4"/>
      <c r="Y30" s="4"/>
      <c r="Z30" s="4"/>
      <c r="AA30" s="4"/>
      <c r="AB30" s="4"/>
      <c r="AC30" s="4"/>
      <c r="AD30" s="4"/>
      <c r="AE30" s="4"/>
    </row>
    <row r="31" spans="1:31" x14ac:dyDescent="0.25">
      <c r="A31" s="32"/>
      <c r="B31" s="1"/>
      <c r="C31" s="33"/>
      <c r="D31" s="33"/>
      <c r="E31" s="33"/>
      <c r="F31" s="33"/>
      <c r="G31" s="33"/>
      <c r="H31" s="33"/>
      <c r="I31" s="33"/>
      <c r="J31" s="33"/>
      <c r="K31" s="33"/>
      <c r="L31" s="33"/>
      <c r="M31" s="33"/>
      <c r="N31" s="33"/>
      <c r="O31" s="33"/>
      <c r="P31" s="1"/>
      <c r="Q31" s="32"/>
      <c r="R31" s="1"/>
      <c r="S31" s="1"/>
      <c r="T31" s="1"/>
      <c r="U31" s="1"/>
      <c r="V31" s="1"/>
      <c r="W31" s="1"/>
      <c r="X31" s="1"/>
      <c r="Y31" s="1"/>
      <c r="Z31" s="1"/>
      <c r="AA31" s="1"/>
      <c r="AB31" s="1"/>
      <c r="AC31" s="1"/>
      <c r="AD31" s="1"/>
      <c r="AE31" s="1"/>
    </row>
    <row r="32" spans="1:31" ht="23.25" x14ac:dyDescent="0.25">
      <c r="A32" s="95" t="s">
        <v>116</v>
      </c>
      <c r="B32" s="95"/>
      <c r="C32" s="95"/>
      <c r="D32" s="95"/>
      <c r="E32" s="95"/>
      <c r="F32" s="95"/>
      <c r="G32" s="95"/>
      <c r="H32" s="95"/>
      <c r="I32" s="95"/>
      <c r="J32" s="95"/>
      <c r="K32" s="95"/>
      <c r="L32" s="95"/>
      <c r="M32" s="95"/>
      <c r="N32" s="95"/>
      <c r="O32" s="95"/>
      <c r="P32" s="95"/>
      <c r="Q32" s="95"/>
      <c r="R32" s="95"/>
      <c r="S32" s="95"/>
      <c r="T32" s="95"/>
      <c r="U32" s="95"/>
      <c r="V32" s="95"/>
      <c r="W32" s="95"/>
      <c r="X32" s="95"/>
      <c r="Y32" s="95"/>
      <c r="Z32" s="95"/>
      <c r="AA32" s="95"/>
      <c r="AB32" s="95"/>
      <c r="AC32" s="95"/>
      <c r="AD32" s="95"/>
      <c r="AE32" s="1"/>
    </row>
    <row r="33" spans="1:31" ht="15.75" x14ac:dyDescent="0.25">
      <c r="B33" s="117" t="s">
        <v>88</v>
      </c>
      <c r="C33" s="117"/>
      <c r="D33" s="117"/>
      <c r="E33" s="117"/>
      <c r="F33" s="117"/>
      <c r="G33" s="117"/>
      <c r="H33" s="117"/>
      <c r="I33" s="117"/>
      <c r="J33" s="117"/>
      <c r="K33" s="117"/>
      <c r="L33" s="117"/>
      <c r="M33" s="117"/>
      <c r="N33" s="117"/>
      <c r="O33" s="117"/>
      <c r="S33" s="117" t="s">
        <v>88</v>
      </c>
      <c r="T33" s="117"/>
      <c r="U33" s="117"/>
      <c r="V33" s="117"/>
      <c r="W33" s="117"/>
      <c r="X33" s="117"/>
      <c r="Y33" s="117"/>
      <c r="Z33" s="117"/>
      <c r="AA33" s="117"/>
      <c r="AB33" s="117"/>
      <c r="AC33" s="117"/>
      <c r="AD33" s="117"/>
      <c r="AE33" s="117"/>
    </row>
    <row r="34" spans="1:31" ht="36" x14ac:dyDescent="0.25">
      <c r="A34" s="4"/>
      <c r="B34" s="5"/>
      <c r="C34" s="97" t="s">
        <v>1</v>
      </c>
      <c r="D34" s="97"/>
      <c r="E34" s="97"/>
      <c r="F34" s="97"/>
      <c r="G34" s="97"/>
      <c r="H34" s="97"/>
      <c r="I34" s="97"/>
      <c r="J34" s="97"/>
      <c r="K34" s="97"/>
      <c r="L34" s="97"/>
      <c r="M34" s="97"/>
      <c r="N34" s="97"/>
      <c r="O34" s="97"/>
      <c r="P34" s="4"/>
      <c r="Q34" s="4"/>
      <c r="R34" s="4"/>
      <c r="S34" s="97" t="s">
        <v>1</v>
      </c>
      <c r="T34" s="97"/>
      <c r="U34" s="97"/>
      <c r="V34" s="97"/>
      <c r="W34" s="97"/>
      <c r="X34" s="97"/>
      <c r="Y34" s="97"/>
      <c r="Z34" s="97"/>
      <c r="AA34" s="97"/>
      <c r="AB34" s="97"/>
      <c r="AC34" s="97"/>
      <c r="AD34" s="97"/>
      <c r="AE34" s="97"/>
    </row>
    <row r="35" spans="1:31" ht="15.75" x14ac:dyDescent="0.25">
      <c r="A35" s="4"/>
      <c r="B35" s="5"/>
      <c r="C35" s="98" t="s">
        <v>52</v>
      </c>
      <c r="D35" s="98"/>
      <c r="E35" s="98"/>
      <c r="F35" s="98"/>
      <c r="G35" s="98"/>
      <c r="H35" s="98"/>
      <c r="I35" s="98"/>
      <c r="J35" s="98"/>
      <c r="K35" s="98"/>
      <c r="L35" s="98"/>
      <c r="M35" s="98"/>
      <c r="N35" s="98"/>
      <c r="O35" s="98"/>
      <c r="P35" s="4"/>
      <c r="Q35" s="4"/>
      <c r="R35" s="4"/>
      <c r="S35" s="98" t="s">
        <v>52</v>
      </c>
      <c r="T35" s="98"/>
      <c r="U35" s="98"/>
      <c r="V35" s="98"/>
      <c r="W35" s="98"/>
      <c r="X35" s="98"/>
      <c r="Y35" s="98"/>
      <c r="Z35" s="98"/>
      <c r="AA35" s="98"/>
      <c r="AB35" s="98"/>
      <c r="AC35" s="98"/>
      <c r="AD35" s="98"/>
      <c r="AE35" s="98"/>
    </row>
    <row r="36" spans="1:31" ht="21" x14ac:dyDescent="0.25">
      <c r="A36" s="29" t="s">
        <v>52</v>
      </c>
      <c r="B36" s="1"/>
      <c r="C36" s="3" t="s">
        <v>2</v>
      </c>
      <c r="D36" s="3" t="s">
        <v>3</v>
      </c>
      <c r="E36" s="3" t="s">
        <v>4</v>
      </c>
      <c r="F36" s="3" t="s">
        <v>5</v>
      </c>
      <c r="G36" s="3" t="s">
        <v>6</v>
      </c>
      <c r="H36" s="3" t="s">
        <v>7</v>
      </c>
      <c r="I36" s="3" t="s">
        <v>8</v>
      </c>
      <c r="J36" s="3" t="s">
        <v>9</v>
      </c>
      <c r="K36" s="3" t="s">
        <v>10</v>
      </c>
      <c r="L36" s="3" t="s">
        <v>11</v>
      </c>
      <c r="M36" s="3" t="s">
        <v>25</v>
      </c>
      <c r="N36" s="3" t="s">
        <v>26</v>
      </c>
      <c r="O36" s="3" t="s">
        <v>12</v>
      </c>
      <c r="P36" s="4"/>
      <c r="Q36" s="29" t="s">
        <v>51</v>
      </c>
      <c r="R36" s="1"/>
      <c r="S36" s="3" t="s">
        <v>2</v>
      </c>
      <c r="T36" s="3" t="s">
        <v>3</v>
      </c>
      <c r="U36" s="3" t="s">
        <v>4</v>
      </c>
      <c r="V36" s="3" t="s">
        <v>5</v>
      </c>
      <c r="W36" s="3" t="s">
        <v>6</v>
      </c>
      <c r="X36" s="3" t="s">
        <v>7</v>
      </c>
      <c r="Y36" s="3" t="s">
        <v>8</v>
      </c>
      <c r="Z36" s="3" t="s">
        <v>9</v>
      </c>
      <c r="AA36" s="3" t="s">
        <v>10</v>
      </c>
      <c r="AB36" s="3" t="s">
        <v>11</v>
      </c>
      <c r="AC36" s="3" t="s">
        <v>25</v>
      </c>
      <c r="AD36" s="3" t="s">
        <v>26</v>
      </c>
      <c r="AE36" s="3" t="s">
        <v>12</v>
      </c>
    </row>
    <row r="37" spans="1:31" x14ac:dyDescent="0.25">
      <c r="A37" s="96" t="s">
        <v>71</v>
      </c>
      <c r="B37" s="3" t="s">
        <v>2</v>
      </c>
      <c r="C37" s="23">
        <f>IF(C6&lt;4,4-C6,"")</f>
        <v>1</v>
      </c>
      <c r="D37" s="23" t="str">
        <f t="shared" ref="D37:K37" si="0">IF(D6&lt;4,4-D6,"")</f>
        <v/>
      </c>
      <c r="E37" s="23" t="str">
        <f t="shared" si="0"/>
        <v/>
      </c>
      <c r="F37" s="23" t="str">
        <f t="shared" si="0"/>
        <v/>
      </c>
      <c r="G37" s="23" t="str">
        <f t="shared" si="0"/>
        <v/>
      </c>
      <c r="H37" s="23" t="str">
        <f t="shared" si="0"/>
        <v/>
      </c>
      <c r="I37" s="23">
        <f t="shared" si="0"/>
        <v>1</v>
      </c>
      <c r="J37" s="23" t="str">
        <f t="shared" si="0"/>
        <v/>
      </c>
      <c r="K37" s="23">
        <f t="shared" si="0"/>
        <v>1</v>
      </c>
      <c r="L37" s="23"/>
      <c r="M37" s="23"/>
      <c r="N37" s="23"/>
      <c r="O37" s="23"/>
      <c r="P37" s="4"/>
      <c r="Q37" s="96" t="s">
        <v>72</v>
      </c>
      <c r="R37" s="3" t="s">
        <v>29</v>
      </c>
      <c r="S37" s="23" t="str">
        <f>IF(S6&lt;2,2-S6,"")</f>
        <v/>
      </c>
      <c r="T37" s="23" t="str">
        <f t="shared" ref="T37:AA37" si="1">IF(T6&lt;2,2-T6,"")</f>
        <v/>
      </c>
      <c r="U37" s="23" t="str">
        <f t="shared" si="1"/>
        <v/>
      </c>
      <c r="V37" s="23" t="str">
        <f t="shared" si="1"/>
        <v/>
      </c>
      <c r="W37" s="23" t="str">
        <f t="shared" si="1"/>
        <v/>
      </c>
      <c r="X37" s="23" t="str">
        <f t="shared" si="1"/>
        <v/>
      </c>
      <c r="Y37" s="23" t="str">
        <f t="shared" si="1"/>
        <v/>
      </c>
      <c r="Z37" s="23" t="str">
        <f t="shared" si="1"/>
        <v/>
      </c>
      <c r="AA37" s="23">
        <f t="shared" si="1"/>
        <v>2</v>
      </c>
      <c r="AB37" s="23"/>
      <c r="AC37" s="23"/>
      <c r="AD37" s="23"/>
      <c r="AE37" s="23"/>
    </row>
    <row r="38" spans="1:31" x14ac:dyDescent="0.25">
      <c r="A38" s="96"/>
      <c r="B38" s="3" t="s">
        <v>3</v>
      </c>
      <c r="C38" s="31" t="str">
        <f>IF(C7&lt;4,4-C7,"")</f>
        <v/>
      </c>
      <c r="D38" s="31" t="str">
        <f t="shared" ref="D38:K38" si="2">IF(D7&lt;4,4-D7,"")</f>
        <v/>
      </c>
      <c r="E38" s="31" t="str">
        <f t="shared" si="2"/>
        <v/>
      </c>
      <c r="F38" s="31" t="str">
        <f t="shared" si="2"/>
        <v/>
      </c>
      <c r="G38" s="31" t="str">
        <f t="shared" si="2"/>
        <v/>
      </c>
      <c r="H38" s="31" t="str">
        <f t="shared" si="2"/>
        <v/>
      </c>
      <c r="I38" s="31" t="str">
        <f t="shared" si="2"/>
        <v/>
      </c>
      <c r="J38" s="31">
        <f t="shared" si="2"/>
        <v>2</v>
      </c>
      <c r="K38" s="31" t="str">
        <f t="shared" si="2"/>
        <v/>
      </c>
      <c r="L38" s="31"/>
      <c r="M38" s="31"/>
      <c r="N38" s="31"/>
      <c r="O38" s="31"/>
      <c r="P38" s="4"/>
      <c r="Q38" s="96"/>
      <c r="R38" s="3" t="s">
        <v>30</v>
      </c>
      <c r="S38" s="2" t="str">
        <f>IF(S7&lt;2,2-S7,"")</f>
        <v/>
      </c>
      <c r="T38" s="2" t="str">
        <f t="shared" ref="T38:AA38" si="3">IF(T7&lt;2,2-T7,"")</f>
        <v/>
      </c>
      <c r="U38" s="2" t="str">
        <f t="shared" si="3"/>
        <v/>
      </c>
      <c r="V38" s="2" t="str">
        <f t="shared" si="3"/>
        <v/>
      </c>
      <c r="W38" s="2" t="str">
        <f t="shared" si="3"/>
        <v/>
      </c>
      <c r="X38" s="2" t="str">
        <f t="shared" si="3"/>
        <v/>
      </c>
      <c r="Y38" s="2" t="str">
        <f t="shared" si="3"/>
        <v/>
      </c>
      <c r="Z38" s="2" t="str">
        <f t="shared" si="3"/>
        <v/>
      </c>
      <c r="AA38" s="2" t="str">
        <f t="shared" si="3"/>
        <v/>
      </c>
      <c r="AB38" s="2"/>
      <c r="AC38" s="2"/>
      <c r="AD38" s="2"/>
      <c r="AE38" s="2"/>
    </row>
    <row r="39" spans="1:31" x14ac:dyDescent="0.25">
      <c r="A39" s="96"/>
      <c r="B39" s="3" t="s">
        <v>4</v>
      </c>
      <c r="C39" s="23" t="str">
        <f t="shared" ref="C39:K39" si="4">IF(C8&lt;4,4-C8,"")</f>
        <v/>
      </c>
      <c r="D39" s="23" t="str">
        <f t="shared" si="4"/>
        <v/>
      </c>
      <c r="E39" s="23" t="str">
        <f t="shared" si="4"/>
        <v/>
      </c>
      <c r="F39" s="23" t="str">
        <f t="shared" si="4"/>
        <v/>
      </c>
      <c r="G39" s="23" t="str">
        <f t="shared" si="4"/>
        <v/>
      </c>
      <c r="H39" s="23" t="str">
        <f t="shared" si="4"/>
        <v/>
      </c>
      <c r="I39" s="23" t="str">
        <f t="shared" si="4"/>
        <v/>
      </c>
      <c r="J39" s="23" t="str">
        <f t="shared" si="4"/>
        <v/>
      </c>
      <c r="K39" s="23" t="str">
        <f t="shared" si="4"/>
        <v/>
      </c>
      <c r="L39" s="23"/>
      <c r="M39" s="23"/>
      <c r="N39" s="23"/>
      <c r="O39" s="23"/>
      <c r="P39" s="4"/>
      <c r="Q39" s="96"/>
      <c r="R39" s="3" t="s">
        <v>31</v>
      </c>
      <c r="S39" s="23" t="str">
        <f t="shared" ref="S39:AA39" si="5">IF(S8&lt;2,2-S8,"")</f>
        <v/>
      </c>
      <c r="T39" s="23" t="str">
        <f t="shared" si="5"/>
        <v/>
      </c>
      <c r="U39" s="23" t="str">
        <f t="shared" si="5"/>
        <v/>
      </c>
      <c r="V39" s="23" t="str">
        <f t="shared" si="5"/>
        <v/>
      </c>
      <c r="W39" s="23" t="str">
        <f t="shared" si="5"/>
        <v/>
      </c>
      <c r="X39" s="23" t="str">
        <f t="shared" si="5"/>
        <v/>
      </c>
      <c r="Y39" s="23">
        <f t="shared" si="5"/>
        <v>1</v>
      </c>
      <c r="Z39" s="23" t="str">
        <f t="shared" si="5"/>
        <v/>
      </c>
      <c r="AA39" s="23" t="str">
        <f t="shared" si="5"/>
        <v/>
      </c>
      <c r="AB39" s="23"/>
      <c r="AC39" s="23"/>
      <c r="AD39" s="23"/>
      <c r="AE39" s="23"/>
    </row>
    <row r="40" spans="1:31" x14ac:dyDescent="0.25">
      <c r="A40" s="96"/>
      <c r="B40" s="3" t="s">
        <v>5</v>
      </c>
      <c r="C40" s="31">
        <f t="shared" ref="C40:K40" si="6">IF(C9&lt;4,4-C9,"")</f>
        <v>2</v>
      </c>
      <c r="D40" s="31" t="str">
        <f t="shared" si="6"/>
        <v/>
      </c>
      <c r="E40" s="31" t="str">
        <f t="shared" si="6"/>
        <v/>
      </c>
      <c r="F40" s="31" t="str">
        <f t="shared" si="6"/>
        <v/>
      </c>
      <c r="G40" s="31" t="str">
        <f t="shared" si="6"/>
        <v/>
      </c>
      <c r="H40" s="31" t="str">
        <f t="shared" si="6"/>
        <v/>
      </c>
      <c r="I40" s="31">
        <f t="shared" si="6"/>
        <v>2</v>
      </c>
      <c r="J40" s="31" t="str">
        <f t="shared" si="6"/>
        <v/>
      </c>
      <c r="K40" s="31" t="str">
        <f t="shared" si="6"/>
        <v/>
      </c>
      <c r="L40" s="31"/>
      <c r="M40" s="31"/>
      <c r="N40" s="31"/>
      <c r="O40" s="31"/>
      <c r="P40" s="4"/>
      <c r="Q40" s="96"/>
      <c r="R40" s="3" t="s">
        <v>32</v>
      </c>
      <c r="S40" s="2" t="str">
        <f t="shared" ref="S40:AA40" si="7">IF(S9&lt;2,2-S9,"")</f>
        <v/>
      </c>
      <c r="T40" s="2" t="str">
        <f t="shared" si="7"/>
        <v/>
      </c>
      <c r="U40" s="2" t="str">
        <f t="shared" si="7"/>
        <v/>
      </c>
      <c r="V40" s="2">
        <f t="shared" si="7"/>
        <v>1</v>
      </c>
      <c r="W40" s="2" t="str">
        <f t="shared" si="7"/>
        <v/>
      </c>
      <c r="X40" s="2" t="str">
        <f t="shared" si="7"/>
        <v/>
      </c>
      <c r="Y40" s="2" t="str">
        <f t="shared" si="7"/>
        <v/>
      </c>
      <c r="Z40" s="2" t="str">
        <f t="shared" si="7"/>
        <v/>
      </c>
      <c r="AA40" s="2" t="str">
        <f t="shared" si="7"/>
        <v/>
      </c>
      <c r="AB40" s="2"/>
      <c r="AC40" s="2"/>
      <c r="AD40" s="2"/>
      <c r="AE40" s="2"/>
    </row>
    <row r="41" spans="1:31" x14ac:dyDescent="0.25">
      <c r="A41" s="96"/>
      <c r="B41" s="3" t="s">
        <v>6</v>
      </c>
      <c r="C41" s="23" t="str">
        <f t="shared" ref="C41:K41" si="8">IF(C10&lt;4,4-C10,"")</f>
        <v/>
      </c>
      <c r="D41" s="23" t="str">
        <f t="shared" si="8"/>
        <v/>
      </c>
      <c r="E41" s="23" t="str">
        <f t="shared" si="8"/>
        <v/>
      </c>
      <c r="F41" s="23" t="str">
        <f t="shared" si="8"/>
        <v/>
      </c>
      <c r="G41" s="23" t="str">
        <f t="shared" si="8"/>
        <v/>
      </c>
      <c r="H41" s="23" t="str">
        <f t="shared" si="8"/>
        <v/>
      </c>
      <c r="I41" s="23" t="str">
        <f t="shared" si="8"/>
        <v/>
      </c>
      <c r="J41" s="23" t="str">
        <f t="shared" si="8"/>
        <v/>
      </c>
      <c r="K41" s="23" t="str">
        <f t="shared" si="8"/>
        <v/>
      </c>
      <c r="L41" s="23"/>
      <c r="M41" s="23"/>
      <c r="N41" s="23"/>
      <c r="O41" s="23"/>
      <c r="P41" s="4"/>
      <c r="Q41" s="96"/>
      <c r="R41" s="3" t="s">
        <v>33</v>
      </c>
      <c r="S41" s="23" t="str">
        <f t="shared" ref="S41:AA41" si="9">IF(S10&lt;2,2-S10,"")</f>
        <v/>
      </c>
      <c r="T41" s="23" t="str">
        <f t="shared" si="9"/>
        <v/>
      </c>
      <c r="U41" s="23" t="str">
        <f t="shared" si="9"/>
        <v/>
      </c>
      <c r="V41" s="23" t="str">
        <f t="shared" si="9"/>
        <v/>
      </c>
      <c r="W41" s="23" t="str">
        <f t="shared" si="9"/>
        <v/>
      </c>
      <c r="X41" s="23" t="str">
        <f t="shared" si="9"/>
        <v/>
      </c>
      <c r="Y41" s="23" t="str">
        <f t="shared" si="9"/>
        <v/>
      </c>
      <c r="Z41" s="23" t="str">
        <f t="shared" si="9"/>
        <v/>
      </c>
      <c r="AA41" s="23" t="str">
        <f t="shared" si="9"/>
        <v/>
      </c>
      <c r="AB41" s="23"/>
      <c r="AC41" s="23"/>
      <c r="AD41" s="23"/>
      <c r="AE41" s="23"/>
    </row>
    <row r="42" spans="1:31" x14ac:dyDescent="0.25">
      <c r="A42" s="96"/>
      <c r="B42" s="3" t="s">
        <v>7</v>
      </c>
      <c r="C42" s="31">
        <f t="shared" ref="C42:K42" si="10">IF(C11&lt;4,4-C11,"")</f>
        <v>1</v>
      </c>
      <c r="D42" s="31">
        <f t="shared" si="10"/>
        <v>1</v>
      </c>
      <c r="E42" s="31" t="str">
        <f t="shared" si="10"/>
        <v/>
      </c>
      <c r="F42" s="31">
        <f t="shared" si="10"/>
        <v>2</v>
      </c>
      <c r="G42" s="31" t="str">
        <f t="shared" si="10"/>
        <v/>
      </c>
      <c r="H42" s="31" t="str">
        <f t="shared" si="10"/>
        <v/>
      </c>
      <c r="I42" s="31" t="str">
        <f t="shared" si="10"/>
        <v/>
      </c>
      <c r="J42" s="31" t="str">
        <f t="shared" si="10"/>
        <v/>
      </c>
      <c r="K42" s="31" t="str">
        <f t="shared" si="10"/>
        <v/>
      </c>
      <c r="L42" s="31"/>
      <c r="M42" s="31"/>
      <c r="N42" s="31"/>
      <c r="O42" s="31"/>
      <c r="P42" s="4"/>
      <c r="Q42" s="96"/>
      <c r="R42" s="3" t="s">
        <v>34</v>
      </c>
      <c r="S42" s="2" t="str">
        <f t="shared" ref="S42:AA42" si="11">IF(S11&lt;2,2-S11,"")</f>
        <v/>
      </c>
      <c r="T42" s="2" t="str">
        <f t="shared" si="11"/>
        <v/>
      </c>
      <c r="U42" s="2" t="str">
        <f t="shared" si="11"/>
        <v/>
      </c>
      <c r="V42" s="2" t="str">
        <f t="shared" si="11"/>
        <v/>
      </c>
      <c r="W42" s="2" t="str">
        <f t="shared" si="11"/>
        <v/>
      </c>
      <c r="X42" s="2" t="str">
        <f t="shared" si="11"/>
        <v/>
      </c>
      <c r="Y42" s="2" t="str">
        <f t="shared" si="11"/>
        <v/>
      </c>
      <c r="Z42" s="2" t="str">
        <f t="shared" si="11"/>
        <v/>
      </c>
      <c r="AA42" s="2" t="str">
        <f t="shared" si="11"/>
        <v/>
      </c>
      <c r="AB42" s="2"/>
      <c r="AC42" s="2"/>
      <c r="AD42" s="2"/>
      <c r="AE42" s="2"/>
    </row>
    <row r="43" spans="1:31" x14ac:dyDescent="0.25">
      <c r="A43" s="96"/>
      <c r="B43" s="3" t="s">
        <v>8</v>
      </c>
      <c r="C43" s="23" t="str">
        <f t="shared" ref="C43:K43" si="12">IF(C12&lt;4,4-C12,"")</f>
        <v/>
      </c>
      <c r="D43" s="23" t="str">
        <f t="shared" si="12"/>
        <v/>
      </c>
      <c r="E43" s="23">
        <f t="shared" si="12"/>
        <v>1</v>
      </c>
      <c r="F43" s="23">
        <f t="shared" si="12"/>
        <v>1</v>
      </c>
      <c r="G43" s="23" t="str">
        <f t="shared" si="12"/>
        <v/>
      </c>
      <c r="H43" s="23" t="str">
        <f t="shared" si="12"/>
        <v/>
      </c>
      <c r="I43" s="23" t="str">
        <f t="shared" si="12"/>
        <v/>
      </c>
      <c r="J43" s="23" t="str">
        <f t="shared" si="12"/>
        <v/>
      </c>
      <c r="K43" s="23" t="str">
        <f t="shared" si="12"/>
        <v/>
      </c>
      <c r="L43" s="23"/>
      <c r="M43" s="23"/>
      <c r="N43" s="23"/>
      <c r="O43" s="23"/>
      <c r="P43" s="4"/>
      <c r="Q43" s="96"/>
      <c r="R43" s="3" t="s">
        <v>35</v>
      </c>
      <c r="S43" s="23" t="str">
        <f t="shared" ref="S43:AA43" si="13">IF(S12&lt;2,2-S12,"")</f>
        <v/>
      </c>
      <c r="T43" s="23" t="str">
        <f t="shared" si="13"/>
        <v/>
      </c>
      <c r="U43" s="23" t="str">
        <f t="shared" si="13"/>
        <v/>
      </c>
      <c r="V43" s="23" t="str">
        <f t="shared" si="13"/>
        <v/>
      </c>
      <c r="W43" s="23" t="str">
        <f t="shared" si="13"/>
        <v/>
      </c>
      <c r="X43" s="23" t="str">
        <f t="shared" si="13"/>
        <v/>
      </c>
      <c r="Y43" s="23" t="str">
        <f t="shared" si="13"/>
        <v/>
      </c>
      <c r="Z43" s="23" t="str">
        <f t="shared" si="13"/>
        <v/>
      </c>
      <c r="AA43" s="23" t="str">
        <f t="shared" si="13"/>
        <v/>
      </c>
      <c r="AB43" s="23"/>
      <c r="AC43" s="23"/>
      <c r="AD43" s="23"/>
      <c r="AE43" s="23"/>
    </row>
    <row r="44" spans="1:31" x14ac:dyDescent="0.25">
      <c r="A44" s="96"/>
      <c r="B44" s="3" t="s">
        <v>9</v>
      </c>
      <c r="C44" s="31" t="str">
        <f t="shared" ref="C44:K44" si="14">IF(C13&lt;4,4-C13,"")</f>
        <v/>
      </c>
      <c r="D44" s="31" t="str">
        <f t="shared" si="14"/>
        <v/>
      </c>
      <c r="E44" s="31" t="str">
        <f t="shared" si="14"/>
        <v/>
      </c>
      <c r="F44" s="31" t="str">
        <f t="shared" si="14"/>
        <v/>
      </c>
      <c r="G44" s="31" t="str">
        <f t="shared" si="14"/>
        <v/>
      </c>
      <c r="H44" s="31" t="str">
        <f t="shared" si="14"/>
        <v/>
      </c>
      <c r="I44" s="31" t="str">
        <f t="shared" si="14"/>
        <v/>
      </c>
      <c r="J44" s="31" t="str">
        <f t="shared" si="14"/>
        <v/>
      </c>
      <c r="K44" s="31" t="str">
        <f t="shared" si="14"/>
        <v/>
      </c>
      <c r="L44" s="31"/>
      <c r="M44" s="31"/>
      <c r="N44" s="31"/>
      <c r="O44" s="31"/>
      <c r="P44" s="4"/>
      <c r="Q44" s="96"/>
      <c r="R44" s="3" t="s">
        <v>36</v>
      </c>
      <c r="S44" s="2">
        <f t="shared" ref="S44:AA44" si="15">IF(S13&lt;2,2-S13,"")</f>
        <v>2</v>
      </c>
      <c r="T44" s="2" t="str">
        <f t="shared" si="15"/>
        <v/>
      </c>
      <c r="U44" s="2" t="str">
        <f t="shared" si="15"/>
        <v/>
      </c>
      <c r="V44" s="2" t="str">
        <f t="shared" si="15"/>
        <v/>
      </c>
      <c r="W44" s="2" t="str">
        <f t="shared" si="15"/>
        <v/>
      </c>
      <c r="X44" s="2" t="str">
        <f t="shared" si="15"/>
        <v/>
      </c>
      <c r="Y44" s="2" t="str">
        <f t="shared" si="15"/>
        <v/>
      </c>
      <c r="Z44" s="2" t="str">
        <f t="shared" si="15"/>
        <v/>
      </c>
      <c r="AA44" s="2" t="str">
        <f t="shared" si="15"/>
        <v/>
      </c>
      <c r="AB44" s="2"/>
      <c r="AC44" s="2"/>
      <c r="AD44" s="2"/>
      <c r="AE44" s="2"/>
    </row>
    <row r="45" spans="1:31" x14ac:dyDescent="0.25">
      <c r="A45" s="96"/>
      <c r="B45" s="3" t="s">
        <v>10</v>
      </c>
      <c r="C45" s="23" t="str">
        <f t="shared" ref="C45:K45" si="16">IF(C14&lt;4,4-C14,"")</f>
        <v/>
      </c>
      <c r="D45" s="23" t="str">
        <f t="shared" si="16"/>
        <v/>
      </c>
      <c r="E45" s="23" t="str">
        <f t="shared" si="16"/>
        <v/>
      </c>
      <c r="F45" s="23" t="str">
        <f t="shared" si="16"/>
        <v/>
      </c>
      <c r="G45" s="23" t="str">
        <f t="shared" si="16"/>
        <v/>
      </c>
      <c r="H45" s="23">
        <f t="shared" si="16"/>
        <v>2</v>
      </c>
      <c r="I45" s="23" t="str">
        <f t="shared" si="16"/>
        <v/>
      </c>
      <c r="J45" s="23" t="str">
        <f t="shared" si="16"/>
        <v/>
      </c>
      <c r="K45" s="23" t="str">
        <f t="shared" si="16"/>
        <v/>
      </c>
      <c r="L45" s="23"/>
      <c r="M45" s="23"/>
      <c r="N45" s="23"/>
      <c r="O45" s="23"/>
      <c r="P45" s="4"/>
      <c r="Q45" s="96"/>
      <c r="R45" s="3" t="s">
        <v>37</v>
      </c>
      <c r="S45" s="23" t="str">
        <f t="shared" ref="S45:AA45" si="17">IF(S14&lt;2,2-S14,"")</f>
        <v/>
      </c>
      <c r="T45" s="23" t="str">
        <f t="shared" si="17"/>
        <v/>
      </c>
      <c r="U45" s="23" t="str">
        <f t="shared" si="17"/>
        <v/>
      </c>
      <c r="V45" s="23" t="str">
        <f t="shared" si="17"/>
        <v/>
      </c>
      <c r="W45" s="23" t="str">
        <f t="shared" si="17"/>
        <v/>
      </c>
      <c r="X45" s="23" t="str">
        <f t="shared" si="17"/>
        <v/>
      </c>
      <c r="Y45" s="23" t="str">
        <f t="shared" si="17"/>
        <v/>
      </c>
      <c r="Z45" s="23" t="str">
        <f t="shared" si="17"/>
        <v/>
      </c>
      <c r="AA45" s="23" t="str">
        <f t="shared" si="17"/>
        <v/>
      </c>
      <c r="AB45" s="23"/>
      <c r="AC45" s="23"/>
      <c r="AD45" s="23"/>
      <c r="AE45" s="23"/>
    </row>
    <row r="46" spans="1:31" x14ac:dyDescent="0.25">
      <c r="A46" s="96"/>
      <c r="B46" s="3" t="s">
        <v>11</v>
      </c>
      <c r="C46" s="31" t="str">
        <f t="shared" ref="C46:K46" si="18">IF(C15&lt;4,4-C15,"")</f>
        <v/>
      </c>
      <c r="D46" s="31" t="str">
        <f t="shared" si="18"/>
        <v/>
      </c>
      <c r="E46" s="31" t="str">
        <f t="shared" si="18"/>
        <v/>
      </c>
      <c r="F46" s="31">
        <f t="shared" si="18"/>
        <v>1</v>
      </c>
      <c r="G46" s="31" t="str">
        <f t="shared" si="18"/>
        <v/>
      </c>
      <c r="H46" s="31" t="str">
        <f t="shared" si="18"/>
        <v/>
      </c>
      <c r="I46" s="31" t="str">
        <f t="shared" si="18"/>
        <v/>
      </c>
      <c r="J46" s="31" t="str">
        <f t="shared" si="18"/>
        <v/>
      </c>
      <c r="K46" s="31" t="str">
        <f t="shared" si="18"/>
        <v/>
      </c>
      <c r="L46" s="31"/>
      <c r="M46" s="31"/>
      <c r="N46" s="31"/>
      <c r="O46" s="31"/>
      <c r="P46" s="4"/>
      <c r="Q46" s="96"/>
      <c r="R46" s="3" t="s">
        <v>54</v>
      </c>
      <c r="S46" s="2" t="str">
        <f t="shared" ref="S46:AA46" si="19">IF(S15&lt;2,2-S15,"")</f>
        <v/>
      </c>
      <c r="T46" s="2" t="str">
        <f t="shared" si="19"/>
        <v/>
      </c>
      <c r="U46" s="2" t="str">
        <f t="shared" si="19"/>
        <v/>
      </c>
      <c r="V46" s="2" t="str">
        <f t="shared" si="19"/>
        <v/>
      </c>
      <c r="W46" s="2" t="str">
        <f t="shared" si="19"/>
        <v/>
      </c>
      <c r="X46" s="2" t="str">
        <f t="shared" si="19"/>
        <v/>
      </c>
      <c r="Y46" s="2" t="str">
        <f t="shared" si="19"/>
        <v/>
      </c>
      <c r="Z46" s="2" t="str">
        <f t="shared" si="19"/>
        <v/>
      </c>
      <c r="AA46" s="2" t="str">
        <f t="shared" si="19"/>
        <v/>
      </c>
      <c r="AB46" s="2"/>
      <c r="AC46" s="2"/>
      <c r="AD46" s="2"/>
      <c r="AE46" s="2"/>
    </row>
    <row r="47" spans="1:31" x14ac:dyDescent="0.25">
      <c r="A47" s="96"/>
      <c r="B47" s="3" t="s">
        <v>25</v>
      </c>
      <c r="C47" s="23" t="str">
        <f t="shared" ref="C47:K47" si="20">IF(C16&lt;4,4-C16,"")</f>
        <v/>
      </c>
      <c r="D47" s="23" t="str">
        <f t="shared" si="20"/>
        <v/>
      </c>
      <c r="E47" s="23" t="str">
        <f t="shared" si="20"/>
        <v/>
      </c>
      <c r="F47" s="23" t="str">
        <f t="shared" si="20"/>
        <v/>
      </c>
      <c r="G47" s="23" t="str">
        <f t="shared" si="20"/>
        <v/>
      </c>
      <c r="H47" s="23" t="str">
        <f t="shared" si="20"/>
        <v/>
      </c>
      <c r="I47" s="23" t="str">
        <f t="shared" si="20"/>
        <v/>
      </c>
      <c r="J47" s="23" t="str">
        <f t="shared" si="20"/>
        <v/>
      </c>
      <c r="K47" s="23" t="str">
        <f t="shared" si="20"/>
        <v/>
      </c>
      <c r="L47" s="23"/>
      <c r="M47" s="23"/>
      <c r="N47" s="23"/>
      <c r="O47" s="23"/>
      <c r="P47" s="4"/>
      <c r="Q47" s="96"/>
      <c r="R47" s="3" t="s">
        <v>55</v>
      </c>
      <c r="S47" s="23" t="str">
        <f t="shared" ref="S47:AA47" si="21">IF(S16&lt;2,2-S16,"")</f>
        <v/>
      </c>
      <c r="T47" s="23" t="str">
        <f t="shared" si="21"/>
        <v/>
      </c>
      <c r="U47" s="23" t="str">
        <f t="shared" si="21"/>
        <v/>
      </c>
      <c r="V47" s="23" t="str">
        <f t="shared" si="21"/>
        <v/>
      </c>
      <c r="W47" s="23" t="str">
        <f t="shared" si="21"/>
        <v/>
      </c>
      <c r="X47" s="23" t="str">
        <f t="shared" si="21"/>
        <v/>
      </c>
      <c r="Y47" s="23" t="str">
        <f t="shared" si="21"/>
        <v/>
      </c>
      <c r="Z47" s="23" t="str">
        <f t="shared" si="21"/>
        <v/>
      </c>
      <c r="AA47" s="23" t="str">
        <f t="shared" si="21"/>
        <v/>
      </c>
      <c r="AB47" s="23"/>
      <c r="AC47" s="23"/>
      <c r="AD47" s="23"/>
      <c r="AE47" s="23"/>
    </row>
    <row r="48" spans="1:31" x14ac:dyDescent="0.25">
      <c r="A48" s="96"/>
      <c r="B48" s="3" t="s">
        <v>26</v>
      </c>
      <c r="C48" s="31" t="str">
        <f t="shared" ref="C48:K48" si="22">IF(C17&lt;4,4-C17,"")</f>
        <v/>
      </c>
      <c r="D48" s="31" t="str">
        <f t="shared" si="22"/>
        <v/>
      </c>
      <c r="E48" s="31" t="str">
        <f t="shared" si="22"/>
        <v/>
      </c>
      <c r="F48" s="31" t="str">
        <f t="shared" si="22"/>
        <v/>
      </c>
      <c r="G48" s="31" t="str">
        <f t="shared" si="22"/>
        <v/>
      </c>
      <c r="H48" s="31" t="str">
        <f t="shared" si="22"/>
        <v/>
      </c>
      <c r="I48" s="31" t="str">
        <f t="shared" si="22"/>
        <v/>
      </c>
      <c r="J48" s="31" t="str">
        <f t="shared" si="22"/>
        <v/>
      </c>
      <c r="K48" s="31" t="str">
        <f t="shared" si="22"/>
        <v/>
      </c>
      <c r="L48" s="31"/>
      <c r="M48" s="31"/>
      <c r="N48" s="31"/>
      <c r="O48" s="31"/>
      <c r="P48" s="4"/>
      <c r="Q48" s="96"/>
      <c r="R48" s="3" t="s">
        <v>38</v>
      </c>
      <c r="S48" s="2" t="str">
        <f t="shared" ref="S48:AA48" si="23">IF(S17&lt;2,2-S17,"")</f>
        <v/>
      </c>
      <c r="T48" s="2" t="str">
        <f t="shared" si="23"/>
        <v/>
      </c>
      <c r="U48" s="2" t="str">
        <f t="shared" si="23"/>
        <v/>
      </c>
      <c r="V48" s="2" t="str">
        <f t="shared" si="23"/>
        <v/>
      </c>
      <c r="W48" s="2" t="str">
        <f t="shared" si="23"/>
        <v/>
      </c>
      <c r="X48" s="2" t="str">
        <f t="shared" si="23"/>
        <v/>
      </c>
      <c r="Y48" s="2" t="str">
        <f t="shared" si="23"/>
        <v/>
      </c>
      <c r="Z48" s="2" t="str">
        <f t="shared" si="23"/>
        <v/>
      </c>
      <c r="AA48" s="2" t="str">
        <f t="shared" si="23"/>
        <v/>
      </c>
      <c r="AB48" s="2"/>
      <c r="AC48" s="2"/>
      <c r="AD48" s="2"/>
      <c r="AE48" s="2"/>
    </row>
    <row r="49" spans="1:31" x14ac:dyDescent="0.25">
      <c r="A49" s="96"/>
      <c r="B49" s="3" t="s">
        <v>12</v>
      </c>
      <c r="C49" s="23" t="str">
        <f t="shared" ref="C49:K49" si="24">IF(C18&lt;4,4-C18,"")</f>
        <v/>
      </c>
      <c r="D49" s="23" t="str">
        <f t="shared" si="24"/>
        <v/>
      </c>
      <c r="E49" s="23" t="str">
        <f t="shared" si="24"/>
        <v/>
      </c>
      <c r="F49" s="23" t="str">
        <f t="shared" si="24"/>
        <v/>
      </c>
      <c r="G49" s="23" t="str">
        <f t="shared" si="24"/>
        <v/>
      </c>
      <c r="H49" s="23" t="str">
        <f t="shared" si="24"/>
        <v/>
      </c>
      <c r="I49" s="23" t="str">
        <f t="shared" si="24"/>
        <v/>
      </c>
      <c r="J49" s="23" t="str">
        <f t="shared" si="24"/>
        <v/>
      </c>
      <c r="K49" s="23" t="str">
        <f t="shared" si="24"/>
        <v/>
      </c>
      <c r="L49" s="23"/>
      <c r="M49" s="23"/>
      <c r="N49" s="23"/>
      <c r="O49" s="23"/>
      <c r="P49" s="4"/>
      <c r="Q49" s="96"/>
      <c r="R49" s="3" t="s">
        <v>39</v>
      </c>
      <c r="S49" s="23"/>
      <c r="T49" s="23"/>
      <c r="U49" s="23"/>
      <c r="V49" s="23"/>
      <c r="W49" s="23"/>
      <c r="X49" s="23"/>
      <c r="Y49" s="23"/>
      <c r="Z49" s="23"/>
      <c r="AA49" s="23"/>
      <c r="AB49" s="23"/>
      <c r="AC49" s="23"/>
      <c r="AD49" s="23"/>
      <c r="AE49" s="23"/>
    </row>
    <row r="50" spans="1:31" x14ac:dyDescent="0.25">
      <c r="A50" s="96"/>
      <c r="B50" s="3" t="s">
        <v>13</v>
      </c>
      <c r="C50" s="2"/>
      <c r="D50" s="2"/>
      <c r="E50" s="2"/>
      <c r="F50" s="2"/>
      <c r="G50" s="2"/>
      <c r="H50" s="2"/>
      <c r="I50" s="2"/>
      <c r="J50" s="2"/>
      <c r="K50" s="2"/>
      <c r="L50" s="2"/>
      <c r="M50" s="2"/>
      <c r="N50" s="2"/>
      <c r="O50" s="2"/>
      <c r="P50" s="4"/>
      <c r="Q50" s="96"/>
      <c r="R50" s="3" t="s">
        <v>40</v>
      </c>
      <c r="S50" s="2"/>
      <c r="T50" s="2"/>
      <c r="U50" s="2"/>
      <c r="V50" s="2"/>
      <c r="W50" s="2"/>
      <c r="X50" s="2"/>
      <c r="Y50" s="2"/>
      <c r="Z50" s="2"/>
      <c r="AA50" s="2"/>
      <c r="AB50" s="2"/>
      <c r="AC50" s="2"/>
      <c r="AD50" s="2"/>
      <c r="AE50" s="2"/>
    </row>
    <row r="51" spans="1:31" x14ac:dyDescent="0.25">
      <c r="A51" s="96"/>
      <c r="B51" s="3" t="s">
        <v>14</v>
      </c>
      <c r="C51" s="23"/>
      <c r="D51" s="23"/>
      <c r="E51" s="23"/>
      <c r="F51" s="23"/>
      <c r="G51" s="23"/>
      <c r="H51" s="23"/>
      <c r="I51" s="23"/>
      <c r="J51" s="23"/>
      <c r="K51" s="23"/>
      <c r="L51" s="23"/>
      <c r="M51" s="23"/>
      <c r="N51" s="23"/>
      <c r="O51" s="23"/>
      <c r="P51" s="4"/>
      <c r="Q51" s="96"/>
      <c r="R51" s="3" t="s">
        <v>41</v>
      </c>
      <c r="S51" s="23"/>
      <c r="T51" s="23"/>
      <c r="U51" s="23"/>
      <c r="V51" s="23"/>
      <c r="W51" s="23"/>
      <c r="X51" s="23"/>
      <c r="Y51" s="23"/>
      <c r="Z51" s="23"/>
      <c r="AA51" s="23"/>
      <c r="AB51" s="23"/>
      <c r="AC51" s="23"/>
      <c r="AD51" s="23"/>
      <c r="AE51" s="23"/>
    </row>
    <row r="52" spans="1:31" x14ac:dyDescent="0.25">
      <c r="A52" s="96"/>
      <c r="B52" s="3" t="s">
        <v>15</v>
      </c>
      <c r="C52" s="2"/>
      <c r="D52" s="2"/>
      <c r="E52" s="2"/>
      <c r="F52" s="2"/>
      <c r="G52" s="2"/>
      <c r="H52" s="2"/>
      <c r="I52" s="2"/>
      <c r="J52" s="2"/>
      <c r="K52" s="2"/>
      <c r="L52" s="2"/>
      <c r="M52" s="2"/>
      <c r="N52" s="2"/>
      <c r="O52" s="2"/>
      <c r="P52" s="4"/>
      <c r="Q52" s="96"/>
      <c r="R52" s="3" t="s">
        <v>42</v>
      </c>
      <c r="S52" s="2"/>
      <c r="T52" s="2"/>
      <c r="U52" s="2"/>
      <c r="V52" s="2"/>
      <c r="W52" s="2"/>
      <c r="X52" s="2"/>
      <c r="Y52" s="2"/>
      <c r="Z52" s="2"/>
      <c r="AA52" s="2"/>
      <c r="AB52" s="2"/>
      <c r="AC52" s="2"/>
      <c r="AD52" s="2"/>
      <c r="AE52" s="2"/>
    </row>
    <row r="53" spans="1:31" x14ac:dyDescent="0.25">
      <c r="A53" s="96"/>
      <c r="B53" s="3" t="s">
        <v>16</v>
      </c>
      <c r="C53" s="23"/>
      <c r="D53" s="23"/>
      <c r="E53" s="23"/>
      <c r="F53" s="23"/>
      <c r="G53" s="23"/>
      <c r="H53" s="23"/>
      <c r="I53" s="23"/>
      <c r="J53" s="23"/>
      <c r="K53" s="23"/>
      <c r="L53" s="23"/>
      <c r="M53" s="23"/>
      <c r="N53" s="23"/>
      <c r="O53" s="23"/>
      <c r="P53" s="4"/>
      <c r="Q53" s="96"/>
      <c r="R53" s="3" t="s">
        <v>43</v>
      </c>
      <c r="S53" s="23"/>
      <c r="T53" s="23"/>
      <c r="U53" s="23"/>
      <c r="V53" s="23"/>
      <c r="W53" s="23"/>
      <c r="X53" s="23"/>
      <c r="Y53" s="23"/>
      <c r="Z53" s="23"/>
      <c r="AA53" s="23"/>
      <c r="AB53" s="23"/>
      <c r="AC53" s="23"/>
      <c r="AD53" s="23"/>
      <c r="AE53" s="23"/>
    </row>
    <row r="54" spans="1:31" x14ac:dyDescent="0.25">
      <c r="A54" s="96"/>
      <c r="B54" s="3" t="s">
        <v>17</v>
      </c>
      <c r="C54" s="2"/>
      <c r="D54" s="2"/>
      <c r="E54" s="2"/>
      <c r="F54" s="2"/>
      <c r="G54" s="2"/>
      <c r="H54" s="2"/>
      <c r="I54" s="2"/>
      <c r="J54" s="2"/>
      <c r="K54" s="2"/>
      <c r="L54" s="2"/>
      <c r="M54" s="2"/>
      <c r="N54" s="2"/>
      <c r="O54" s="2"/>
      <c r="P54" s="4"/>
      <c r="Q54" s="96"/>
      <c r="R54" s="3" t="s">
        <v>44</v>
      </c>
      <c r="S54" s="2"/>
      <c r="T54" s="2"/>
      <c r="U54" s="2"/>
      <c r="V54" s="2"/>
      <c r="W54" s="2"/>
      <c r="X54" s="2"/>
      <c r="Y54" s="2"/>
      <c r="Z54" s="2"/>
      <c r="AA54" s="2"/>
      <c r="AB54" s="2"/>
      <c r="AC54" s="2"/>
      <c r="AD54" s="2"/>
      <c r="AE54" s="2"/>
    </row>
    <row r="55" spans="1:31" x14ac:dyDescent="0.25">
      <c r="A55" s="96"/>
      <c r="B55" s="3" t="s">
        <v>18</v>
      </c>
      <c r="C55" s="23"/>
      <c r="D55" s="23"/>
      <c r="E55" s="23"/>
      <c r="F55" s="23"/>
      <c r="G55" s="23"/>
      <c r="H55" s="23"/>
      <c r="I55" s="23"/>
      <c r="J55" s="23"/>
      <c r="K55" s="23"/>
      <c r="L55" s="23"/>
      <c r="M55" s="23"/>
      <c r="N55" s="23"/>
      <c r="O55" s="23"/>
      <c r="P55" s="4"/>
      <c r="Q55" s="96"/>
      <c r="R55" s="3" t="s">
        <v>45</v>
      </c>
      <c r="S55" s="23"/>
      <c r="T55" s="23"/>
      <c r="U55" s="23"/>
      <c r="V55" s="23"/>
      <c r="W55" s="23"/>
      <c r="X55" s="23"/>
      <c r="Y55" s="23"/>
      <c r="Z55" s="23"/>
      <c r="AA55" s="23"/>
      <c r="AB55" s="23"/>
      <c r="AC55" s="23"/>
      <c r="AD55" s="23"/>
      <c r="AE55" s="23"/>
    </row>
    <row r="56" spans="1:31" x14ac:dyDescent="0.25">
      <c r="A56" s="96"/>
      <c r="B56" s="3" t="s">
        <v>19</v>
      </c>
      <c r="C56" s="2"/>
      <c r="D56" s="2"/>
      <c r="E56" s="2"/>
      <c r="F56" s="2"/>
      <c r="G56" s="2"/>
      <c r="H56" s="2"/>
      <c r="I56" s="2"/>
      <c r="J56" s="2"/>
      <c r="K56" s="2"/>
      <c r="L56" s="2"/>
      <c r="M56" s="2"/>
      <c r="N56" s="2"/>
      <c r="O56" s="2"/>
      <c r="P56" s="4"/>
      <c r="Q56" s="96"/>
      <c r="R56" s="3" t="s">
        <v>46</v>
      </c>
      <c r="S56" s="2"/>
      <c r="T56" s="2"/>
      <c r="U56" s="2"/>
      <c r="V56" s="2"/>
      <c r="W56" s="2"/>
      <c r="X56" s="2"/>
      <c r="Y56" s="2"/>
      <c r="Z56" s="2"/>
      <c r="AA56" s="2"/>
      <c r="AB56" s="2"/>
      <c r="AC56" s="2"/>
      <c r="AD56" s="2"/>
      <c r="AE56" s="2"/>
    </row>
    <row r="57" spans="1:31" x14ac:dyDescent="0.25">
      <c r="A57" s="96"/>
      <c r="B57" s="3" t="s">
        <v>20</v>
      </c>
      <c r="C57" s="23"/>
      <c r="D57" s="23"/>
      <c r="E57" s="23"/>
      <c r="F57" s="23"/>
      <c r="G57" s="23"/>
      <c r="H57" s="23"/>
      <c r="I57" s="23"/>
      <c r="J57" s="23"/>
      <c r="K57" s="23"/>
      <c r="L57" s="23"/>
      <c r="M57" s="23"/>
      <c r="N57" s="23"/>
      <c r="O57" s="23"/>
      <c r="P57" s="4"/>
      <c r="Q57" s="96"/>
      <c r="R57" s="3" t="s">
        <v>47</v>
      </c>
      <c r="S57" s="23"/>
      <c r="T57" s="23"/>
      <c r="U57" s="23"/>
      <c r="V57" s="23"/>
      <c r="W57" s="23"/>
      <c r="X57" s="23"/>
      <c r="Y57" s="23"/>
      <c r="Z57" s="23"/>
      <c r="AA57" s="23"/>
      <c r="AB57" s="23"/>
      <c r="AC57" s="23"/>
      <c r="AD57" s="23"/>
      <c r="AE57" s="23"/>
    </row>
    <row r="58" spans="1:31" x14ac:dyDescent="0.25">
      <c r="A58" s="96"/>
      <c r="B58" s="3" t="s">
        <v>21</v>
      </c>
      <c r="C58" s="2"/>
      <c r="D58" s="2"/>
      <c r="E58" s="2"/>
      <c r="F58" s="2"/>
      <c r="G58" s="2"/>
      <c r="H58" s="2"/>
      <c r="I58" s="2"/>
      <c r="J58" s="2"/>
      <c r="K58" s="2"/>
      <c r="L58" s="2"/>
      <c r="M58" s="2"/>
      <c r="N58" s="2"/>
      <c r="O58" s="2"/>
      <c r="P58" s="4"/>
      <c r="Q58" s="96"/>
      <c r="R58" s="3" t="s">
        <v>48</v>
      </c>
      <c r="S58" s="2"/>
      <c r="T58" s="2"/>
      <c r="U58" s="2"/>
      <c r="V58" s="2"/>
      <c r="W58" s="2"/>
      <c r="X58" s="2"/>
      <c r="Y58" s="2"/>
      <c r="Z58" s="2"/>
      <c r="AA58" s="2"/>
      <c r="AB58" s="2"/>
      <c r="AC58" s="2"/>
      <c r="AD58" s="2"/>
      <c r="AE58" s="2"/>
    </row>
    <row r="59" spans="1:31" x14ac:dyDescent="0.25">
      <c r="A59" s="96"/>
      <c r="B59" s="3" t="s">
        <v>22</v>
      </c>
      <c r="C59" s="23"/>
      <c r="D59" s="23"/>
      <c r="E59" s="23"/>
      <c r="F59" s="23"/>
      <c r="G59" s="23"/>
      <c r="H59" s="23"/>
      <c r="I59" s="23"/>
      <c r="J59" s="23"/>
      <c r="K59" s="23"/>
      <c r="L59" s="23"/>
      <c r="M59" s="23"/>
      <c r="N59" s="23"/>
      <c r="O59" s="23"/>
      <c r="P59" s="4"/>
      <c r="Q59" s="96"/>
      <c r="R59" s="3" t="s">
        <v>49</v>
      </c>
      <c r="S59" s="23"/>
      <c r="T59" s="23"/>
      <c r="U59" s="23"/>
      <c r="V59" s="23"/>
      <c r="W59" s="23"/>
      <c r="X59" s="23"/>
      <c r="Y59" s="23"/>
      <c r="Z59" s="23"/>
      <c r="AA59" s="23"/>
      <c r="AB59" s="23"/>
      <c r="AC59" s="23"/>
      <c r="AD59" s="23"/>
      <c r="AE59" s="23"/>
    </row>
    <row r="60" spans="1:31" x14ac:dyDescent="0.25">
      <c r="A60" s="96"/>
      <c r="B60" s="3" t="s">
        <v>23</v>
      </c>
      <c r="C60" s="2"/>
      <c r="D60" s="2"/>
      <c r="E60" s="2"/>
      <c r="F60" s="2"/>
      <c r="G60" s="2"/>
      <c r="H60" s="2"/>
      <c r="I60" s="2"/>
      <c r="J60" s="2"/>
      <c r="K60" s="2"/>
      <c r="L60" s="2"/>
      <c r="M60" s="2"/>
      <c r="N60" s="2"/>
      <c r="O60" s="2"/>
      <c r="P60" s="4"/>
      <c r="Q60" s="96"/>
      <c r="R60" s="3" t="s">
        <v>50</v>
      </c>
      <c r="S60" s="2"/>
      <c r="T60" s="2"/>
      <c r="U60" s="2"/>
      <c r="V60" s="2"/>
      <c r="W60" s="2"/>
      <c r="X60" s="2"/>
      <c r="Y60" s="2"/>
      <c r="Z60" s="2"/>
      <c r="AA60" s="2"/>
      <c r="AB60" s="2"/>
      <c r="AC60" s="2"/>
      <c r="AD60" s="2"/>
      <c r="AE60" s="2"/>
    </row>
    <row r="61" spans="1:31" x14ac:dyDescent="0.25">
      <c r="A61" s="96"/>
      <c r="B61" s="3" t="s">
        <v>24</v>
      </c>
      <c r="C61" s="23"/>
      <c r="D61" s="23"/>
      <c r="E61" s="23"/>
      <c r="F61" s="23"/>
      <c r="G61" s="23"/>
      <c r="H61" s="23"/>
      <c r="I61" s="23"/>
      <c r="J61" s="23"/>
      <c r="K61" s="23"/>
      <c r="L61" s="23"/>
      <c r="M61" s="23"/>
      <c r="N61" s="23"/>
      <c r="O61" s="23"/>
      <c r="P61" s="4"/>
      <c r="Q61" s="96"/>
      <c r="R61" s="4"/>
      <c r="S61" s="4"/>
      <c r="T61" s="4"/>
      <c r="U61" s="4"/>
      <c r="V61" s="4"/>
      <c r="W61" s="4"/>
      <c r="X61" s="4"/>
      <c r="Y61" s="4"/>
      <c r="Z61" s="4"/>
      <c r="AA61" s="4"/>
      <c r="AB61" s="4"/>
      <c r="AC61" s="4"/>
      <c r="AD61" s="4"/>
      <c r="AE61" s="4"/>
    </row>
    <row r="63" spans="1:31" x14ac:dyDescent="0.25">
      <c r="E63" t="s">
        <v>97</v>
      </c>
      <c r="G63" t="s">
        <v>96</v>
      </c>
      <c r="U63" t="s">
        <v>97</v>
      </c>
      <c r="W63" t="s">
        <v>96</v>
      </c>
    </row>
    <row r="64" spans="1:31" x14ac:dyDescent="0.25">
      <c r="C64" s="4" t="s">
        <v>94</v>
      </c>
      <c r="E64" s="43">
        <f>SUM(C6:K18)</f>
        <v>451</v>
      </c>
      <c r="G64" s="106">
        <f>E64*60</f>
        <v>27060</v>
      </c>
      <c r="H64" s="106"/>
      <c r="S64" s="4" t="s">
        <v>94</v>
      </c>
      <c r="U64" s="43">
        <f>SUM(S6:AA17)</f>
        <v>211</v>
      </c>
      <c r="W64" s="106">
        <f>U64*60</f>
        <v>12660</v>
      </c>
      <c r="X64" s="106"/>
    </row>
    <row r="65" spans="3:24" x14ac:dyDescent="0.25">
      <c r="C65" s="4" t="s">
        <v>95</v>
      </c>
      <c r="E65" s="43">
        <f>SUM(L37:O61)</f>
        <v>0</v>
      </c>
      <c r="G65" s="119">
        <f>E65*60</f>
        <v>0</v>
      </c>
      <c r="H65" s="119"/>
      <c r="S65" s="4" t="s">
        <v>95</v>
      </c>
      <c r="U65" s="43">
        <f>SUM(AB37:AE60)</f>
        <v>0</v>
      </c>
      <c r="W65" s="119">
        <f>U65*60</f>
        <v>0</v>
      </c>
      <c r="X65" s="119"/>
    </row>
    <row r="67" spans="3:24" x14ac:dyDescent="0.25">
      <c r="E67" s="43">
        <f>SUM(E64:E66)</f>
        <v>451</v>
      </c>
      <c r="G67" s="107">
        <f>SUM(G64:G66)</f>
        <v>27060</v>
      </c>
      <c r="H67" s="108"/>
      <c r="U67" s="43">
        <f>SUM(U64:U66)</f>
        <v>211</v>
      </c>
      <c r="W67" s="107">
        <f>SUM(W64:W66)</f>
        <v>12660</v>
      </c>
      <c r="X67" s="108"/>
    </row>
  </sheetData>
  <mergeCells count="22">
    <mergeCell ref="G67:H67"/>
    <mergeCell ref="W67:X67"/>
    <mergeCell ref="A37:A61"/>
    <mergeCell ref="Q37:Q61"/>
    <mergeCell ref="G64:H64"/>
    <mergeCell ref="W64:X64"/>
    <mergeCell ref="G65:H65"/>
    <mergeCell ref="W65:X65"/>
    <mergeCell ref="C35:O35"/>
    <mergeCell ref="S35:AE35"/>
    <mergeCell ref="A1:AE1"/>
    <mergeCell ref="C3:O3"/>
    <mergeCell ref="S3:AE3"/>
    <mergeCell ref="C4:O4"/>
    <mergeCell ref="S4:AE4"/>
    <mergeCell ref="A6:A30"/>
    <mergeCell ref="Q6:Q30"/>
    <mergeCell ref="A32:AD32"/>
    <mergeCell ref="B33:O33"/>
    <mergeCell ref="S33:AE33"/>
    <mergeCell ref="C34:O34"/>
    <mergeCell ref="S34:AE34"/>
  </mergeCells>
  <pageMargins left="0.7" right="0.7" top="0.75" bottom="0.75" header="0.3" footer="0.3"/>
  <pageSetup paperSize="90" orientation="portrait" r:id="rId1"/>
  <ignoredErrors>
    <ignoredError sqref="B5:AE5 B26:AE30 B25:R25 T25:AE25 B36:AE36 B49:AE61 B37:R37 AB37:AE37 B38:R38 AB38:AE38 B39:R48 AB39:AE48 B22:AE24 B6 B7 L7:R7 B8 L8:R8 B9 L9:R9 B10 L10:R10 B11 L11:R11 B12 L12:R12 B13 L13:R13 B14 L14:R14 B15 L15:R15 B16 L16:R16 B17 L17:R17 B18 L18:AE18 B19 D19:AE19 B20 D20:AE20 B21 D21:AE21 AB7:AE7 AB8:AE8 AB9:AE9 AB10:AE10 AB11:AE11 AB12:AE12 AB13:AE13 AB14:AE14 AB15:AE15 AB16:AE16 AB17:AE17 L6:R6 AB6:AE6" numberStoredAsText="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5">
    <pageSetUpPr fitToPage="1"/>
  </sheetPr>
  <dimension ref="A1:AF36"/>
  <sheetViews>
    <sheetView workbookViewId="0">
      <selection activeCell="E9" sqref="E9"/>
    </sheetView>
  </sheetViews>
  <sheetFormatPr baseColWidth="10" defaultColWidth="11.42578125" defaultRowHeight="15" x14ac:dyDescent="0.25"/>
  <cols>
    <col min="2" max="2" width="5.28515625" bestFit="1" customWidth="1"/>
    <col min="3" max="3" width="4.5703125" bestFit="1" customWidth="1"/>
    <col min="4" max="15" width="5.28515625" bestFit="1" customWidth="1"/>
    <col min="16" max="16" width="0.7109375" customWidth="1"/>
    <col min="18" max="18" width="5.5703125" bestFit="1" customWidth="1"/>
    <col min="19" max="19" width="4.5703125" bestFit="1" customWidth="1"/>
    <col min="20" max="31" width="5.28515625" bestFit="1" customWidth="1"/>
  </cols>
  <sheetData>
    <row r="1" spans="1:32" ht="23.25" x14ac:dyDescent="0.25">
      <c r="A1" s="4" t="s">
        <v>76</v>
      </c>
      <c r="B1" s="4"/>
      <c r="C1" s="30" t="s">
        <v>56</v>
      </c>
      <c r="D1" s="30"/>
      <c r="E1" s="30"/>
      <c r="F1" s="30"/>
      <c r="G1" s="30"/>
      <c r="H1" s="30"/>
      <c r="I1" s="30"/>
      <c r="J1" s="30"/>
      <c r="K1" s="30"/>
      <c r="L1" s="30"/>
      <c r="M1" s="30"/>
      <c r="N1" s="30"/>
      <c r="O1" s="30"/>
      <c r="P1" s="30"/>
      <c r="Q1" s="30"/>
      <c r="R1" s="30"/>
      <c r="S1" s="30"/>
      <c r="T1" s="30"/>
      <c r="U1" s="30"/>
      <c r="V1" s="30"/>
      <c r="W1" s="30"/>
      <c r="X1" s="30"/>
      <c r="Y1" s="30"/>
      <c r="Z1" s="30"/>
      <c r="AA1" s="30"/>
      <c r="AB1" s="30"/>
      <c r="AC1" s="30"/>
      <c r="AD1" s="30"/>
      <c r="AE1" s="30"/>
      <c r="AF1" s="30"/>
    </row>
    <row r="2" spans="1:32" x14ac:dyDescent="0.25">
      <c r="A2" s="4"/>
      <c r="B2" s="4"/>
      <c r="C2" s="4"/>
      <c r="D2" s="4"/>
      <c r="E2" s="4"/>
      <c r="F2" s="4"/>
      <c r="G2" s="4"/>
      <c r="H2" s="4"/>
      <c r="I2" s="4"/>
      <c r="J2" s="4"/>
      <c r="K2" s="4"/>
      <c r="L2" s="4"/>
      <c r="M2" s="4"/>
      <c r="N2" s="4"/>
      <c r="O2" s="4"/>
      <c r="P2" s="4"/>
      <c r="Q2" s="4"/>
      <c r="R2" s="4"/>
      <c r="S2" s="4"/>
      <c r="T2" s="4"/>
      <c r="U2" s="4"/>
      <c r="V2" s="4"/>
      <c r="W2" s="4"/>
      <c r="X2" s="4"/>
      <c r="Y2" s="4"/>
      <c r="Z2" s="4"/>
      <c r="AA2" s="4"/>
      <c r="AB2" s="4"/>
      <c r="AC2" s="4"/>
      <c r="AD2" s="4"/>
      <c r="AE2" s="4"/>
      <c r="AF2" s="4"/>
    </row>
    <row r="3" spans="1:32" ht="36" x14ac:dyDescent="0.25">
      <c r="A3" s="4"/>
      <c r="B3" s="5"/>
      <c r="C3" s="97" t="s">
        <v>1</v>
      </c>
      <c r="D3" s="97"/>
      <c r="E3" s="97"/>
      <c r="F3" s="97"/>
      <c r="G3" s="97"/>
      <c r="H3" s="97"/>
      <c r="I3" s="97"/>
      <c r="J3" s="97"/>
      <c r="K3" s="97"/>
      <c r="L3" s="97"/>
      <c r="M3" s="97"/>
      <c r="N3" s="97"/>
      <c r="O3" s="97"/>
      <c r="P3" s="4"/>
      <c r="Q3" s="4"/>
      <c r="R3" s="4"/>
      <c r="S3" s="97" t="s">
        <v>1</v>
      </c>
      <c r="T3" s="97"/>
      <c r="U3" s="97"/>
      <c r="V3" s="97"/>
      <c r="W3" s="97"/>
      <c r="X3" s="97"/>
      <c r="Y3" s="97"/>
      <c r="Z3" s="97"/>
      <c r="AA3" s="97"/>
      <c r="AB3" s="97"/>
      <c r="AC3" s="97"/>
      <c r="AD3" s="97"/>
      <c r="AE3" s="97"/>
      <c r="AF3" s="4"/>
    </row>
    <row r="4" spans="1:32" ht="15.75" x14ac:dyDescent="0.25">
      <c r="A4" s="4"/>
      <c r="B4" s="5"/>
      <c r="C4" s="98" t="s">
        <v>52</v>
      </c>
      <c r="D4" s="98"/>
      <c r="E4" s="98"/>
      <c r="F4" s="98"/>
      <c r="G4" s="98"/>
      <c r="H4" s="98"/>
      <c r="I4" s="98"/>
      <c r="J4" s="98"/>
      <c r="K4" s="98"/>
      <c r="L4" s="98"/>
      <c r="M4" s="98"/>
      <c r="N4" s="98"/>
      <c r="O4" s="98"/>
      <c r="P4" s="4"/>
      <c r="Q4" s="4"/>
      <c r="R4" s="4"/>
      <c r="S4" s="98" t="s">
        <v>52</v>
      </c>
      <c r="T4" s="98"/>
      <c r="U4" s="98"/>
      <c r="V4" s="98"/>
      <c r="W4" s="98"/>
      <c r="X4" s="98"/>
      <c r="Y4" s="98"/>
      <c r="Z4" s="98"/>
      <c r="AA4" s="98"/>
      <c r="AB4" s="98"/>
      <c r="AC4" s="98"/>
      <c r="AD4" s="98"/>
      <c r="AE4" s="98"/>
      <c r="AF4" s="4"/>
    </row>
    <row r="5" spans="1:32" ht="15.75" x14ac:dyDescent="0.25">
      <c r="A5" s="6" t="s">
        <v>52</v>
      </c>
      <c r="B5" s="28"/>
      <c r="C5" s="3" t="s">
        <v>2</v>
      </c>
      <c r="D5" s="3" t="s">
        <v>3</v>
      </c>
      <c r="E5" s="3" t="s">
        <v>4</v>
      </c>
      <c r="F5" s="3" t="s">
        <v>5</v>
      </c>
      <c r="G5" s="3" t="s">
        <v>6</v>
      </c>
      <c r="H5" s="3" t="s">
        <v>7</v>
      </c>
      <c r="I5" s="3" t="s">
        <v>8</v>
      </c>
      <c r="J5" s="3" t="s">
        <v>9</v>
      </c>
      <c r="K5" s="3" t="s">
        <v>10</v>
      </c>
      <c r="L5" s="3" t="s">
        <v>11</v>
      </c>
      <c r="M5" s="3" t="s">
        <v>25</v>
      </c>
      <c r="N5" s="3" t="s">
        <v>26</v>
      </c>
      <c r="O5" s="3" t="s">
        <v>12</v>
      </c>
      <c r="P5" s="4"/>
      <c r="Q5" s="6" t="s">
        <v>51</v>
      </c>
      <c r="R5" s="28"/>
      <c r="S5" s="3" t="s">
        <v>2</v>
      </c>
      <c r="T5" s="3" t="s">
        <v>3</v>
      </c>
      <c r="U5" s="3" t="s">
        <v>4</v>
      </c>
      <c r="V5" s="3" t="s">
        <v>5</v>
      </c>
      <c r="W5" s="3" t="s">
        <v>6</v>
      </c>
      <c r="X5" s="3" t="s">
        <v>7</v>
      </c>
      <c r="Y5" s="3" t="s">
        <v>8</v>
      </c>
      <c r="Z5" s="3" t="s">
        <v>9</v>
      </c>
      <c r="AA5" s="3" t="s">
        <v>10</v>
      </c>
      <c r="AB5" s="3" t="s">
        <v>11</v>
      </c>
      <c r="AC5" s="3" t="s">
        <v>25</v>
      </c>
      <c r="AD5" s="3" t="s">
        <v>26</v>
      </c>
      <c r="AE5" s="3" t="s">
        <v>12</v>
      </c>
      <c r="AF5" s="4"/>
    </row>
    <row r="6" spans="1:32" x14ac:dyDescent="0.25">
      <c r="A6" s="96" t="s">
        <v>0</v>
      </c>
      <c r="B6" s="3" t="s">
        <v>2</v>
      </c>
      <c r="C6" s="23">
        <v>5</v>
      </c>
      <c r="D6" s="23"/>
      <c r="E6" s="23"/>
      <c r="F6" s="23"/>
      <c r="G6" s="23">
        <v>2</v>
      </c>
      <c r="H6" s="23"/>
      <c r="I6" s="23">
        <v>3</v>
      </c>
      <c r="J6" s="23"/>
      <c r="K6" s="23">
        <v>2</v>
      </c>
      <c r="L6" s="23"/>
      <c r="M6" s="23"/>
      <c r="N6" s="23"/>
      <c r="O6" s="23"/>
      <c r="P6" s="4"/>
      <c r="Q6" s="96" t="s">
        <v>0</v>
      </c>
      <c r="R6" s="3" t="s">
        <v>29</v>
      </c>
      <c r="S6" s="24"/>
      <c r="T6" s="24"/>
      <c r="U6" s="24"/>
      <c r="V6" s="24"/>
      <c r="W6" s="24"/>
      <c r="X6" s="24"/>
      <c r="Y6" s="24"/>
      <c r="Z6" s="24"/>
      <c r="AA6" s="24"/>
      <c r="AB6" s="24"/>
      <c r="AC6" s="24"/>
      <c r="AD6" s="24"/>
      <c r="AE6" s="24"/>
      <c r="AF6" s="4"/>
    </row>
    <row r="7" spans="1:32" x14ac:dyDescent="0.25">
      <c r="A7" s="96"/>
      <c r="B7" s="3" t="s">
        <v>3</v>
      </c>
      <c r="C7" s="2"/>
      <c r="D7" s="2"/>
      <c r="E7" s="2">
        <v>2</v>
      </c>
      <c r="F7" s="2"/>
      <c r="G7" s="2"/>
      <c r="H7" s="2"/>
      <c r="I7" s="2">
        <v>3</v>
      </c>
      <c r="J7" s="2"/>
      <c r="K7" s="2">
        <v>3</v>
      </c>
      <c r="L7" s="2"/>
      <c r="M7" s="2"/>
      <c r="N7" s="2"/>
      <c r="O7" s="2"/>
      <c r="P7" s="4"/>
      <c r="Q7" s="96"/>
      <c r="R7" s="3" t="s">
        <v>30</v>
      </c>
      <c r="S7" s="7"/>
      <c r="T7" s="7"/>
      <c r="U7" s="7"/>
      <c r="V7" s="7"/>
      <c r="W7" s="7"/>
      <c r="X7" s="7"/>
      <c r="Y7" s="7"/>
      <c r="Z7" s="7"/>
      <c r="AA7" s="7"/>
      <c r="AB7" s="7"/>
      <c r="AC7" s="7"/>
      <c r="AD7" s="7"/>
      <c r="AE7" s="7"/>
      <c r="AF7" s="4"/>
    </row>
    <row r="8" spans="1:32" x14ac:dyDescent="0.25">
      <c r="A8" s="96"/>
      <c r="B8" s="3" t="s">
        <v>4</v>
      </c>
      <c r="C8" s="23"/>
      <c r="D8" s="23"/>
      <c r="E8" s="23">
        <v>2</v>
      </c>
      <c r="F8" s="23"/>
      <c r="G8" s="23">
        <v>3</v>
      </c>
      <c r="H8" s="23"/>
      <c r="I8" s="23">
        <v>3</v>
      </c>
      <c r="J8" s="23"/>
      <c r="K8" s="23">
        <v>2</v>
      </c>
      <c r="L8" s="23"/>
      <c r="M8" s="23"/>
      <c r="N8" s="23"/>
      <c r="O8" s="23"/>
      <c r="P8" s="4"/>
      <c r="Q8" s="96"/>
      <c r="R8" s="3" t="s">
        <v>31</v>
      </c>
      <c r="S8" s="24"/>
      <c r="T8" s="24"/>
      <c r="U8" s="24"/>
      <c r="V8" s="24"/>
      <c r="W8" s="24"/>
      <c r="X8" s="24"/>
      <c r="Y8" s="24"/>
      <c r="Z8" s="24"/>
      <c r="AA8" s="24"/>
      <c r="AB8" s="24"/>
      <c r="AC8" s="24"/>
      <c r="AD8" s="24"/>
      <c r="AE8" s="24"/>
      <c r="AF8" s="4"/>
    </row>
    <row r="9" spans="1:32" x14ac:dyDescent="0.25">
      <c r="A9" s="96"/>
      <c r="B9" s="3" t="s">
        <v>5</v>
      </c>
      <c r="C9" s="2"/>
      <c r="D9" s="2"/>
      <c r="E9" s="2">
        <v>2</v>
      </c>
      <c r="F9" s="2"/>
      <c r="G9" s="2">
        <v>1</v>
      </c>
      <c r="H9" s="2"/>
      <c r="I9" s="2">
        <v>2</v>
      </c>
      <c r="J9" s="2"/>
      <c r="K9" s="2">
        <v>3</v>
      </c>
      <c r="L9" s="2"/>
      <c r="M9" s="2"/>
      <c r="N9" s="2"/>
      <c r="O9" s="2"/>
      <c r="P9" s="4"/>
      <c r="Q9" s="96"/>
      <c r="R9" s="3" t="s">
        <v>32</v>
      </c>
      <c r="S9" s="7"/>
      <c r="T9" s="7"/>
      <c r="U9" s="7"/>
      <c r="V9" s="7"/>
      <c r="W9" s="7"/>
      <c r="X9" s="7"/>
      <c r="Y9" s="7"/>
      <c r="Z9" s="7"/>
      <c r="AA9" s="7"/>
      <c r="AB9" s="7"/>
      <c r="AC9" s="7"/>
      <c r="AD9" s="7"/>
      <c r="AE9" s="7"/>
      <c r="AF9" s="4"/>
    </row>
    <row r="10" spans="1:32" x14ac:dyDescent="0.25">
      <c r="A10" s="96"/>
      <c r="B10" s="3" t="s">
        <v>6</v>
      </c>
      <c r="C10" s="23"/>
      <c r="D10" s="23"/>
      <c r="E10" s="23"/>
      <c r="F10" s="23"/>
      <c r="G10" s="23">
        <v>3</v>
      </c>
      <c r="H10" s="23"/>
      <c r="I10" s="23">
        <v>2</v>
      </c>
      <c r="J10" s="23"/>
      <c r="K10" s="23">
        <v>2</v>
      </c>
      <c r="L10" s="23"/>
      <c r="M10" s="23"/>
      <c r="N10" s="23"/>
      <c r="O10" s="23"/>
      <c r="P10" s="4"/>
      <c r="Q10" s="96"/>
      <c r="R10" s="3" t="s">
        <v>33</v>
      </c>
      <c r="S10" s="24"/>
      <c r="T10" s="24"/>
      <c r="U10" s="24"/>
      <c r="V10" s="24"/>
      <c r="W10" s="24"/>
      <c r="X10" s="24"/>
      <c r="Y10" s="24"/>
      <c r="Z10" s="24"/>
      <c r="AA10" s="24"/>
      <c r="AB10" s="24"/>
      <c r="AC10" s="24"/>
      <c r="AD10" s="24"/>
      <c r="AE10" s="24"/>
      <c r="AF10" s="4"/>
    </row>
    <row r="11" spans="1:32" x14ac:dyDescent="0.25">
      <c r="A11" s="96"/>
      <c r="B11" s="3" t="s">
        <v>7</v>
      </c>
      <c r="C11" s="2"/>
      <c r="D11" s="2"/>
      <c r="E11" s="2"/>
      <c r="F11" s="2"/>
      <c r="G11" s="2"/>
      <c r="H11" s="2"/>
      <c r="I11" s="2"/>
      <c r="J11" s="2"/>
      <c r="K11" s="2"/>
      <c r="L11" s="2"/>
      <c r="M11" s="2"/>
      <c r="N11" s="2"/>
      <c r="O11" s="2"/>
      <c r="P11" s="4"/>
      <c r="Q11" s="96"/>
      <c r="R11" s="3" t="s">
        <v>34</v>
      </c>
      <c r="S11" s="7"/>
      <c r="T11" s="7"/>
      <c r="U11" s="7"/>
      <c r="V11" s="7"/>
      <c r="W11" s="7"/>
      <c r="X11" s="7"/>
      <c r="Y11" s="7"/>
      <c r="Z11" s="7"/>
      <c r="AA11" s="7"/>
      <c r="AB11" s="7"/>
      <c r="AC11" s="7"/>
      <c r="AD11" s="7"/>
      <c r="AE11" s="7"/>
      <c r="AF11" s="4"/>
    </row>
    <row r="12" spans="1:32" x14ac:dyDescent="0.25">
      <c r="A12" s="96"/>
      <c r="B12" s="3" t="s">
        <v>8</v>
      </c>
      <c r="C12" s="23"/>
      <c r="D12" s="23"/>
      <c r="E12" s="23"/>
      <c r="F12" s="23"/>
      <c r="G12" s="23">
        <v>1</v>
      </c>
      <c r="H12" s="23"/>
      <c r="I12" s="23">
        <v>2</v>
      </c>
      <c r="J12" s="23"/>
      <c r="K12" s="23">
        <v>2</v>
      </c>
      <c r="L12" s="23"/>
      <c r="M12" s="23"/>
      <c r="N12" s="23"/>
      <c r="O12" s="23"/>
      <c r="P12" s="4"/>
      <c r="Q12" s="96"/>
      <c r="R12" s="3" t="s">
        <v>35</v>
      </c>
      <c r="S12" s="24"/>
      <c r="T12" s="24"/>
      <c r="U12" s="24"/>
      <c r="V12" s="24"/>
      <c r="W12" s="24"/>
      <c r="X12" s="24"/>
      <c r="Y12" s="24"/>
      <c r="Z12" s="24"/>
      <c r="AA12" s="24"/>
      <c r="AB12" s="24"/>
      <c r="AC12" s="24"/>
      <c r="AD12" s="24"/>
      <c r="AE12" s="24"/>
      <c r="AF12" s="4"/>
    </row>
    <row r="13" spans="1:32" x14ac:dyDescent="0.25">
      <c r="A13" s="96"/>
      <c r="B13" s="3" t="s">
        <v>9</v>
      </c>
      <c r="C13" s="2"/>
      <c r="D13" s="2"/>
      <c r="E13" s="2"/>
      <c r="F13" s="2"/>
      <c r="G13" s="2"/>
      <c r="H13" s="2"/>
      <c r="I13" s="2"/>
      <c r="J13" s="2"/>
      <c r="K13" s="2"/>
      <c r="L13" s="2"/>
      <c r="M13" s="2"/>
      <c r="N13" s="2"/>
      <c r="O13" s="2"/>
      <c r="P13" s="4"/>
      <c r="Q13" s="96"/>
      <c r="R13" s="3" t="s">
        <v>36</v>
      </c>
      <c r="S13" s="7"/>
      <c r="T13" s="7"/>
      <c r="U13" s="7"/>
      <c r="V13" s="7"/>
      <c r="W13" s="7"/>
      <c r="X13" s="7"/>
      <c r="Y13" s="7"/>
      <c r="Z13" s="7"/>
      <c r="AA13" s="7"/>
      <c r="AB13" s="7"/>
      <c r="AC13" s="7"/>
      <c r="AD13" s="7"/>
      <c r="AE13" s="7"/>
      <c r="AF13" s="4"/>
    </row>
    <row r="14" spans="1:32" x14ac:dyDescent="0.25">
      <c r="A14" s="96"/>
      <c r="B14" s="3" t="s">
        <v>10</v>
      </c>
      <c r="C14" s="23"/>
      <c r="D14" s="23"/>
      <c r="E14" s="23"/>
      <c r="F14" s="23"/>
      <c r="G14" s="23"/>
      <c r="H14" s="23"/>
      <c r="I14" s="23">
        <v>1</v>
      </c>
      <c r="J14" s="23"/>
      <c r="K14" s="23">
        <v>1</v>
      </c>
      <c r="L14" s="23"/>
      <c r="M14" s="23"/>
      <c r="N14" s="23"/>
      <c r="O14" s="23"/>
      <c r="P14" s="4"/>
      <c r="Q14" s="96"/>
      <c r="R14" s="3" t="s">
        <v>37</v>
      </c>
      <c r="S14" s="24"/>
      <c r="T14" s="24"/>
      <c r="U14" s="24"/>
      <c r="V14" s="24"/>
      <c r="W14" s="24"/>
      <c r="X14" s="24"/>
      <c r="Y14" s="24"/>
      <c r="Z14" s="24"/>
      <c r="AA14" s="24"/>
      <c r="AB14" s="24"/>
      <c r="AC14" s="24"/>
      <c r="AD14" s="24"/>
      <c r="AE14" s="24"/>
      <c r="AF14" s="4"/>
    </row>
    <row r="15" spans="1:32" x14ac:dyDescent="0.25">
      <c r="A15" s="96"/>
      <c r="B15" s="3" t="s">
        <v>11</v>
      </c>
      <c r="C15" s="2"/>
      <c r="D15" s="2"/>
      <c r="E15" s="2"/>
      <c r="F15" s="2"/>
      <c r="G15" s="2"/>
      <c r="H15" s="2"/>
      <c r="I15" s="2"/>
      <c r="J15" s="2"/>
      <c r="K15" s="2"/>
      <c r="L15" s="2"/>
      <c r="M15" s="2"/>
      <c r="N15" s="2"/>
      <c r="O15" s="2"/>
      <c r="P15" s="4"/>
      <c r="Q15" s="96"/>
      <c r="R15" s="3" t="s">
        <v>54</v>
      </c>
      <c r="S15" s="7"/>
      <c r="T15" s="7"/>
      <c r="U15" s="7"/>
      <c r="V15" s="7"/>
      <c r="W15" s="7"/>
      <c r="X15" s="7"/>
      <c r="Y15" s="7"/>
      <c r="Z15" s="7"/>
      <c r="AA15" s="7"/>
      <c r="AB15" s="7"/>
      <c r="AC15" s="7"/>
      <c r="AD15" s="7"/>
      <c r="AE15" s="7"/>
      <c r="AF15" s="4"/>
    </row>
    <row r="16" spans="1:32" x14ac:dyDescent="0.25">
      <c r="A16" s="96"/>
      <c r="B16" s="3" t="s">
        <v>25</v>
      </c>
      <c r="C16" s="23"/>
      <c r="D16" s="23"/>
      <c r="E16" s="23">
        <v>2</v>
      </c>
      <c r="F16" s="23"/>
      <c r="G16" s="23">
        <v>2</v>
      </c>
      <c r="H16" s="23"/>
      <c r="I16" s="23">
        <v>2</v>
      </c>
      <c r="J16" s="23"/>
      <c r="K16" s="23">
        <v>1</v>
      </c>
      <c r="L16" s="23"/>
      <c r="M16" s="23"/>
      <c r="N16" s="23"/>
      <c r="O16" s="23"/>
      <c r="P16" s="4"/>
      <c r="Q16" s="96"/>
      <c r="R16" s="3" t="s">
        <v>55</v>
      </c>
      <c r="S16" s="24"/>
      <c r="T16" s="24"/>
      <c r="U16" s="24"/>
      <c r="V16" s="24"/>
      <c r="W16" s="24"/>
      <c r="X16" s="24"/>
      <c r="Y16" s="24"/>
      <c r="Z16" s="24"/>
      <c r="AA16" s="24"/>
      <c r="AB16" s="24"/>
      <c r="AC16" s="24"/>
      <c r="AD16" s="24"/>
      <c r="AE16" s="24"/>
      <c r="AF16" s="4"/>
    </row>
    <row r="17" spans="1:32" x14ac:dyDescent="0.25">
      <c r="A17" s="96"/>
      <c r="B17" s="3" t="s">
        <v>26</v>
      </c>
      <c r="C17" s="2"/>
      <c r="D17" s="2"/>
      <c r="E17" s="2"/>
      <c r="F17" s="2"/>
      <c r="G17" s="2"/>
      <c r="H17" s="2"/>
      <c r="I17" s="2"/>
      <c r="J17" s="2"/>
      <c r="K17" s="2"/>
      <c r="L17" s="2"/>
      <c r="M17" s="2"/>
      <c r="N17" s="2"/>
      <c r="O17" s="2"/>
      <c r="P17" s="4"/>
      <c r="Q17" s="96"/>
      <c r="R17" s="3" t="s">
        <v>38</v>
      </c>
      <c r="S17" s="7"/>
      <c r="T17" s="7"/>
      <c r="U17" s="7"/>
      <c r="V17" s="7"/>
      <c r="W17" s="7"/>
      <c r="X17" s="7"/>
      <c r="Y17" s="7"/>
      <c r="Z17" s="7"/>
      <c r="AA17" s="7"/>
      <c r="AB17" s="7"/>
      <c r="AC17" s="7"/>
      <c r="AD17" s="7"/>
      <c r="AE17" s="7"/>
      <c r="AF17" s="4"/>
    </row>
    <row r="18" spans="1:32" x14ac:dyDescent="0.25">
      <c r="A18" s="96"/>
      <c r="B18" s="3" t="s">
        <v>12</v>
      </c>
      <c r="C18" s="23"/>
      <c r="D18" s="23"/>
      <c r="E18" s="23">
        <v>1</v>
      </c>
      <c r="F18" s="23"/>
      <c r="G18" s="23"/>
      <c r="H18" s="23"/>
      <c r="I18" s="23">
        <v>2</v>
      </c>
      <c r="J18" s="23"/>
      <c r="K18" s="23">
        <v>2</v>
      </c>
      <c r="L18" s="23"/>
      <c r="M18" s="23"/>
      <c r="N18" s="23"/>
      <c r="O18" s="23"/>
      <c r="P18" s="4"/>
      <c r="Q18" s="96"/>
      <c r="R18" s="3" t="s">
        <v>39</v>
      </c>
      <c r="S18" s="24"/>
      <c r="T18" s="24"/>
      <c r="U18" s="24"/>
      <c r="V18" s="24"/>
      <c r="W18" s="24"/>
      <c r="X18" s="24"/>
      <c r="Y18" s="24"/>
      <c r="Z18" s="24"/>
      <c r="AA18" s="24"/>
      <c r="AB18" s="24"/>
      <c r="AC18" s="24"/>
      <c r="AD18" s="24"/>
      <c r="AE18" s="24"/>
      <c r="AF18" s="4"/>
    </row>
    <row r="19" spans="1:32" x14ac:dyDescent="0.25">
      <c r="A19" s="96"/>
      <c r="B19" s="3" t="s">
        <v>13</v>
      </c>
      <c r="C19" s="2"/>
      <c r="D19" s="2"/>
      <c r="E19" s="2"/>
      <c r="F19" s="2"/>
      <c r="G19" s="2"/>
      <c r="H19" s="2"/>
      <c r="I19" s="2"/>
      <c r="J19" s="2"/>
      <c r="K19" s="2"/>
      <c r="L19" s="2"/>
      <c r="M19" s="2"/>
      <c r="N19" s="2"/>
      <c r="O19" s="2"/>
      <c r="P19" s="4"/>
      <c r="Q19" s="96"/>
      <c r="R19" s="3" t="s">
        <v>40</v>
      </c>
      <c r="S19" s="7"/>
      <c r="T19" s="7"/>
      <c r="U19" s="7"/>
      <c r="V19" s="7"/>
      <c r="W19" s="7"/>
      <c r="X19" s="7"/>
      <c r="Y19" s="7"/>
      <c r="Z19" s="7"/>
      <c r="AA19" s="7"/>
      <c r="AB19" s="7"/>
      <c r="AC19" s="7"/>
      <c r="AD19" s="7"/>
      <c r="AE19" s="7"/>
      <c r="AF19" s="4"/>
    </row>
    <row r="20" spans="1:32" x14ac:dyDescent="0.25">
      <c r="A20" s="96"/>
      <c r="B20" s="3" t="s">
        <v>14</v>
      </c>
      <c r="C20" s="23"/>
      <c r="D20" s="23"/>
      <c r="E20" s="23"/>
      <c r="F20" s="23"/>
      <c r="G20" s="23"/>
      <c r="H20" s="23"/>
      <c r="I20" s="23"/>
      <c r="J20" s="23"/>
      <c r="K20" s="23"/>
      <c r="L20" s="23"/>
      <c r="M20" s="23"/>
      <c r="N20" s="23"/>
      <c r="O20" s="23"/>
      <c r="P20" s="4"/>
      <c r="Q20" s="96"/>
      <c r="R20" s="3" t="s">
        <v>41</v>
      </c>
      <c r="S20" s="24"/>
      <c r="T20" s="24"/>
      <c r="U20" s="24"/>
      <c r="V20" s="24"/>
      <c r="W20" s="24"/>
      <c r="X20" s="24"/>
      <c r="Y20" s="24"/>
      <c r="Z20" s="24"/>
      <c r="AA20" s="24"/>
      <c r="AB20" s="24"/>
      <c r="AC20" s="24"/>
      <c r="AD20" s="24"/>
      <c r="AE20" s="24"/>
      <c r="AF20" s="4"/>
    </row>
    <row r="21" spans="1:32" x14ac:dyDescent="0.25">
      <c r="A21" s="96"/>
      <c r="B21" s="3" t="s">
        <v>15</v>
      </c>
      <c r="C21" s="2"/>
      <c r="D21" s="2"/>
      <c r="E21" s="2"/>
      <c r="F21" s="2"/>
      <c r="G21" s="2"/>
      <c r="H21" s="2"/>
      <c r="I21" s="2"/>
      <c r="J21" s="2"/>
      <c r="K21" s="2"/>
      <c r="L21" s="2"/>
      <c r="M21" s="2"/>
      <c r="N21" s="2"/>
      <c r="O21" s="2"/>
      <c r="P21" s="4"/>
      <c r="Q21" s="96"/>
      <c r="R21" s="3" t="s">
        <v>42</v>
      </c>
      <c r="S21" s="7"/>
      <c r="T21" s="7"/>
      <c r="U21" s="7"/>
      <c r="V21" s="7"/>
      <c r="W21" s="7"/>
      <c r="X21" s="7"/>
      <c r="Y21" s="7"/>
      <c r="Z21" s="7"/>
      <c r="AA21" s="7"/>
      <c r="AB21" s="7"/>
      <c r="AC21" s="7"/>
      <c r="AD21" s="7"/>
      <c r="AE21" s="7"/>
      <c r="AF21" s="4"/>
    </row>
    <row r="22" spans="1:32" x14ac:dyDescent="0.25">
      <c r="A22" s="96"/>
      <c r="B22" s="3" t="s">
        <v>16</v>
      </c>
      <c r="C22" s="23"/>
      <c r="D22" s="23"/>
      <c r="E22" s="23"/>
      <c r="F22" s="23"/>
      <c r="G22" s="23"/>
      <c r="H22" s="23"/>
      <c r="I22" s="23"/>
      <c r="J22" s="23"/>
      <c r="K22" s="23"/>
      <c r="L22" s="23"/>
      <c r="M22" s="23"/>
      <c r="N22" s="23"/>
      <c r="O22" s="23"/>
      <c r="P22" s="4"/>
      <c r="Q22" s="96"/>
      <c r="R22" s="3" t="s">
        <v>43</v>
      </c>
      <c r="S22" s="24"/>
      <c r="T22" s="24"/>
      <c r="U22" s="24"/>
      <c r="V22" s="24"/>
      <c r="W22" s="24"/>
      <c r="X22" s="24"/>
      <c r="Y22" s="24"/>
      <c r="Z22" s="24"/>
      <c r="AA22" s="24"/>
      <c r="AB22" s="24"/>
      <c r="AC22" s="24"/>
      <c r="AD22" s="24"/>
      <c r="AE22" s="24"/>
      <c r="AF22" s="4"/>
    </row>
    <row r="23" spans="1:32" x14ac:dyDescent="0.25">
      <c r="A23" s="96"/>
      <c r="B23" s="3" t="s">
        <v>17</v>
      </c>
      <c r="C23" s="2"/>
      <c r="D23" s="2"/>
      <c r="E23" s="2"/>
      <c r="F23" s="2"/>
      <c r="G23" s="2"/>
      <c r="H23" s="2"/>
      <c r="I23" s="2"/>
      <c r="J23" s="2"/>
      <c r="K23" s="2"/>
      <c r="L23" s="2"/>
      <c r="M23" s="2"/>
      <c r="N23" s="2"/>
      <c r="O23" s="2"/>
      <c r="P23" s="4"/>
      <c r="Q23" s="96"/>
      <c r="R23" s="3" t="s">
        <v>44</v>
      </c>
      <c r="S23" s="7"/>
      <c r="T23" s="7"/>
      <c r="U23" s="7"/>
      <c r="V23" s="7"/>
      <c r="W23" s="7"/>
      <c r="X23" s="7"/>
      <c r="Y23" s="7"/>
      <c r="Z23" s="7"/>
      <c r="AA23" s="7"/>
      <c r="AB23" s="7"/>
      <c r="AC23" s="7"/>
      <c r="AD23" s="7"/>
      <c r="AE23" s="7"/>
      <c r="AF23" s="4"/>
    </row>
    <row r="24" spans="1:32" x14ac:dyDescent="0.25">
      <c r="A24" s="96"/>
      <c r="B24" s="3" t="s">
        <v>18</v>
      </c>
      <c r="C24" s="23"/>
      <c r="D24" s="23"/>
      <c r="E24" s="23"/>
      <c r="F24" s="23"/>
      <c r="G24" s="23"/>
      <c r="H24" s="23"/>
      <c r="I24" s="23"/>
      <c r="J24" s="23"/>
      <c r="K24" s="23"/>
      <c r="L24" s="23"/>
      <c r="M24" s="23"/>
      <c r="N24" s="23"/>
      <c r="O24" s="23"/>
      <c r="P24" s="4"/>
      <c r="Q24" s="96"/>
      <c r="R24" s="3" t="s">
        <v>45</v>
      </c>
      <c r="S24" s="24"/>
      <c r="T24" s="24"/>
      <c r="U24" s="24"/>
      <c r="V24" s="24"/>
      <c r="W24" s="24"/>
      <c r="X24" s="24"/>
      <c r="Y24" s="24"/>
      <c r="Z24" s="24"/>
      <c r="AA24" s="24"/>
      <c r="AB24" s="24"/>
      <c r="AC24" s="24"/>
      <c r="AD24" s="24"/>
      <c r="AE24" s="24"/>
      <c r="AF24" s="4"/>
    </row>
    <row r="25" spans="1:32" x14ac:dyDescent="0.25">
      <c r="A25" s="96"/>
      <c r="B25" s="3" t="s">
        <v>19</v>
      </c>
      <c r="C25" s="2"/>
      <c r="D25" s="2"/>
      <c r="E25" s="2"/>
      <c r="F25" s="2"/>
      <c r="G25" s="2"/>
      <c r="H25" s="2"/>
      <c r="I25" s="2"/>
      <c r="J25" s="2"/>
      <c r="K25" s="2"/>
      <c r="L25" s="2"/>
      <c r="M25" s="2"/>
      <c r="N25" s="2"/>
      <c r="O25" s="2"/>
      <c r="P25" s="4"/>
      <c r="Q25" s="96"/>
      <c r="R25" s="3" t="s">
        <v>46</v>
      </c>
      <c r="S25" s="7"/>
      <c r="T25" s="7"/>
      <c r="U25" s="7"/>
      <c r="V25" s="7"/>
      <c r="W25" s="7"/>
      <c r="X25" s="7"/>
      <c r="Y25" s="7"/>
      <c r="Z25" s="7"/>
      <c r="AA25" s="7"/>
      <c r="AB25" s="7"/>
      <c r="AC25" s="7"/>
      <c r="AD25" s="7"/>
      <c r="AE25" s="7"/>
      <c r="AF25" s="4"/>
    </row>
    <row r="26" spans="1:32" x14ac:dyDescent="0.25">
      <c r="A26" s="96"/>
      <c r="B26" s="3" t="s">
        <v>20</v>
      </c>
      <c r="C26" s="23"/>
      <c r="D26" s="23"/>
      <c r="E26" s="23"/>
      <c r="F26" s="23"/>
      <c r="G26" s="23"/>
      <c r="H26" s="23"/>
      <c r="I26" s="23"/>
      <c r="J26" s="23"/>
      <c r="K26" s="23"/>
      <c r="L26" s="23"/>
      <c r="M26" s="23"/>
      <c r="N26" s="23"/>
      <c r="O26" s="23"/>
      <c r="P26" s="4"/>
      <c r="Q26" s="96"/>
      <c r="R26" s="3" t="s">
        <v>47</v>
      </c>
      <c r="S26" s="24"/>
      <c r="T26" s="24"/>
      <c r="U26" s="24"/>
      <c r="V26" s="24"/>
      <c r="W26" s="24"/>
      <c r="X26" s="24"/>
      <c r="Y26" s="24"/>
      <c r="Z26" s="24"/>
      <c r="AA26" s="24"/>
      <c r="AB26" s="24"/>
      <c r="AC26" s="24"/>
      <c r="AD26" s="24"/>
      <c r="AE26" s="24"/>
      <c r="AF26" s="4"/>
    </row>
    <row r="27" spans="1:32" x14ac:dyDescent="0.25">
      <c r="A27" s="96"/>
      <c r="B27" s="3" t="s">
        <v>21</v>
      </c>
      <c r="C27" s="2"/>
      <c r="D27" s="2"/>
      <c r="E27" s="2"/>
      <c r="F27" s="2"/>
      <c r="G27" s="2"/>
      <c r="H27" s="2"/>
      <c r="I27" s="2"/>
      <c r="J27" s="2"/>
      <c r="K27" s="2"/>
      <c r="L27" s="2"/>
      <c r="M27" s="2"/>
      <c r="N27" s="2"/>
      <c r="O27" s="2"/>
      <c r="P27" s="4"/>
      <c r="Q27" s="96"/>
      <c r="R27" s="3" t="s">
        <v>48</v>
      </c>
      <c r="S27" s="7"/>
      <c r="T27" s="7"/>
      <c r="U27" s="7"/>
      <c r="V27" s="7"/>
      <c r="W27" s="7"/>
      <c r="X27" s="7"/>
      <c r="Y27" s="7"/>
      <c r="Z27" s="7"/>
      <c r="AA27" s="7"/>
      <c r="AB27" s="7"/>
      <c r="AC27" s="7"/>
      <c r="AD27" s="7"/>
      <c r="AE27" s="7"/>
      <c r="AF27" s="4"/>
    </row>
    <row r="28" spans="1:32" x14ac:dyDescent="0.25">
      <c r="A28" s="96"/>
      <c r="B28" s="3" t="s">
        <v>22</v>
      </c>
      <c r="C28" s="23"/>
      <c r="D28" s="23"/>
      <c r="E28" s="23"/>
      <c r="F28" s="23"/>
      <c r="G28" s="23"/>
      <c r="H28" s="23"/>
      <c r="I28" s="23"/>
      <c r="J28" s="23"/>
      <c r="K28" s="23"/>
      <c r="L28" s="23"/>
      <c r="M28" s="23"/>
      <c r="N28" s="23"/>
      <c r="O28" s="23"/>
      <c r="P28" s="4"/>
      <c r="Q28" s="96"/>
      <c r="R28" s="3" t="s">
        <v>49</v>
      </c>
      <c r="S28" s="24"/>
      <c r="T28" s="24"/>
      <c r="U28" s="24"/>
      <c r="V28" s="24"/>
      <c r="W28" s="24"/>
      <c r="X28" s="24"/>
      <c r="Y28" s="24"/>
      <c r="Z28" s="24"/>
      <c r="AA28" s="24"/>
      <c r="AB28" s="24"/>
      <c r="AC28" s="24"/>
      <c r="AD28" s="24"/>
      <c r="AE28" s="24"/>
      <c r="AF28" s="4"/>
    </row>
    <row r="29" spans="1:32" x14ac:dyDescent="0.25">
      <c r="A29" s="96"/>
      <c r="B29" s="3" t="s">
        <v>23</v>
      </c>
      <c r="C29" s="2"/>
      <c r="D29" s="2"/>
      <c r="E29" s="2"/>
      <c r="F29" s="2"/>
      <c r="G29" s="2"/>
      <c r="H29" s="2"/>
      <c r="I29" s="2"/>
      <c r="J29" s="2"/>
      <c r="K29" s="2"/>
      <c r="L29" s="2"/>
      <c r="M29" s="2"/>
      <c r="N29" s="2"/>
      <c r="O29" s="2"/>
      <c r="P29" s="4"/>
      <c r="Q29" s="96"/>
      <c r="R29" s="3" t="s">
        <v>50</v>
      </c>
      <c r="S29" s="7"/>
      <c r="T29" s="7"/>
      <c r="U29" s="7"/>
      <c r="V29" s="7"/>
      <c r="W29" s="7"/>
      <c r="X29" s="7"/>
      <c r="Y29" s="7"/>
      <c r="Z29" s="7"/>
      <c r="AA29" s="7"/>
      <c r="AB29" s="7"/>
      <c r="AC29" s="7"/>
      <c r="AD29" s="7"/>
      <c r="AE29" s="7"/>
      <c r="AF29" s="4"/>
    </row>
    <row r="30" spans="1:32" x14ac:dyDescent="0.25">
      <c r="A30" s="96"/>
      <c r="B30" s="3" t="s">
        <v>24</v>
      </c>
      <c r="C30" s="23"/>
      <c r="D30" s="23"/>
      <c r="E30" s="23"/>
      <c r="F30" s="23"/>
      <c r="G30" s="23"/>
      <c r="H30" s="23"/>
      <c r="I30" s="23"/>
      <c r="J30" s="23"/>
      <c r="K30" s="23"/>
      <c r="L30" s="23"/>
      <c r="M30" s="23"/>
      <c r="N30" s="23"/>
      <c r="O30" s="23"/>
      <c r="P30" s="4"/>
      <c r="Q30" s="96"/>
      <c r="R30" s="4"/>
      <c r="S30" s="4"/>
      <c r="T30" s="4"/>
      <c r="U30" s="4"/>
      <c r="V30" s="4"/>
      <c r="W30" s="4"/>
      <c r="X30" s="4"/>
      <c r="Y30" s="4"/>
      <c r="Z30" s="4"/>
      <c r="AA30" s="4"/>
      <c r="AB30" s="4"/>
      <c r="AC30" s="4"/>
      <c r="AD30" s="4"/>
      <c r="AE30" s="4"/>
      <c r="AF30" s="4"/>
    </row>
    <row r="31" spans="1:32" x14ac:dyDescent="0.25">
      <c r="A31" s="9"/>
      <c r="B31" s="9"/>
      <c r="C31" s="9"/>
      <c r="D31" s="9"/>
      <c r="E31" s="9"/>
      <c r="F31" s="9"/>
      <c r="G31" s="9"/>
      <c r="H31" s="9"/>
      <c r="I31" s="9"/>
      <c r="J31" s="9"/>
      <c r="K31" s="9"/>
      <c r="L31" s="9"/>
      <c r="M31" s="9"/>
      <c r="N31" s="9"/>
      <c r="O31" s="9"/>
      <c r="P31" s="9"/>
      <c r="Q31" s="9"/>
      <c r="R31" s="9"/>
      <c r="S31" s="9"/>
      <c r="T31" s="9"/>
      <c r="U31" s="9"/>
      <c r="V31" s="9"/>
      <c r="W31" s="9"/>
      <c r="X31" s="9"/>
      <c r="Y31" s="9"/>
      <c r="Z31" s="9"/>
      <c r="AA31" s="9"/>
      <c r="AB31" s="9"/>
      <c r="AC31" s="9"/>
      <c r="AD31" s="9"/>
      <c r="AE31" s="9"/>
      <c r="AF31" s="9"/>
    </row>
    <row r="32" spans="1:32" x14ac:dyDescent="0.25">
      <c r="A32" s="9"/>
      <c r="B32" s="9"/>
      <c r="C32" s="9"/>
      <c r="D32" s="9"/>
      <c r="E32" s="9"/>
      <c r="F32" s="9"/>
      <c r="G32" s="9"/>
      <c r="H32" s="9"/>
      <c r="I32" s="9"/>
      <c r="J32" s="9"/>
      <c r="K32" s="9"/>
      <c r="L32" s="9"/>
      <c r="M32" s="9"/>
      <c r="N32" s="9"/>
      <c r="O32" s="9"/>
      <c r="P32" s="9"/>
      <c r="Q32" s="9"/>
      <c r="R32" s="9"/>
      <c r="S32" s="9"/>
      <c r="T32" s="9"/>
      <c r="U32" s="9"/>
      <c r="V32" s="9"/>
      <c r="W32" s="9"/>
      <c r="X32" s="9"/>
      <c r="Y32" s="9"/>
      <c r="Z32" s="9"/>
      <c r="AA32" s="9"/>
      <c r="AB32" s="9"/>
      <c r="AC32" s="9"/>
      <c r="AD32" s="9"/>
      <c r="AE32" s="9"/>
      <c r="AF32" s="9"/>
    </row>
    <row r="33" spans="1:32" x14ac:dyDescent="0.25">
      <c r="A33" s="9"/>
      <c r="B33" s="9"/>
      <c r="C33" s="9"/>
      <c r="D33" s="9"/>
      <c r="E33" s="9"/>
      <c r="F33" s="9"/>
      <c r="G33" s="9"/>
      <c r="H33" s="9"/>
      <c r="I33" s="9"/>
      <c r="J33" s="9"/>
      <c r="K33" s="9"/>
      <c r="L33" s="9"/>
      <c r="M33" s="9"/>
      <c r="N33" s="9"/>
      <c r="O33" s="9"/>
      <c r="P33" s="9"/>
      <c r="Q33" s="9"/>
      <c r="R33" s="9"/>
      <c r="S33" s="9"/>
      <c r="T33" s="9"/>
      <c r="U33" s="9"/>
      <c r="V33" s="9"/>
      <c r="W33" s="9"/>
      <c r="X33" s="9"/>
      <c r="Y33" s="9"/>
      <c r="Z33" s="9"/>
      <c r="AA33" s="9"/>
      <c r="AB33" s="9"/>
      <c r="AC33" s="9"/>
      <c r="AD33" s="9"/>
      <c r="AE33" s="9"/>
      <c r="AF33" s="9"/>
    </row>
    <row r="34" spans="1:32" x14ac:dyDescent="0.25">
      <c r="A34" s="9"/>
      <c r="B34" s="9"/>
      <c r="C34" s="9"/>
      <c r="D34" s="9"/>
      <c r="E34" s="9"/>
      <c r="F34" s="9"/>
      <c r="G34" s="9"/>
      <c r="H34" s="9"/>
      <c r="I34" s="9"/>
      <c r="J34" s="9"/>
      <c r="K34" s="9"/>
      <c r="L34" s="9"/>
      <c r="M34" s="9"/>
      <c r="N34" s="9"/>
      <c r="O34" s="9"/>
      <c r="P34" s="9"/>
      <c r="Q34" s="9"/>
      <c r="R34" s="9"/>
      <c r="S34" s="9"/>
      <c r="T34" s="9"/>
      <c r="U34" s="9"/>
      <c r="V34" s="9"/>
      <c r="W34" s="9"/>
      <c r="X34" s="9"/>
      <c r="Y34" s="9"/>
      <c r="Z34" s="9"/>
      <c r="AA34" s="9"/>
      <c r="AB34" s="9"/>
      <c r="AC34" s="9"/>
      <c r="AD34" s="9"/>
      <c r="AE34" s="9"/>
      <c r="AF34" s="9"/>
    </row>
    <row r="35" spans="1:32" x14ac:dyDescent="0.25">
      <c r="A35" s="9"/>
      <c r="B35" s="9"/>
      <c r="C35" s="9"/>
      <c r="D35" s="9"/>
      <c r="E35" s="9"/>
      <c r="F35" s="9"/>
      <c r="G35" s="9"/>
      <c r="H35" s="9"/>
      <c r="I35" s="9"/>
      <c r="J35" s="9"/>
      <c r="K35" s="9"/>
      <c r="L35" s="9"/>
      <c r="M35" s="9"/>
      <c r="N35" s="9"/>
      <c r="O35" s="9"/>
      <c r="P35" s="9"/>
      <c r="Q35" s="9"/>
      <c r="R35" s="9"/>
      <c r="S35" s="9"/>
      <c r="T35" s="9"/>
      <c r="U35" s="9"/>
      <c r="V35" s="9"/>
      <c r="W35" s="9"/>
      <c r="X35" s="9"/>
      <c r="Y35" s="9"/>
      <c r="Z35" s="9"/>
      <c r="AA35" s="9"/>
      <c r="AB35" s="9"/>
      <c r="AC35" s="9"/>
      <c r="AD35" s="9"/>
      <c r="AE35" s="9"/>
      <c r="AF35" s="9"/>
    </row>
    <row r="36" spans="1:32" x14ac:dyDescent="0.25">
      <c r="A36" s="9"/>
      <c r="B36" s="9"/>
      <c r="C36" s="9"/>
      <c r="D36" s="9"/>
      <c r="E36" s="9"/>
      <c r="F36" s="9"/>
      <c r="G36" s="9"/>
      <c r="H36" s="9"/>
      <c r="I36" s="9"/>
      <c r="J36" s="9"/>
      <c r="K36" s="9"/>
      <c r="L36" s="9"/>
      <c r="M36" s="9"/>
      <c r="N36" s="9"/>
      <c r="O36" s="9"/>
      <c r="P36" s="9"/>
      <c r="Q36" s="9"/>
      <c r="R36" s="9"/>
      <c r="S36" s="9"/>
      <c r="T36" s="9"/>
      <c r="U36" s="9"/>
      <c r="V36" s="9"/>
      <c r="W36" s="9"/>
      <c r="X36" s="9"/>
      <c r="Y36" s="9"/>
      <c r="Z36" s="9"/>
      <c r="AA36" s="9"/>
      <c r="AB36" s="9"/>
      <c r="AC36" s="9"/>
      <c r="AD36" s="9"/>
      <c r="AE36" s="9"/>
      <c r="AF36" s="9"/>
    </row>
  </sheetData>
  <mergeCells count="6">
    <mergeCell ref="A6:A30"/>
    <mergeCell ref="Q6:Q30"/>
    <mergeCell ref="C3:O3"/>
    <mergeCell ref="S3:AE3"/>
    <mergeCell ref="C4:O4"/>
    <mergeCell ref="S4:AE4"/>
  </mergeCells>
  <pageMargins left="0.70866141732283472" right="0.70866141732283472" top="0.74803149606299213" bottom="0.74803149606299213" header="0.31496062992125984" footer="0.31496062992125984"/>
  <pageSetup paperSize="88" scale="40" orientation="landscape" r:id="rId1"/>
  <ignoredErrors>
    <ignoredError sqref="B6:B30 R6:R29 S5:AE5 C5:O5"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6">
    <pageSetUpPr fitToPage="1"/>
  </sheetPr>
  <dimension ref="A1:AP66"/>
  <sheetViews>
    <sheetView topLeftCell="A3" workbookViewId="0">
      <selection activeCell="Q17" sqref="Q17"/>
    </sheetView>
  </sheetViews>
  <sheetFormatPr baseColWidth="10" defaultColWidth="11.42578125" defaultRowHeight="15" x14ac:dyDescent="0.25"/>
  <cols>
    <col min="2" max="2" width="5.28515625" bestFit="1" customWidth="1"/>
    <col min="3" max="3" width="4.5703125" bestFit="1" customWidth="1"/>
    <col min="4" max="4" width="2.140625" bestFit="1" customWidth="1"/>
    <col min="5" max="5" width="5.28515625" bestFit="1" customWidth="1"/>
    <col min="6" max="6" width="2.140625" bestFit="1" customWidth="1"/>
    <col min="7" max="7" width="5.28515625" bestFit="1" customWidth="1"/>
    <col min="8" max="8" width="2.140625" bestFit="1" customWidth="1"/>
    <col min="9" max="9" width="5.28515625" bestFit="1" customWidth="1"/>
    <col min="10" max="10" width="2.140625" bestFit="1" customWidth="1"/>
    <col min="11" max="11" width="5.28515625" bestFit="1" customWidth="1"/>
    <col min="12" max="12" width="2.140625" bestFit="1" customWidth="1"/>
    <col min="13" max="13" width="5.28515625" bestFit="1" customWidth="1"/>
    <col min="14" max="14" width="2.140625" bestFit="1" customWidth="1"/>
    <col min="15" max="15" width="5.28515625" bestFit="1" customWidth="1"/>
    <col min="16" max="16" width="2.140625" bestFit="1" customWidth="1"/>
    <col min="17" max="17" width="5.5703125" bestFit="1" customWidth="1"/>
    <col min="18" max="18" width="2.140625" bestFit="1" customWidth="1"/>
    <col min="19" max="19" width="4.5703125" bestFit="1" customWidth="1"/>
    <col min="20" max="20" width="2.140625" bestFit="1" customWidth="1"/>
    <col min="21" max="21" width="1" customWidth="1"/>
    <col min="22" max="22" width="7.42578125" customWidth="1"/>
    <col min="23" max="23" width="5.5703125" bestFit="1" customWidth="1"/>
    <col min="24" max="24" width="5.28515625" bestFit="1" customWidth="1"/>
    <col min="25" max="25" width="2.140625" bestFit="1" customWidth="1"/>
    <col min="26" max="26" width="5.28515625" bestFit="1" customWidth="1"/>
    <col min="27" max="27" width="2.140625" bestFit="1" customWidth="1"/>
    <col min="28" max="28" width="5.28515625" bestFit="1" customWidth="1"/>
    <col min="29" max="29" width="2.140625" bestFit="1" customWidth="1"/>
    <col min="30" max="30" width="5.28515625" bestFit="1" customWidth="1"/>
    <col min="31" max="31" width="2.140625" bestFit="1" customWidth="1"/>
    <col min="32" max="32" width="4.7109375" customWidth="1"/>
    <col min="33" max="33" width="2.140625" bestFit="1" customWidth="1"/>
    <col min="34" max="34" width="5" customWidth="1"/>
    <col min="35" max="35" width="2.140625" bestFit="1" customWidth="1"/>
    <col min="36" max="36" width="5.7109375" customWidth="1"/>
    <col min="37" max="37" width="2.140625" bestFit="1" customWidth="1"/>
    <col min="38" max="38" width="6" customWidth="1"/>
    <col min="39" max="39" width="2.140625" bestFit="1" customWidth="1"/>
    <col min="40" max="40" width="6" customWidth="1"/>
    <col min="41" max="41" width="2.140625" bestFit="1" customWidth="1"/>
  </cols>
  <sheetData>
    <row r="1" spans="1:42" ht="23.25" x14ac:dyDescent="0.25">
      <c r="A1" s="4"/>
      <c r="B1" s="4"/>
      <c r="C1" s="95" t="s">
        <v>57</v>
      </c>
      <c r="D1" s="95"/>
      <c r="E1" s="95"/>
      <c r="F1" s="95"/>
      <c r="G1" s="95"/>
      <c r="H1" s="95"/>
      <c r="I1" s="95"/>
      <c r="J1" s="95"/>
      <c r="K1" s="95"/>
      <c r="L1" s="95"/>
      <c r="M1" s="95"/>
      <c r="N1" s="95"/>
      <c r="O1" s="95"/>
      <c r="P1" s="95"/>
      <c r="Q1" s="95"/>
      <c r="R1" s="95"/>
      <c r="S1" s="95"/>
      <c r="T1" s="95"/>
      <c r="U1" s="95"/>
      <c r="V1" s="95"/>
      <c r="W1" s="95"/>
      <c r="X1" s="95"/>
      <c r="Y1" s="95"/>
      <c r="Z1" s="95"/>
      <c r="AA1" s="95"/>
      <c r="AB1" s="95"/>
      <c r="AC1" s="95"/>
      <c r="AD1" s="95"/>
      <c r="AE1" s="95"/>
      <c r="AF1" s="95"/>
      <c r="AG1" s="9"/>
      <c r="AH1" s="9"/>
      <c r="AI1" s="9"/>
      <c r="AJ1" s="9"/>
      <c r="AK1" s="9"/>
      <c r="AL1" s="9"/>
      <c r="AM1" s="9"/>
      <c r="AN1" s="9"/>
      <c r="AO1" s="9"/>
      <c r="AP1" s="9"/>
    </row>
    <row r="2" spans="1:42" x14ac:dyDescent="0.25">
      <c r="A2" s="4"/>
      <c r="B2" s="4"/>
      <c r="C2" s="4"/>
      <c r="D2" s="4"/>
      <c r="E2" s="4"/>
      <c r="F2" s="4"/>
      <c r="G2" s="4"/>
      <c r="H2" s="4"/>
      <c r="I2" s="4"/>
      <c r="J2" s="4"/>
      <c r="K2" s="4"/>
      <c r="L2" s="4"/>
      <c r="M2" s="4"/>
      <c r="N2" s="4"/>
      <c r="O2" s="4"/>
      <c r="P2" s="4"/>
      <c r="Q2" s="4"/>
      <c r="R2" s="4"/>
      <c r="S2" s="4"/>
      <c r="T2" s="4"/>
      <c r="U2" s="4"/>
      <c r="V2" s="4"/>
      <c r="W2" s="4"/>
      <c r="X2" s="4"/>
      <c r="Y2" s="4"/>
      <c r="Z2" s="4"/>
      <c r="AA2" s="4"/>
      <c r="AB2" s="4"/>
      <c r="AC2" s="4"/>
      <c r="AD2" s="4"/>
      <c r="AE2" s="4"/>
      <c r="AF2" s="4"/>
      <c r="AG2" s="9"/>
      <c r="AH2" s="9"/>
      <c r="AI2" s="9"/>
      <c r="AJ2" s="9"/>
      <c r="AK2" s="9"/>
      <c r="AL2" s="9"/>
      <c r="AM2" s="9"/>
      <c r="AN2" s="9"/>
      <c r="AO2" s="9"/>
      <c r="AP2" s="9"/>
    </row>
    <row r="3" spans="1:42" ht="36" customHeight="1" x14ac:dyDescent="0.25">
      <c r="A3" s="4"/>
      <c r="B3" s="5"/>
      <c r="C3" s="97" t="s">
        <v>58</v>
      </c>
      <c r="D3" s="97"/>
      <c r="E3" s="97"/>
      <c r="F3" s="97"/>
      <c r="G3" s="97"/>
      <c r="H3" s="97"/>
      <c r="I3" s="97"/>
      <c r="J3" s="97"/>
      <c r="K3" s="97"/>
      <c r="L3" s="97"/>
      <c r="M3" s="97"/>
      <c r="N3" s="97"/>
      <c r="O3" s="97"/>
      <c r="P3" s="97"/>
      <c r="Q3" s="97"/>
      <c r="R3" s="97"/>
      <c r="S3" s="97"/>
      <c r="T3" s="97"/>
      <c r="V3" s="4"/>
      <c r="W3" s="5"/>
      <c r="X3" s="97" t="s">
        <v>58</v>
      </c>
      <c r="Y3" s="97"/>
      <c r="Z3" s="97"/>
      <c r="AA3" s="97"/>
      <c r="AB3" s="97"/>
      <c r="AC3" s="97"/>
      <c r="AD3" s="97"/>
      <c r="AE3" s="97"/>
      <c r="AF3" s="97"/>
      <c r="AG3" s="97"/>
      <c r="AH3" s="97"/>
      <c r="AI3" s="97"/>
      <c r="AJ3" s="97"/>
      <c r="AK3" s="97"/>
      <c r="AL3" s="97"/>
      <c r="AM3" s="97"/>
      <c r="AN3" s="97"/>
      <c r="AO3" s="97"/>
      <c r="AP3" s="9"/>
    </row>
    <row r="4" spans="1:42" ht="15.75" x14ac:dyDescent="0.25">
      <c r="A4" s="4"/>
      <c r="B4" s="5"/>
      <c r="C4" s="98"/>
      <c r="D4" s="98"/>
      <c r="E4" s="98"/>
      <c r="F4" s="98"/>
      <c r="G4" s="98"/>
      <c r="H4" s="98"/>
      <c r="I4" s="98"/>
      <c r="J4" s="98"/>
      <c r="K4" s="98"/>
      <c r="L4" s="98"/>
      <c r="M4" s="98"/>
      <c r="N4" s="98"/>
      <c r="O4" s="98"/>
      <c r="P4" s="98"/>
      <c r="Q4" s="98"/>
      <c r="R4" s="98"/>
      <c r="S4" s="98"/>
      <c r="T4" s="98"/>
      <c r="U4" s="9"/>
      <c r="V4" s="4"/>
      <c r="W4" s="5"/>
      <c r="X4" s="98"/>
      <c r="Y4" s="98"/>
      <c r="Z4" s="98"/>
      <c r="AA4" s="98"/>
      <c r="AB4" s="98"/>
      <c r="AC4" s="98"/>
      <c r="AD4" s="98"/>
      <c r="AE4" s="98"/>
      <c r="AF4" s="98"/>
      <c r="AG4" s="98"/>
      <c r="AH4" s="98"/>
      <c r="AI4" s="98"/>
      <c r="AJ4" s="98"/>
      <c r="AK4" s="98"/>
      <c r="AL4" s="98"/>
      <c r="AM4" s="98"/>
      <c r="AN4" s="98"/>
      <c r="AO4" s="98"/>
      <c r="AP4" s="9"/>
    </row>
    <row r="5" spans="1:42" ht="15.75" x14ac:dyDescent="0.25">
      <c r="A5" s="6" t="s">
        <v>51</v>
      </c>
      <c r="B5" s="28"/>
      <c r="C5" s="122" t="s">
        <v>59</v>
      </c>
      <c r="D5" s="122"/>
      <c r="E5" s="122" t="s">
        <v>60</v>
      </c>
      <c r="F5" s="122"/>
      <c r="G5" s="122" t="s">
        <v>61</v>
      </c>
      <c r="H5" s="122"/>
      <c r="I5" s="122" t="s">
        <v>62</v>
      </c>
      <c r="J5" s="122"/>
      <c r="K5" s="122" t="s">
        <v>63</v>
      </c>
      <c r="L5" s="122"/>
      <c r="M5" s="122" t="s">
        <v>64</v>
      </c>
      <c r="N5" s="122"/>
      <c r="O5" s="122" t="s">
        <v>67</v>
      </c>
      <c r="P5" s="122"/>
      <c r="Q5" s="122" t="s">
        <v>68</v>
      </c>
      <c r="R5" s="122"/>
      <c r="S5" s="122" t="s">
        <v>69</v>
      </c>
      <c r="T5" s="122"/>
      <c r="U5" s="9"/>
      <c r="V5" s="6" t="s">
        <v>52</v>
      </c>
      <c r="W5" s="28"/>
      <c r="X5" s="122" t="s">
        <v>59</v>
      </c>
      <c r="Y5" s="122"/>
      <c r="Z5" s="122" t="s">
        <v>60</v>
      </c>
      <c r="AA5" s="122"/>
      <c r="AB5" s="122" t="s">
        <v>61</v>
      </c>
      <c r="AC5" s="122"/>
      <c r="AD5" s="122" t="s">
        <v>62</v>
      </c>
      <c r="AE5" s="122"/>
      <c r="AF5" s="122" t="s">
        <v>63</v>
      </c>
      <c r="AG5" s="122"/>
      <c r="AH5" s="122" t="s">
        <v>64</v>
      </c>
      <c r="AI5" s="122"/>
      <c r="AJ5" s="123" t="s">
        <v>67</v>
      </c>
      <c r="AK5" s="124"/>
      <c r="AL5" s="122" t="s">
        <v>68</v>
      </c>
      <c r="AM5" s="122"/>
      <c r="AN5" s="122" t="s">
        <v>69</v>
      </c>
      <c r="AO5" s="122"/>
      <c r="AP5" s="9"/>
    </row>
    <row r="6" spans="1:42" ht="15" customHeight="1" x14ac:dyDescent="0.25">
      <c r="A6" s="96" t="s">
        <v>0</v>
      </c>
      <c r="B6" s="122" t="s">
        <v>2</v>
      </c>
      <c r="C6" s="11"/>
      <c r="D6" s="15" t="s">
        <v>65</v>
      </c>
      <c r="E6" s="11">
        <v>2</v>
      </c>
      <c r="F6" s="15" t="s">
        <v>65</v>
      </c>
      <c r="G6" s="11">
        <v>2</v>
      </c>
      <c r="H6" s="15" t="s">
        <v>65</v>
      </c>
      <c r="I6" s="12">
        <v>3</v>
      </c>
      <c r="J6" s="15" t="s">
        <v>65</v>
      </c>
      <c r="K6" s="12">
        <v>3</v>
      </c>
      <c r="L6" s="15" t="s">
        <v>65</v>
      </c>
      <c r="M6" s="12">
        <v>3</v>
      </c>
      <c r="N6" s="15" t="s">
        <v>65</v>
      </c>
      <c r="O6" s="12">
        <v>1</v>
      </c>
      <c r="P6" s="15" t="s">
        <v>65</v>
      </c>
      <c r="Q6" s="34">
        <v>3</v>
      </c>
      <c r="R6" s="15" t="s">
        <v>65</v>
      </c>
      <c r="S6" s="34">
        <v>2</v>
      </c>
      <c r="T6" s="15" t="s">
        <v>65</v>
      </c>
      <c r="U6" s="9"/>
      <c r="V6" s="96" t="s">
        <v>0</v>
      </c>
      <c r="W6" s="122" t="s">
        <v>3</v>
      </c>
      <c r="X6" s="11"/>
      <c r="Y6" s="15" t="s">
        <v>65</v>
      </c>
      <c r="Z6" s="11">
        <v>2</v>
      </c>
      <c r="AA6" s="15" t="s">
        <v>65</v>
      </c>
      <c r="AB6" s="11">
        <v>3</v>
      </c>
      <c r="AC6" s="15" t="s">
        <v>65</v>
      </c>
      <c r="AD6" s="12">
        <v>3</v>
      </c>
      <c r="AE6" s="15" t="s">
        <v>65</v>
      </c>
      <c r="AF6" s="12">
        <v>2</v>
      </c>
      <c r="AG6" s="15" t="s">
        <v>65</v>
      </c>
      <c r="AH6" s="12">
        <v>2</v>
      </c>
      <c r="AI6" s="15" t="s">
        <v>65</v>
      </c>
      <c r="AJ6" s="12">
        <v>2</v>
      </c>
      <c r="AK6" s="15" t="s">
        <v>65</v>
      </c>
      <c r="AL6" s="34">
        <v>3</v>
      </c>
      <c r="AM6" s="15" t="s">
        <v>65</v>
      </c>
      <c r="AN6" s="34">
        <v>1</v>
      </c>
      <c r="AO6" s="15" t="s">
        <v>65</v>
      </c>
      <c r="AP6" s="9"/>
    </row>
    <row r="7" spans="1:42" x14ac:dyDescent="0.25">
      <c r="A7" s="96"/>
      <c r="B7" s="122"/>
      <c r="C7" s="13"/>
      <c r="D7" s="16" t="s">
        <v>66</v>
      </c>
      <c r="E7" s="13">
        <v>2</v>
      </c>
      <c r="F7" s="16" t="s">
        <v>66</v>
      </c>
      <c r="G7" s="13">
        <v>2</v>
      </c>
      <c r="H7" s="16" t="s">
        <v>66</v>
      </c>
      <c r="I7" s="14">
        <v>2</v>
      </c>
      <c r="J7" s="16" t="s">
        <v>66</v>
      </c>
      <c r="K7" s="14">
        <v>2</v>
      </c>
      <c r="L7" s="16" t="s">
        <v>66</v>
      </c>
      <c r="M7" s="14">
        <v>2</v>
      </c>
      <c r="N7" s="16" t="s">
        <v>66</v>
      </c>
      <c r="O7" s="14">
        <v>3</v>
      </c>
      <c r="P7" s="16" t="s">
        <v>66</v>
      </c>
      <c r="Q7" s="35">
        <v>2</v>
      </c>
      <c r="R7" s="16" t="s">
        <v>66</v>
      </c>
      <c r="S7" s="35"/>
      <c r="T7" s="16" t="s">
        <v>66</v>
      </c>
      <c r="U7" s="9"/>
      <c r="V7" s="96"/>
      <c r="W7" s="122"/>
      <c r="X7" s="13"/>
      <c r="Y7" s="16" t="s">
        <v>66</v>
      </c>
      <c r="Z7" s="13">
        <v>2</v>
      </c>
      <c r="AA7" s="16" t="s">
        <v>66</v>
      </c>
      <c r="AB7" s="13">
        <v>2</v>
      </c>
      <c r="AC7" s="16" t="s">
        <v>66</v>
      </c>
      <c r="AD7" s="14">
        <v>2</v>
      </c>
      <c r="AE7" s="16" t="s">
        <v>66</v>
      </c>
      <c r="AF7" s="14">
        <v>3</v>
      </c>
      <c r="AG7" s="16" t="s">
        <v>66</v>
      </c>
      <c r="AH7" s="14">
        <v>2</v>
      </c>
      <c r="AI7" s="16" t="s">
        <v>66</v>
      </c>
      <c r="AJ7" s="14">
        <v>2</v>
      </c>
      <c r="AK7" s="16" t="s">
        <v>66</v>
      </c>
      <c r="AL7" s="35">
        <v>3</v>
      </c>
      <c r="AM7" s="16" t="s">
        <v>66</v>
      </c>
      <c r="AN7" s="35">
        <v>3</v>
      </c>
      <c r="AO7" s="16" t="s">
        <v>66</v>
      </c>
      <c r="AP7" s="9"/>
    </row>
    <row r="8" spans="1:42" x14ac:dyDescent="0.25">
      <c r="A8" s="96"/>
      <c r="B8" s="122" t="s">
        <v>29</v>
      </c>
      <c r="C8" s="11"/>
      <c r="D8" s="15" t="s">
        <v>65</v>
      </c>
      <c r="E8" s="11">
        <v>2</v>
      </c>
      <c r="F8" s="15" t="s">
        <v>65</v>
      </c>
      <c r="G8" s="11">
        <v>3</v>
      </c>
      <c r="H8" s="15" t="s">
        <v>65</v>
      </c>
      <c r="I8" s="12">
        <v>3</v>
      </c>
      <c r="J8" s="15" t="s">
        <v>65</v>
      </c>
      <c r="K8" s="12">
        <v>2</v>
      </c>
      <c r="L8" s="15" t="s">
        <v>65</v>
      </c>
      <c r="M8" s="12">
        <v>2</v>
      </c>
      <c r="N8" s="15" t="s">
        <v>65</v>
      </c>
      <c r="O8" s="12">
        <v>2</v>
      </c>
      <c r="P8" s="15" t="s">
        <v>65</v>
      </c>
      <c r="Q8" s="34">
        <v>3</v>
      </c>
      <c r="R8" s="15" t="s">
        <v>65</v>
      </c>
      <c r="S8" s="34">
        <v>2</v>
      </c>
      <c r="T8" s="15" t="s">
        <v>65</v>
      </c>
      <c r="U8" s="9"/>
      <c r="V8" s="96"/>
      <c r="W8" s="122" t="s">
        <v>4</v>
      </c>
      <c r="X8" s="11"/>
      <c r="Y8" s="15" t="s">
        <v>65</v>
      </c>
      <c r="Z8" s="11">
        <v>2</v>
      </c>
      <c r="AA8" s="15" t="s">
        <v>65</v>
      </c>
      <c r="AB8" s="11">
        <v>2</v>
      </c>
      <c r="AC8" s="15" t="s">
        <v>65</v>
      </c>
      <c r="AD8" s="12">
        <v>2</v>
      </c>
      <c r="AE8" s="15" t="s">
        <v>65</v>
      </c>
      <c r="AF8" s="12">
        <v>2</v>
      </c>
      <c r="AG8" s="15" t="s">
        <v>65</v>
      </c>
      <c r="AH8" s="12">
        <v>2</v>
      </c>
      <c r="AI8" s="15" t="s">
        <v>65</v>
      </c>
      <c r="AJ8" s="12">
        <v>2</v>
      </c>
      <c r="AK8" s="15" t="s">
        <v>65</v>
      </c>
      <c r="AL8" s="34">
        <v>2</v>
      </c>
      <c r="AM8" s="15" t="s">
        <v>65</v>
      </c>
      <c r="AN8" s="34">
        <v>2</v>
      </c>
      <c r="AO8" s="15" t="s">
        <v>65</v>
      </c>
      <c r="AP8" s="9"/>
    </row>
    <row r="9" spans="1:42" x14ac:dyDescent="0.25">
      <c r="A9" s="96"/>
      <c r="B9" s="122"/>
      <c r="C9" s="13"/>
      <c r="D9" s="16" t="s">
        <v>66</v>
      </c>
      <c r="E9" s="13">
        <v>3</v>
      </c>
      <c r="F9" s="16" t="s">
        <v>66</v>
      </c>
      <c r="G9" s="13">
        <v>1</v>
      </c>
      <c r="H9" s="16" t="s">
        <v>66</v>
      </c>
      <c r="I9" s="14">
        <v>3</v>
      </c>
      <c r="J9" s="16" t="s">
        <v>66</v>
      </c>
      <c r="K9" s="14">
        <v>2</v>
      </c>
      <c r="L9" s="16" t="s">
        <v>66</v>
      </c>
      <c r="M9" s="14">
        <v>2</v>
      </c>
      <c r="N9" s="16" t="s">
        <v>66</v>
      </c>
      <c r="O9" s="14">
        <v>2</v>
      </c>
      <c r="P9" s="16" t="s">
        <v>66</v>
      </c>
      <c r="Q9" s="35">
        <v>2</v>
      </c>
      <c r="R9" s="16" t="s">
        <v>66</v>
      </c>
      <c r="S9" s="35">
        <v>3</v>
      </c>
      <c r="T9" s="16" t="s">
        <v>66</v>
      </c>
      <c r="U9" s="9"/>
      <c r="V9" s="96"/>
      <c r="W9" s="122"/>
      <c r="X9" s="13"/>
      <c r="Y9" s="16" t="s">
        <v>66</v>
      </c>
      <c r="Z9" s="13">
        <v>2</v>
      </c>
      <c r="AA9" s="16" t="s">
        <v>66</v>
      </c>
      <c r="AB9" s="13">
        <v>3</v>
      </c>
      <c r="AC9" s="16" t="s">
        <v>66</v>
      </c>
      <c r="AD9" s="14">
        <v>2</v>
      </c>
      <c r="AE9" s="16" t="s">
        <v>66</v>
      </c>
      <c r="AF9" s="14">
        <v>2</v>
      </c>
      <c r="AG9" s="16" t="s">
        <v>66</v>
      </c>
      <c r="AH9" s="14">
        <v>2</v>
      </c>
      <c r="AI9" s="16" t="s">
        <v>66</v>
      </c>
      <c r="AJ9" s="14">
        <v>2</v>
      </c>
      <c r="AK9" s="16" t="s">
        <v>66</v>
      </c>
      <c r="AL9" s="35">
        <v>3</v>
      </c>
      <c r="AM9" s="16" t="s">
        <v>66</v>
      </c>
      <c r="AN9" s="35">
        <v>2</v>
      </c>
      <c r="AO9" s="16" t="s">
        <v>66</v>
      </c>
      <c r="AP9" s="9"/>
    </row>
    <row r="10" spans="1:42" x14ac:dyDescent="0.25">
      <c r="A10" s="96"/>
      <c r="B10" s="122" t="s">
        <v>30</v>
      </c>
      <c r="C10" s="11"/>
      <c r="D10" s="15" t="s">
        <v>65</v>
      </c>
      <c r="E10" s="11">
        <v>1</v>
      </c>
      <c r="F10" s="15" t="s">
        <v>65</v>
      </c>
      <c r="G10" s="11"/>
      <c r="H10" s="15" t="s">
        <v>65</v>
      </c>
      <c r="I10" s="12">
        <v>2</v>
      </c>
      <c r="J10" s="15" t="s">
        <v>65</v>
      </c>
      <c r="K10" s="12">
        <v>1</v>
      </c>
      <c r="L10" s="15" t="s">
        <v>65</v>
      </c>
      <c r="M10" s="12">
        <v>2</v>
      </c>
      <c r="N10" s="15" t="s">
        <v>65</v>
      </c>
      <c r="O10" s="12">
        <v>3</v>
      </c>
      <c r="P10" s="15" t="s">
        <v>65</v>
      </c>
      <c r="Q10" s="34">
        <v>3</v>
      </c>
      <c r="R10" s="15" t="s">
        <v>65</v>
      </c>
      <c r="S10" s="34">
        <v>2</v>
      </c>
      <c r="T10" s="15" t="s">
        <v>65</v>
      </c>
      <c r="U10" s="9"/>
      <c r="V10" s="96"/>
      <c r="W10" s="122" t="s">
        <v>5</v>
      </c>
      <c r="X10" s="11"/>
      <c r="Y10" s="15" t="s">
        <v>65</v>
      </c>
      <c r="Z10" s="11">
        <v>2</v>
      </c>
      <c r="AA10" s="15" t="s">
        <v>65</v>
      </c>
      <c r="AB10" s="11">
        <v>2</v>
      </c>
      <c r="AC10" s="15" t="s">
        <v>65</v>
      </c>
      <c r="AD10" s="12">
        <v>2</v>
      </c>
      <c r="AE10" s="15" t="s">
        <v>65</v>
      </c>
      <c r="AF10" s="12">
        <v>2</v>
      </c>
      <c r="AG10" s="15" t="s">
        <v>65</v>
      </c>
      <c r="AH10" s="12">
        <v>2</v>
      </c>
      <c r="AI10" s="15" t="s">
        <v>65</v>
      </c>
      <c r="AJ10" s="12">
        <v>2</v>
      </c>
      <c r="AK10" s="15" t="s">
        <v>65</v>
      </c>
      <c r="AL10" s="18" t="s">
        <v>103</v>
      </c>
      <c r="AM10" s="15" t="s">
        <v>65</v>
      </c>
      <c r="AN10" s="18" t="s">
        <v>85</v>
      </c>
      <c r="AO10" s="15" t="s">
        <v>65</v>
      </c>
      <c r="AP10" s="9"/>
    </row>
    <row r="11" spans="1:42" x14ac:dyDescent="0.25">
      <c r="A11" s="96"/>
      <c r="B11" s="122"/>
      <c r="C11" s="13"/>
      <c r="D11" s="16" t="s">
        <v>66</v>
      </c>
      <c r="E11" s="13">
        <v>3</v>
      </c>
      <c r="F11" s="16" t="s">
        <v>66</v>
      </c>
      <c r="G11" s="13">
        <v>3</v>
      </c>
      <c r="H11" s="16" t="s">
        <v>66</v>
      </c>
      <c r="I11" s="14">
        <v>3</v>
      </c>
      <c r="J11" s="16" t="s">
        <v>66</v>
      </c>
      <c r="K11" s="14">
        <v>3</v>
      </c>
      <c r="L11" s="16" t="s">
        <v>66</v>
      </c>
      <c r="M11" s="14">
        <v>3</v>
      </c>
      <c r="N11" s="16" t="s">
        <v>66</v>
      </c>
      <c r="O11" s="14">
        <v>2</v>
      </c>
      <c r="P11" s="16" t="s">
        <v>66</v>
      </c>
      <c r="Q11" s="35">
        <v>2</v>
      </c>
      <c r="R11" s="16" t="s">
        <v>66</v>
      </c>
      <c r="S11" s="35">
        <v>3</v>
      </c>
      <c r="T11" s="16" t="s">
        <v>66</v>
      </c>
      <c r="U11" s="9"/>
      <c r="V11" s="96"/>
      <c r="W11" s="122"/>
      <c r="X11" s="13"/>
      <c r="Y11" s="16" t="s">
        <v>66</v>
      </c>
      <c r="Z11" s="13">
        <v>2</v>
      </c>
      <c r="AA11" s="16" t="s">
        <v>66</v>
      </c>
      <c r="AB11" s="13">
        <v>2</v>
      </c>
      <c r="AC11" s="16" t="s">
        <v>66</v>
      </c>
      <c r="AD11" s="14">
        <v>2</v>
      </c>
      <c r="AE11" s="16" t="s">
        <v>66</v>
      </c>
      <c r="AF11" s="14">
        <v>2</v>
      </c>
      <c r="AG11" s="16" t="s">
        <v>66</v>
      </c>
      <c r="AH11" s="14">
        <v>2</v>
      </c>
      <c r="AI11" s="16" t="s">
        <v>66</v>
      </c>
      <c r="AJ11" s="14">
        <v>2</v>
      </c>
      <c r="AK11" s="16" t="s">
        <v>66</v>
      </c>
      <c r="AL11" s="35">
        <v>2</v>
      </c>
      <c r="AM11" s="16" t="s">
        <v>66</v>
      </c>
      <c r="AN11" s="35">
        <v>2</v>
      </c>
      <c r="AO11" s="16" t="s">
        <v>66</v>
      </c>
      <c r="AP11" s="9"/>
    </row>
    <row r="12" spans="1:42" x14ac:dyDescent="0.25">
      <c r="A12" s="96"/>
      <c r="B12" s="122" t="s">
        <v>31</v>
      </c>
      <c r="C12" s="11"/>
      <c r="D12" s="15" t="s">
        <v>65</v>
      </c>
      <c r="E12" s="11">
        <v>3</v>
      </c>
      <c r="F12" s="15" t="s">
        <v>65</v>
      </c>
      <c r="G12" s="11">
        <v>3</v>
      </c>
      <c r="H12" s="15" t="s">
        <v>65</v>
      </c>
      <c r="I12" s="12">
        <v>2</v>
      </c>
      <c r="J12" s="15" t="s">
        <v>65</v>
      </c>
      <c r="K12" s="12">
        <v>3</v>
      </c>
      <c r="L12" s="15" t="s">
        <v>65</v>
      </c>
      <c r="M12" s="12">
        <v>3</v>
      </c>
      <c r="N12" s="15" t="s">
        <v>65</v>
      </c>
      <c r="O12" s="12">
        <v>2</v>
      </c>
      <c r="P12" s="15" t="s">
        <v>65</v>
      </c>
      <c r="Q12" s="34"/>
      <c r="R12" s="15" t="s">
        <v>65</v>
      </c>
      <c r="S12" s="34">
        <v>1</v>
      </c>
      <c r="T12" s="15" t="s">
        <v>65</v>
      </c>
      <c r="U12" s="9"/>
      <c r="V12" s="96"/>
      <c r="W12" s="122" t="s">
        <v>6</v>
      </c>
      <c r="X12" s="11"/>
      <c r="Y12" s="15" t="s">
        <v>65</v>
      </c>
      <c r="Z12" s="11">
        <v>2</v>
      </c>
      <c r="AA12" s="15" t="s">
        <v>65</v>
      </c>
      <c r="AB12" s="11">
        <v>2</v>
      </c>
      <c r="AC12" s="15" t="s">
        <v>65</v>
      </c>
      <c r="AD12" s="12">
        <v>2</v>
      </c>
      <c r="AE12" s="15" t="s">
        <v>65</v>
      </c>
      <c r="AF12" s="12">
        <v>2</v>
      </c>
      <c r="AG12" s="15" t="s">
        <v>65</v>
      </c>
      <c r="AH12" s="12">
        <v>2</v>
      </c>
      <c r="AI12" s="15" t="s">
        <v>65</v>
      </c>
      <c r="AJ12" s="12">
        <v>2</v>
      </c>
      <c r="AK12" s="15" t="s">
        <v>65</v>
      </c>
      <c r="AL12" s="34">
        <v>2</v>
      </c>
      <c r="AM12" s="15" t="s">
        <v>65</v>
      </c>
      <c r="AN12" s="34">
        <v>3</v>
      </c>
      <c r="AO12" s="15" t="s">
        <v>65</v>
      </c>
      <c r="AP12" s="9"/>
    </row>
    <row r="13" spans="1:42" x14ac:dyDescent="0.25">
      <c r="A13" s="96"/>
      <c r="B13" s="122"/>
      <c r="C13" s="13"/>
      <c r="D13" s="16" t="s">
        <v>66</v>
      </c>
      <c r="E13" s="13">
        <v>3</v>
      </c>
      <c r="F13" s="16" t="s">
        <v>66</v>
      </c>
      <c r="G13" s="13">
        <v>1</v>
      </c>
      <c r="H13" s="16" t="s">
        <v>66</v>
      </c>
      <c r="I13" s="14">
        <v>2</v>
      </c>
      <c r="J13" s="16" t="s">
        <v>66</v>
      </c>
      <c r="K13" s="14">
        <v>1</v>
      </c>
      <c r="L13" s="16" t="s">
        <v>66</v>
      </c>
      <c r="M13" s="14">
        <v>1</v>
      </c>
      <c r="N13" s="16" t="s">
        <v>66</v>
      </c>
      <c r="O13" s="14">
        <v>2</v>
      </c>
      <c r="P13" s="16" t="s">
        <v>66</v>
      </c>
      <c r="Q13" s="35">
        <v>4</v>
      </c>
      <c r="R13" s="16" t="s">
        <v>66</v>
      </c>
      <c r="S13" s="35">
        <v>3</v>
      </c>
      <c r="T13" s="16" t="s">
        <v>66</v>
      </c>
      <c r="U13" s="9"/>
      <c r="V13" s="96"/>
      <c r="W13" s="122"/>
      <c r="X13" s="13"/>
      <c r="Y13" s="16" t="s">
        <v>66</v>
      </c>
      <c r="Z13" s="13">
        <v>2</v>
      </c>
      <c r="AA13" s="16" t="s">
        <v>66</v>
      </c>
      <c r="AB13" s="13">
        <v>2</v>
      </c>
      <c r="AC13" s="16" t="s">
        <v>66</v>
      </c>
      <c r="AD13" s="14">
        <v>2</v>
      </c>
      <c r="AE13" s="16" t="s">
        <v>66</v>
      </c>
      <c r="AF13" s="14">
        <v>2</v>
      </c>
      <c r="AG13" s="16" t="s">
        <v>66</v>
      </c>
      <c r="AH13" s="14">
        <v>2</v>
      </c>
      <c r="AI13" s="16" t="s">
        <v>66</v>
      </c>
      <c r="AJ13" s="14">
        <v>2</v>
      </c>
      <c r="AK13" s="16" t="s">
        <v>66</v>
      </c>
      <c r="AL13" s="35">
        <v>2</v>
      </c>
      <c r="AM13" s="16" t="s">
        <v>66</v>
      </c>
      <c r="AN13" s="35">
        <v>2</v>
      </c>
      <c r="AO13" s="16" t="s">
        <v>66</v>
      </c>
      <c r="AP13" s="9"/>
    </row>
    <row r="14" spans="1:42" x14ac:dyDescent="0.25">
      <c r="A14" s="96"/>
      <c r="B14" s="122" t="s">
        <v>32</v>
      </c>
      <c r="C14" s="11"/>
      <c r="D14" s="15" t="s">
        <v>65</v>
      </c>
      <c r="E14" s="11">
        <v>3</v>
      </c>
      <c r="F14" s="15" t="s">
        <v>65</v>
      </c>
      <c r="G14" s="11">
        <v>3</v>
      </c>
      <c r="H14" s="15" t="s">
        <v>65</v>
      </c>
      <c r="I14" s="12">
        <v>2</v>
      </c>
      <c r="J14" s="15" t="s">
        <v>65</v>
      </c>
      <c r="K14" s="12">
        <v>2</v>
      </c>
      <c r="L14" s="15" t="s">
        <v>65</v>
      </c>
      <c r="M14" s="12">
        <v>5</v>
      </c>
      <c r="N14" s="15" t="s">
        <v>65</v>
      </c>
      <c r="O14" s="12">
        <v>4</v>
      </c>
      <c r="P14" s="15" t="s">
        <v>65</v>
      </c>
      <c r="Q14" s="34">
        <v>2</v>
      </c>
      <c r="R14" s="15" t="s">
        <v>65</v>
      </c>
      <c r="S14" s="34">
        <v>2</v>
      </c>
      <c r="T14" s="15" t="s">
        <v>65</v>
      </c>
      <c r="U14" s="9"/>
      <c r="V14" s="96"/>
      <c r="W14" s="122" t="s">
        <v>7</v>
      </c>
      <c r="X14" s="11"/>
      <c r="Y14" s="15" t="s">
        <v>65</v>
      </c>
      <c r="Z14" s="11">
        <v>2</v>
      </c>
      <c r="AA14" s="15" t="s">
        <v>65</v>
      </c>
      <c r="AB14" s="11">
        <v>2</v>
      </c>
      <c r="AC14" s="15" t="s">
        <v>65</v>
      </c>
      <c r="AD14" s="12">
        <v>3</v>
      </c>
      <c r="AE14" s="15" t="s">
        <v>65</v>
      </c>
      <c r="AF14" s="12">
        <v>3</v>
      </c>
      <c r="AG14" s="15" t="s">
        <v>65</v>
      </c>
      <c r="AH14" s="12">
        <v>2</v>
      </c>
      <c r="AI14" s="15" t="s">
        <v>65</v>
      </c>
      <c r="AJ14" s="12">
        <v>3</v>
      </c>
      <c r="AK14" s="15" t="s">
        <v>65</v>
      </c>
      <c r="AL14" s="34">
        <v>2</v>
      </c>
      <c r="AM14" s="15" t="s">
        <v>65</v>
      </c>
      <c r="AN14" s="34">
        <v>2</v>
      </c>
      <c r="AO14" s="15" t="s">
        <v>65</v>
      </c>
      <c r="AP14" s="9"/>
    </row>
    <row r="15" spans="1:42" x14ac:dyDescent="0.25">
      <c r="A15" s="96"/>
      <c r="B15" s="122"/>
      <c r="C15" s="13"/>
      <c r="D15" s="16" t="s">
        <v>66</v>
      </c>
      <c r="E15" s="13">
        <v>2</v>
      </c>
      <c r="F15" s="16" t="s">
        <v>66</v>
      </c>
      <c r="G15" s="13">
        <v>1</v>
      </c>
      <c r="H15" s="16" t="s">
        <v>66</v>
      </c>
      <c r="I15" s="14">
        <v>2</v>
      </c>
      <c r="J15" s="16" t="s">
        <v>66</v>
      </c>
      <c r="K15" s="14">
        <v>2</v>
      </c>
      <c r="L15" s="16" t="s">
        <v>66</v>
      </c>
      <c r="M15" s="14">
        <v>2</v>
      </c>
      <c r="N15" s="16" t="s">
        <v>66</v>
      </c>
      <c r="O15" s="14">
        <v>1</v>
      </c>
      <c r="P15" s="16" t="s">
        <v>66</v>
      </c>
      <c r="Q15" s="35">
        <v>1</v>
      </c>
      <c r="R15" s="16" t="s">
        <v>66</v>
      </c>
      <c r="S15" s="35">
        <v>3</v>
      </c>
      <c r="T15" s="16" t="s">
        <v>66</v>
      </c>
      <c r="U15" s="9"/>
      <c r="V15" s="96"/>
      <c r="W15" s="122"/>
      <c r="X15" s="13"/>
      <c r="Y15" s="16" t="s">
        <v>66</v>
      </c>
      <c r="Z15" s="13">
        <v>2</v>
      </c>
      <c r="AA15" s="16" t="s">
        <v>66</v>
      </c>
      <c r="AB15" s="13">
        <v>2</v>
      </c>
      <c r="AC15" s="16" t="s">
        <v>66</v>
      </c>
      <c r="AD15" s="14">
        <v>2</v>
      </c>
      <c r="AE15" s="16" t="s">
        <v>66</v>
      </c>
      <c r="AF15" s="14">
        <v>2</v>
      </c>
      <c r="AG15" s="16" t="s">
        <v>66</v>
      </c>
      <c r="AH15" s="14">
        <v>3</v>
      </c>
      <c r="AI15" s="16" t="s">
        <v>66</v>
      </c>
      <c r="AJ15" s="14">
        <v>2</v>
      </c>
      <c r="AK15" s="16" t="s">
        <v>66</v>
      </c>
      <c r="AL15" s="35">
        <v>3</v>
      </c>
      <c r="AM15" s="16" t="s">
        <v>66</v>
      </c>
      <c r="AN15" s="35">
        <v>3</v>
      </c>
      <c r="AO15" s="16" t="s">
        <v>66</v>
      </c>
      <c r="AP15" s="9"/>
    </row>
    <row r="16" spans="1:42" x14ac:dyDescent="0.25">
      <c r="A16" s="96"/>
      <c r="B16" s="122" t="s">
        <v>33</v>
      </c>
      <c r="C16" s="11"/>
      <c r="D16" s="15" t="s">
        <v>65</v>
      </c>
      <c r="E16" s="11">
        <v>4</v>
      </c>
      <c r="F16" s="15" t="s">
        <v>65</v>
      </c>
      <c r="G16" s="11">
        <v>3</v>
      </c>
      <c r="H16" s="15" t="s">
        <v>65</v>
      </c>
      <c r="I16" s="12">
        <v>3</v>
      </c>
      <c r="J16" s="15" t="s">
        <v>65</v>
      </c>
      <c r="K16" s="12">
        <v>1</v>
      </c>
      <c r="L16" s="15" t="s">
        <v>65</v>
      </c>
      <c r="M16" s="12">
        <v>2</v>
      </c>
      <c r="N16" s="15" t="s">
        <v>65</v>
      </c>
      <c r="O16" s="12">
        <v>3</v>
      </c>
      <c r="P16" s="15" t="s">
        <v>65</v>
      </c>
      <c r="Q16" s="34">
        <v>1</v>
      </c>
      <c r="R16" s="15" t="s">
        <v>65</v>
      </c>
      <c r="S16" s="34">
        <v>2</v>
      </c>
      <c r="T16" s="15" t="s">
        <v>65</v>
      </c>
      <c r="U16" s="9"/>
      <c r="V16" s="96"/>
      <c r="W16" s="122" t="s">
        <v>8</v>
      </c>
      <c r="X16" s="11"/>
      <c r="Y16" s="15" t="s">
        <v>65</v>
      </c>
      <c r="Z16" s="11">
        <v>2</v>
      </c>
      <c r="AA16" s="15" t="s">
        <v>65</v>
      </c>
      <c r="AB16" s="11">
        <v>2</v>
      </c>
      <c r="AC16" s="15" t="s">
        <v>65</v>
      </c>
      <c r="AD16" s="12">
        <v>2</v>
      </c>
      <c r="AE16" s="15" t="s">
        <v>65</v>
      </c>
      <c r="AF16" s="12">
        <v>2</v>
      </c>
      <c r="AG16" s="15" t="s">
        <v>65</v>
      </c>
      <c r="AH16" s="12">
        <v>2</v>
      </c>
      <c r="AI16" s="15" t="s">
        <v>65</v>
      </c>
      <c r="AJ16" s="12">
        <v>2</v>
      </c>
      <c r="AK16" s="15" t="s">
        <v>65</v>
      </c>
      <c r="AL16" s="34">
        <v>2</v>
      </c>
      <c r="AM16" s="15" t="s">
        <v>65</v>
      </c>
      <c r="AN16" s="34">
        <v>3</v>
      </c>
      <c r="AO16" s="15" t="s">
        <v>65</v>
      </c>
      <c r="AP16" s="9"/>
    </row>
    <row r="17" spans="1:42" x14ac:dyDescent="0.25">
      <c r="A17" s="96"/>
      <c r="B17" s="122"/>
      <c r="C17" s="13"/>
      <c r="D17" s="16" t="s">
        <v>66</v>
      </c>
      <c r="E17" s="13">
        <v>2</v>
      </c>
      <c r="F17" s="16" t="s">
        <v>66</v>
      </c>
      <c r="G17" s="13">
        <v>4</v>
      </c>
      <c r="H17" s="16" t="s">
        <v>66</v>
      </c>
      <c r="I17" s="14">
        <v>2</v>
      </c>
      <c r="J17" s="16" t="s">
        <v>66</v>
      </c>
      <c r="K17" s="14">
        <v>4</v>
      </c>
      <c r="L17" s="16" t="s">
        <v>66</v>
      </c>
      <c r="M17" s="14">
        <v>2</v>
      </c>
      <c r="N17" s="16" t="s">
        <v>66</v>
      </c>
      <c r="O17" s="14">
        <v>2</v>
      </c>
      <c r="P17" s="16" t="s">
        <v>66</v>
      </c>
      <c r="Q17" s="35">
        <v>2</v>
      </c>
      <c r="R17" s="16" t="s">
        <v>66</v>
      </c>
      <c r="S17" s="35">
        <v>2</v>
      </c>
      <c r="T17" s="16" t="s">
        <v>66</v>
      </c>
      <c r="U17" s="9"/>
      <c r="V17" s="96"/>
      <c r="W17" s="122"/>
      <c r="X17" s="13"/>
      <c r="Y17" s="16" t="s">
        <v>66</v>
      </c>
      <c r="Z17" s="13">
        <v>2</v>
      </c>
      <c r="AA17" s="16" t="s">
        <v>66</v>
      </c>
      <c r="AB17" s="13">
        <v>2</v>
      </c>
      <c r="AC17" s="16" t="s">
        <v>66</v>
      </c>
      <c r="AD17" s="14">
        <v>2</v>
      </c>
      <c r="AE17" s="16" t="s">
        <v>66</v>
      </c>
      <c r="AF17" s="14">
        <v>2</v>
      </c>
      <c r="AG17" s="16" t="s">
        <v>66</v>
      </c>
      <c r="AH17" s="14">
        <v>2</v>
      </c>
      <c r="AI17" s="16" t="s">
        <v>66</v>
      </c>
      <c r="AJ17" s="14">
        <v>2</v>
      </c>
      <c r="AK17" s="16" t="s">
        <v>66</v>
      </c>
      <c r="AL17" s="35">
        <v>2</v>
      </c>
      <c r="AM17" s="16" t="s">
        <v>66</v>
      </c>
      <c r="AN17" s="35">
        <v>1</v>
      </c>
      <c r="AO17" s="16" t="s">
        <v>66</v>
      </c>
      <c r="AP17" s="9"/>
    </row>
    <row r="18" spans="1:42" x14ac:dyDescent="0.25">
      <c r="A18" s="96"/>
      <c r="B18" s="122" t="s">
        <v>34</v>
      </c>
      <c r="C18" s="11"/>
      <c r="D18" s="15" t="s">
        <v>65</v>
      </c>
      <c r="E18" s="11">
        <v>3</v>
      </c>
      <c r="F18" s="15" t="s">
        <v>65</v>
      </c>
      <c r="G18" s="11">
        <v>3</v>
      </c>
      <c r="H18" s="15" t="s">
        <v>65</v>
      </c>
      <c r="I18" s="12">
        <v>3</v>
      </c>
      <c r="J18" s="15" t="s">
        <v>65</v>
      </c>
      <c r="K18" s="12">
        <v>2</v>
      </c>
      <c r="L18" s="15" t="s">
        <v>65</v>
      </c>
      <c r="M18" s="12">
        <v>1</v>
      </c>
      <c r="N18" s="15" t="s">
        <v>65</v>
      </c>
      <c r="O18" s="12">
        <v>1</v>
      </c>
      <c r="P18" s="15" t="s">
        <v>65</v>
      </c>
      <c r="Q18" s="34">
        <v>1</v>
      </c>
      <c r="R18" s="15" t="s">
        <v>65</v>
      </c>
      <c r="S18" s="34">
        <v>2</v>
      </c>
      <c r="T18" s="15" t="s">
        <v>65</v>
      </c>
      <c r="U18" s="9"/>
      <c r="V18" s="96"/>
      <c r="W18" s="122" t="s">
        <v>9</v>
      </c>
      <c r="X18" s="11"/>
      <c r="Y18" s="15" t="s">
        <v>65</v>
      </c>
      <c r="Z18" s="11">
        <v>2</v>
      </c>
      <c r="AA18" s="15" t="s">
        <v>65</v>
      </c>
      <c r="AB18" s="11">
        <v>2</v>
      </c>
      <c r="AC18" s="15" t="s">
        <v>65</v>
      </c>
      <c r="AD18" s="12">
        <v>2</v>
      </c>
      <c r="AE18" s="15" t="s">
        <v>65</v>
      </c>
      <c r="AF18" s="12">
        <v>2</v>
      </c>
      <c r="AG18" s="15" t="s">
        <v>65</v>
      </c>
      <c r="AH18" s="12">
        <v>2</v>
      </c>
      <c r="AI18" s="15" t="s">
        <v>65</v>
      </c>
      <c r="AJ18" s="12">
        <v>2</v>
      </c>
      <c r="AK18" s="15" t="s">
        <v>65</v>
      </c>
      <c r="AL18" s="34">
        <v>2</v>
      </c>
      <c r="AM18" s="15" t="s">
        <v>65</v>
      </c>
      <c r="AN18" s="34">
        <v>2</v>
      </c>
      <c r="AO18" s="15" t="s">
        <v>65</v>
      </c>
      <c r="AP18" s="9"/>
    </row>
    <row r="19" spans="1:42" x14ac:dyDescent="0.25">
      <c r="A19" s="96"/>
      <c r="B19" s="122"/>
      <c r="C19" s="13"/>
      <c r="D19" s="16" t="s">
        <v>66</v>
      </c>
      <c r="E19" s="13">
        <v>3</v>
      </c>
      <c r="F19" s="16" t="s">
        <v>66</v>
      </c>
      <c r="G19" s="13">
        <v>4</v>
      </c>
      <c r="H19" s="16" t="s">
        <v>66</v>
      </c>
      <c r="I19" s="14">
        <v>2</v>
      </c>
      <c r="J19" s="16" t="s">
        <v>66</v>
      </c>
      <c r="K19" s="14">
        <v>2</v>
      </c>
      <c r="L19" s="16" t="s">
        <v>66</v>
      </c>
      <c r="M19" s="14">
        <v>4</v>
      </c>
      <c r="N19" s="16" t="s">
        <v>66</v>
      </c>
      <c r="O19" s="14">
        <v>3</v>
      </c>
      <c r="P19" s="16" t="s">
        <v>66</v>
      </c>
      <c r="Q19" s="35"/>
      <c r="R19" s="16" t="s">
        <v>66</v>
      </c>
      <c r="S19" s="35">
        <v>2</v>
      </c>
      <c r="T19" s="16" t="s">
        <v>66</v>
      </c>
      <c r="U19" s="9"/>
      <c r="V19" s="96"/>
      <c r="W19" s="122"/>
      <c r="X19" s="13"/>
      <c r="Y19" s="16" t="s">
        <v>66</v>
      </c>
      <c r="Z19" s="13">
        <v>2</v>
      </c>
      <c r="AA19" s="16" t="s">
        <v>66</v>
      </c>
      <c r="AB19" s="13">
        <v>2</v>
      </c>
      <c r="AC19" s="16" t="s">
        <v>66</v>
      </c>
      <c r="AD19" s="14">
        <v>3</v>
      </c>
      <c r="AE19" s="16" t="s">
        <v>66</v>
      </c>
      <c r="AF19" s="14">
        <v>2</v>
      </c>
      <c r="AG19" s="16" t="s">
        <v>66</v>
      </c>
      <c r="AH19" s="14">
        <v>2</v>
      </c>
      <c r="AI19" s="16" t="s">
        <v>66</v>
      </c>
      <c r="AJ19" s="14">
        <v>2</v>
      </c>
      <c r="AK19" s="16" t="s">
        <v>66</v>
      </c>
      <c r="AL19" s="35">
        <v>2</v>
      </c>
      <c r="AM19" s="16" t="s">
        <v>66</v>
      </c>
      <c r="AN19" s="35">
        <v>2</v>
      </c>
      <c r="AO19" s="16" t="s">
        <v>66</v>
      </c>
      <c r="AP19" s="9"/>
    </row>
    <row r="20" spans="1:42" x14ac:dyDescent="0.25">
      <c r="A20" s="96"/>
      <c r="B20" s="122" t="s">
        <v>35</v>
      </c>
      <c r="C20" s="11"/>
      <c r="D20" s="15" t="s">
        <v>65</v>
      </c>
      <c r="E20" s="11">
        <v>3</v>
      </c>
      <c r="F20" s="15" t="s">
        <v>65</v>
      </c>
      <c r="G20" s="11">
        <v>3</v>
      </c>
      <c r="H20" s="15" t="s">
        <v>65</v>
      </c>
      <c r="I20" s="12">
        <v>2</v>
      </c>
      <c r="J20" s="15" t="s">
        <v>65</v>
      </c>
      <c r="K20" s="12">
        <v>2</v>
      </c>
      <c r="L20" s="15" t="s">
        <v>65</v>
      </c>
      <c r="M20" s="12">
        <v>3</v>
      </c>
      <c r="N20" s="15" t="s">
        <v>65</v>
      </c>
      <c r="O20" s="12">
        <v>1</v>
      </c>
      <c r="P20" s="15" t="s">
        <v>65</v>
      </c>
      <c r="Q20" s="34">
        <v>4</v>
      </c>
      <c r="R20" s="15" t="s">
        <v>65</v>
      </c>
      <c r="S20" s="34">
        <v>2</v>
      </c>
      <c r="T20" s="15" t="s">
        <v>65</v>
      </c>
      <c r="U20" s="9"/>
      <c r="V20" s="96"/>
      <c r="W20" s="122" t="s">
        <v>10</v>
      </c>
      <c r="X20" s="11"/>
      <c r="Y20" s="15" t="s">
        <v>65</v>
      </c>
      <c r="Z20" s="11">
        <v>2</v>
      </c>
      <c r="AA20" s="15" t="s">
        <v>65</v>
      </c>
      <c r="AB20" s="11">
        <v>2</v>
      </c>
      <c r="AC20" s="15" t="s">
        <v>65</v>
      </c>
      <c r="AD20" s="12">
        <v>2</v>
      </c>
      <c r="AE20" s="15" t="s">
        <v>65</v>
      </c>
      <c r="AF20" s="12">
        <v>2</v>
      </c>
      <c r="AG20" s="15" t="s">
        <v>65</v>
      </c>
      <c r="AH20" s="12">
        <v>3</v>
      </c>
      <c r="AI20" s="15" t="s">
        <v>65</v>
      </c>
      <c r="AJ20" s="12">
        <v>2</v>
      </c>
      <c r="AK20" s="15" t="s">
        <v>65</v>
      </c>
      <c r="AL20" s="34">
        <v>2</v>
      </c>
      <c r="AM20" s="15" t="s">
        <v>65</v>
      </c>
      <c r="AN20" s="34">
        <v>2</v>
      </c>
      <c r="AO20" s="15" t="s">
        <v>65</v>
      </c>
      <c r="AP20" s="9"/>
    </row>
    <row r="21" spans="1:42" x14ac:dyDescent="0.25">
      <c r="A21" s="96"/>
      <c r="B21" s="122"/>
      <c r="C21" s="13"/>
      <c r="D21" s="16" t="s">
        <v>66</v>
      </c>
      <c r="E21" s="13">
        <v>3</v>
      </c>
      <c r="F21" s="16" t="s">
        <v>66</v>
      </c>
      <c r="G21" s="13">
        <v>3</v>
      </c>
      <c r="H21" s="16" t="s">
        <v>66</v>
      </c>
      <c r="I21" s="14">
        <v>3</v>
      </c>
      <c r="J21" s="16" t="s">
        <v>66</v>
      </c>
      <c r="K21" s="14">
        <v>3</v>
      </c>
      <c r="L21" s="16" t="s">
        <v>66</v>
      </c>
      <c r="M21" s="14">
        <v>2</v>
      </c>
      <c r="N21" s="16" t="s">
        <v>66</v>
      </c>
      <c r="O21" s="14">
        <v>3</v>
      </c>
      <c r="P21" s="16" t="s">
        <v>66</v>
      </c>
      <c r="Q21" s="35">
        <v>1</v>
      </c>
      <c r="R21" s="16" t="s">
        <v>66</v>
      </c>
      <c r="S21" s="35">
        <v>2</v>
      </c>
      <c r="T21" s="16" t="s">
        <v>66</v>
      </c>
      <c r="U21" s="9"/>
      <c r="V21" s="96"/>
      <c r="W21" s="122"/>
      <c r="X21" s="13"/>
      <c r="Y21" s="16" t="s">
        <v>66</v>
      </c>
      <c r="Z21" s="13">
        <v>2</v>
      </c>
      <c r="AA21" s="16" t="s">
        <v>66</v>
      </c>
      <c r="AB21" s="13">
        <v>2</v>
      </c>
      <c r="AC21" s="16" t="s">
        <v>66</v>
      </c>
      <c r="AD21" s="14">
        <v>2</v>
      </c>
      <c r="AE21" s="16" t="s">
        <v>66</v>
      </c>
      <c r="AF21" s="14">
        <v>2</v>
      </c>
      <c r="AG21" s="16" t="s">
        <v>66</v>
      </c>
      <c r="AH21" s="14">
        <v>2</v>
      </c>
      <c r="AI21" s="16" t="s">
        <v>66</v>
      </c>
      <c r="AJ21" s="14">
        <v>2</v>
      </c>
      <c r="AK21" s="16" t="s">
        <v>66</v>
      </c>
      <c r="AL21" s="35">
        <v>2</v>
      </c>
      <c r="AM21" s="16" t="s">
        <v>66</v>
      </c>
      <c r="AN21" s="35">
        <v>2</v>
      </c>
      <c r="AO21" s="16" t="s">
        <v>66</v>
      </c>
      <c r="AP21" s="9"/>
    </row>
    <row r="22" spans="1:42" x14ac:dyDescent="0.25">
      <c r="A22" s="96"/>
      <c r="B22" s="122" t="s">
        <v>36</v>
      </c>
      <c r="C22" s="11"/>
      <c r="D22" s="15" t="s">
        <v>65</v>
      </c>
      <c r="E22" s="11">
        <v>3</v>
      </c>
      <c r="F22" s="15" t="s">
        <v>65</v>
      </c>
      <c r="G22" s="11">
        <v>2</v>
      </c>
      <c r="H22" s="15" t="s">
        <v>65</v>
      </c>
      <c r="I22" s="12">
        <v>2</v>
      </c>
      <c r="J22" s="15" t="s">
        <v>65</v>
      </c>
      <c r="K22" s="12">
        <v>2</v>
      </c>
      <c r="L22" s="15" t="s">
        <v>65</v>
      </c>
      <c r="M22" s="12">
        <v>2</v>
      </c>
      <c r="N22" s="15" t="s">
        <v>65</v>
      </c>
      <c r="O22" s="12">
        <v>3</v>
      </c>
      <c r="P22" s="15" t="s">
        <v>65</v>
      </c>
      <c r="Q22" s="34">
        <v>1</v>
      </c>
      <c r="R22" s="15" t="s">
        <v>65</v>
      </c>
      <c r="S22" s="34">
        <v>3</v>
      </c>
      <c r="T22" s="15" t="s">
        <v>65</v>
      </c>
      <c r="U22" s="9"/>
      <c r="V22" s="96"/>
      <c r="W22" s="122" t="s">
        <v>11</v>
      </c>
      <c r="X22" s="11"/>
      <c r="Y22" s="15" t="s">
        <v>65</v>
      </c>
      <c r="Z22" s="11"/>
      <c r="AA22" s="15" t="s">
        <v>65</v>
      </c>
      <c r="AB22" s="11"/>
      <c r="AC22" s="15" t="s">
        <v>65</v>
      </c>
      <c r="AD22" s="12"/>
      <c r="AE22" s="15" t="s">
        <v>65</v>
      </c>
      <c r="AF22" s="12"/>
      <c r="AG22" s="15" t="s">
        <v>65</v>
      </c>
      <c r="AH22" s="12"/>
      <c r="AI22" s="15" t="s">
        <v>65</v>
      </c>
      <c r="AJ22" s="12"/>
      <c r="AK22" s="15" t="s">
        <v>65</v>
      </c>
      <c r="AL22" s="18"/>
      <c r="AM22" s="15" t="s">
        <v>65</v>
      </c>
      <c r="AN22" s="18"/>
      <c r="AO22" s="15" t="s">
        <v>65</v>
      </c>
      <c r="AP22" s="9"/>
    </row>
    <row r="23" spans="1:42" x14ac:dyDescent="0.25">
      <c r="A23" s="96"/>
      <c r="B23" s="122"/>
      <c r="C23" s="13"/>
      <c r="D23" s="16" t="s">
        <v>66</v>
      </c>
      <c r="E23" s="13">
        <v>2</v>
      </c>
      <c r="F23" s="16" t="s">
        <v>66</v>
      </c>
      <c r="G23" s="13">
        <v>2</v>
      </c>
      <c r="H23" s="16" t="s">
        <v>66</v>
      </c>
      <c r="I23" s="14">
        <v>3</v>
      </c>
      <c r="J23" s="16" t="s">
        <v>66</v>
      </c>
      <c r="K23" s="14">
        <v>3</v>
      </c>
      <c r="L23" s="16" t="s">
        <v>66</v>
      </c>
      <c r="M23" s="14">
        <v>2</v>
      </c>
      <c r="N23" s="16" t="s">
        <v>66</v>
      </c>
      <c r="O23" s="14">
        <v>2</v>
      </c>
      <c r="P23" s="16" t="s">
        <v>66</v>
      </c>
      <c r="Q23" s="35">
        <v>4</v>
      </c>
      <c r="R23" s="16" t="s">
        <v>66</v>
      </c>
      <c r="S23" s="35">
        <v>3</v>
      </c>
      <c r="T23" s="16" t="s">
        <v>66</v>
      </c>
      <c r="U23" s="9"/>
      <c r="V23" s="96"/>
      <c r="W23" s="122"/>
      <c r="X23" s="13"/>
      <c r="Y23" s="16" t="s">
        <v>66</v>
      </c>
      <c r="Z23" s="13"/>
      <c r="AA23" s="16" t="s">
        <v>66</v>
      </c>
      <c r="AB23" s="13"/>
      <c r="AC23" s="16" t="s">
        <v>66</v>
      </c>
      <c r="AD23" s="14"/>
      <c r="AE23" s="16" t="s">
        <v>66</v>
      </c>
      <c r="AF23" s="14"/>
      <c r="AG23" s="16" t="s">
        <v>66</v>
      </c>
      <c r="AH23" s="14"/>
      <c r="AI23" s="16" t="s">
        <v>66</v>
      </c>
      <c r="AJ23" s="14"/>
      <c r="AK23" s="16" t="s">
        <v>66</v>
      </c>
      <c r="AL23" s="19"/>
      <c r="AM23" s="16" t="s">
        <v>66</v>
      </c>
      <c r="AN23" s="19"/>
      <c r="AO23" s="16" t="s">
        <v>66</v>
      </c>
      <c r="AP23" s="9"/>
    </row>
    <row r="24" spans="1:42" x14ac:dyDescent="0.25">
      <c r="A24" s="96"/>
      <c r="B24" s="122" t="s">
        <v>37</v>
      </c>
      <c r="C24" s="11"/>
      <c r="D24" s="15" t="s">
        <v>65</v>
      </c>
      <c r="E24" s="11">
        <v>2</v>
      </c>
      <c r="F24" s="15" t="s">
        <v>65</v>
      </c>
      <c r="G24" s="11">
        <v>2</v>
      </c>
      <c r="H24" s="15" t="s">
        <v>65</v>
      </c>
      <c r="I24" s="12">
        <v>2</v>
      </c>
      <c r="J24" s="15" t="s">
        <v>65</v>
      </c>
      <c r="K24" s="12">
        <v>3</v>
      </c>
      <c r="L24" s="15" t="s">
        <v>65</v>
      </c>
      <c r="M24" s="12">
        <v>3</v>
      </c>
      <c r="N24" s="15" t="s">
        <v>65</v>
      </c>
      <c r="O24" s="12">
        <v>2</v>
      </c>
      <c r="P24" s="15" t="s">
        <v>65</v>
      </c>
      <c r="Q24" s="34">
        <v>2</v>
      </c>
      <c r="R24" s="15" t="s">
        <v>65</v>
      </c>
      <c r="S24" s="34">
        <v>3</v>
      </c>
      <c r="T24" s="15" t="s">
        <v>65</v>
      </c>
      <c r="U24" s="9"/>
      <c r="V24" s="96"/>
      <c r="W24" s="122" t="s">
        <v>25</v>
      </c>
      <c r="X24" s="11"/>
      <c r="Y24" s="15" t="s">
        <v>65</v>
      </c>
      <c r="Z24" s="11"/>
      <c r="AA24" s="15" t="s">
        <v>65</v>
      </c>
      <c r="AB24" s="11"/>
      <c r="AC24" s="15" t="s">
        <v>65</v>
      </c>
      <c r="AD24" s="12"/>
      <c r="AE24" s="15" t="s">
        <v>65</v>
      </c>
      <c r="AF24" s="12"/>
      <c r="AG24" s="15" t="s">
        <v>65</v>
      </c>
      <c r="AH24" s="12"/>
      <c r="AI24" s="15" t="s">
        <v>65</v>
      </c>
      <c r="AJ24" s="12"/>
      <c r="AK24" s="15" t="s">
        <v>65</v>
      </c>
      <c r="AL24" s="18"/>
      <c r="AM24" s="15" t="s">
        <v>65</v>
      </c>
      <c r="AN24" s="18"/>
      <c r="AO24" s="15" t="s">
        <v>65</v>
      </c>
      <c r="AP24" s="9"/>
    </row>
    <row r="25" spans="1:42" x14ac:dyDescent="0.25">
      <c r="A25" s="96"/>
      <c r="B25" s="122"/>
      <c r="C25" s="13"/>
      <c r="D25" s="16" t="s">
        <v>66</v>
      </c>
      <c r="E25" s="13">
        <v>2</v>
      </c>
      <c r="F25" s="16" t="s">
        <v>66</v>
      </c>
      <c r="G25" s="13">
        <v>2</v>
      </c>
      <c r="H25" s="16" t="s">
        <v>66</v>
      </c>
      <c r="I25" s="14">
        <v>2</v>
      </c>
      <c r="J25" s="16" t="s">
        <v>66</v>
      </c>
      <c r="K25" s="14">
        <v>3</v>
      </c>
      <c r="L25" s="16" t="s">
        <v>66</v>
      </c>
      <c r="M25" s="14">
        <v>2</v>
      </c>
      <c r="N25" s="16" t="s">
        <v>66</v>
      </c>
      <c r="O25" s="14">
        <v>3</v>
      </c>
      <c r="P25" s="16" t="s">
        <v>66</v>
      </c>
      <c r="Q25" s="35">
        <v>3</v>
      </c>
      <c r="R25" s="16" t="s">
        <v>66</v>
      </c>
      <c r="S25" s="35">
        <v>2</v>
      </c>
      <c r="T25" s="16" t="s">
        <v>66</v>
      </c>
      <c r="U25" s="9"/>
      <c r="V25" s="96"/>
      <c r="W25" s="122"/>
      <c r="X25" s="13"/>
      <c r="Y25" s="16" t="s">
        <v>66</v>
      </c>
      <c r="Z25" s="13"/>
      <c r="AA25" s="16" t="s">
        <v>66</v>
      </c>
      <c r="AB25" s="13"/>
      <c r="AC25" s="16" t="s">
        <v>66</v>
      </c>
      <c r="AD25" s="14"/>
      <c r="AE25" s="16" t="s">
        <v>66</v>
      </c>
      <c r="AF25" s="14"/>
      <c r="AG25" s="16" t="s">
        <v>66</v>
      </c>
      <c r="AH25" s="14"/>
      <c r="AI25" s="16" t="s">
        <v>66</v>
      </c>
      <c r="AJ25" s="14"/>
      <c r="AK25" s="16" t="s">
        <v>66</v>
      </c>
      <c r="AL25" s="19"/>
      <c r="AM25" s="16" t="s">
        <v>66</v>
      </c>
      <c r="AN25" s="19"/>
      <c r="AO25" s="16" t="s">
        <v>66</v>
      </c>
      <c r="AP25" s="9"/>
    </row>
    <row r="26" spans="1:42" x14ac:dyDescent="0.25">
      <c r="A26" s="96"/>
      <c r="B26" s="122" t="s">
        <v>54</v>
      </c>
      <c r="C26" s="11"/>
      <c r="D26" s="15" t="s">
        <v>65</v>
      </c>
      <c r="E26" s="11">
        <v>3</v>
      </c>
      <c r="F26" s="15" t="s">
        <v>65</v>
      </c>
      <c r="G26" s="11">
        <v>2</v>
      </c>
      <c r="H26" s="15" t="s">
        <v>65</v>
      </c>
      <c r="I26" s="12">
        <v>3</v>
      </c>
      <c r="J26" s="15" t="s">
        <v>65</v>
      </c>
      <c r="K26" s="12">
        <v>2</v>
      </c>
      <c r="L26" s="15" t="s">
        <v>65</v>
      </c>
      <c r="M26" s="12">
        <v>1</v>
      </c>
      <c r="N26" s="15" t="s">
        <v>65</v>
      </c>
      <c r="O26" s="12">
        <v>3</v>
      </c>
      <c r="P26" s="15" t="s">
        <v>65</v>
      </c>
      <c r="Q26" s="34">
        <v>2</v>
      </c>
      <c r="R26" s="15" t="s">
        <v>65</v>
      </c>
      <c r="S26" s="34">
        <v>3</v>
      </c>
      <c r="T26" s="15" t="s">
        <v>65</v>
      </c>
      <c r="U26" s="9"/>
      <c r="V26" s="96"/>
      <c r="W26" s="122" t="s">
        <v>26</v>
      </c>
      <c r="X26" s="11"/>
      <c r="Y26" s="15" t="s">
        <v>65</v>
      </c>
      <c r="Z26" s="11"/>
      <c r="AA26" s="15" t="s">
        <v>65</v>
      </c>
      <c r="AB26" s="11"/>
      <c r="AC26" s="15" t="s">
        <v>65</v>
      </c>
      <c r="AD26" s="12"/>
      <c r="AE26" s="15" t="s">
        <v>65</v>
      </c>
      <c r="AF26" s="12"/>
      <c r="AG26" s="15" t="s">
        <v>65</v>
      </c>
      <c r="AH26" s="12"/>
      <c r="AI26" s="15" t="s">
        <v>65</v>
      </c>
      <c r="AJ26" s="12"/>
      <c r="AK26" s="15" t="s">
        <v>65</v>
      </c>
      <c r="AL26" s="18"/>
      <c r="AM26" s="15" t="s">
        <v>65</v>
      </c>
      <c r="AN26" s="18"/>
      <c r="AO26" s="15" t="s">
        <v>65</v>
      </c>
      <c r="AP26" s="9"/>
    </row>
    <row r="27" spans="1:42" x14ac:dyDescent="0.25">
      <c r="A27" s="96"/>
      <c r="B27" s="122"/>
      <c r="C27" s="13"/>
      <c r="D27" s="16" t="s">
        <v>66</v>
      </c>
      <c r="E27" s="13">
        <v>3</v>
      </c>
      <c r="F27" s="16" t="s">
        <v>66</v>
      </c>
      <c r="G27" s="13">
        <v>2</v>
      </c>
      <c r="H27" s="16" t="s">
        <v>66</v>
      </c>
      <c r="I27" s="14">
        <v>1</v>
      </c>
      <c r="J27" s="16" t="s">
        <v>66</v>
      </c>
      <c r="K27" s="14">
        <v>2</v>
      </c>
      <c r="L27" s="16" t="s">
        <v>66</v>
      </c>
      <c r="M27" s="14">
        <v>2</v>
      </c>
      <c r="N27" s="16" t="s">
        <v>66</v>
      </c>
      <c r="O27" s="14">
        <v>3</v>
      </c>
      <c r="P27" s="16" t="s">
        <v>66</v>
      </c>
      <c r="Q27" s="35">
        <v>2</v>
      </c>
      <c r="R27" s="16" t="s">
        <v>66</v>
      </c>
      <c r="S27" s="35">
        <v>2</v>
      </c>
      <c r="T27" s="16" t="s">
        <v>66</v>
      </c>
      <c r="U27" s="9"/>
      <c r="V27" s="96"/>
      <c r="W27" s="122"/>
      <c r="X27" s="13"/>
      <c r="Y27" s="16" t="s">
        <v>66</v>
      </c>
      <c r="Z27" s="13"/>
      <c r="AA27" s="16" t="s">
        <v>66</v>
      </c>
      <c r="AB27" s="13"/>
      <c r="AC27" s="16" t="s">
        <v>66</v>
      </c>
      <c r="AD27" s="14"/>
      <c r="AE27" s="16" t="s">
        <v>66</v>
      </c>
      <c r="AF27" s="14"/>
      <c r="AG27" s="16" t="s">
        <v>66</v>
      </c>
      <c r="AH27" s="14"/>
      <c r="AI27" s="16" t="s">
        <v>66</v>
      </c>
      <c r="AJ27" s="14"/>
      <c r="AK27" s="16" t="s">
        <v>66</v>
      </c>
      <c r="AL27" s="19"/>
      <c r="AM27" s="16" t="s">
        <v>66</v>
      </c>
      <c r="AN27" s="19"/>
      <c r="AO27" s="16" t="s">
        <v>66</v>
      </c>
      <c r="AP27" s="9"/>
    </row>
    <row r="28" spans="1:42" x14ac:dyDescent="0.25">
      <c r="A28" s="96"/>
      <c r="B28" s="122" t="s">
        <v>55</v>
      </c>
      <c r="C28" s="11"/>
      <c r="D28" s="15" t="s">
        <v>65</v>
      </c>
      <c r="E28" s="11">
        <v>2</v>
      </c>
      <c r="F28" s="15" t="s">
        <v>65</v>
      </c>
      <c r="G28" s="11">
        <v>2</v>
      </c>
      <c r="H28" s="15" t="s">
        <v>65</v>
      </c>
      <c r="I28" s="12">
        <v>2</v>
      </c>
      <c r="J28" s="15" t="s">
        <v>65</v>
      </c>
      <c r="K28" s="12">
        <v>2</v>
      </c>
      <c r="L28" s="15" t="s">
        <v>65</v>
      </c>
      <c r="M28" s="12">
        <v>2</v>
      </c>
      <c r="N28" s="15" t="s">
        <v>65</v>
      </c>
      <c r="O28" s="12">
        <v>3</v>
      </c>
      <c r="P28" s="15" t="s">
        <v>65</v>
      </c>
      <c r="Q28" s="34">
        <v>3</v>
      </c>
      <c r="R28" s="15" t="s">
        <v>65</v>
      </c>
      <c r="S28" s="34">
        <v>3</v>
      </c>
      <c r="T28" s="15" t="s">
        <v>65</v>
      </c>
      <c r="U28" s="9"/>
      <c r="V28" s="96"/>
      <c r="W28" s="122" t="s">
        <v>12</v>
      </c>
      <c r="X28" s="11"/>
      <c r="Y28" s="15" t="s">
        <v>65</v>
      </c>
      <c r="Z28" s="11"/>
      <c r="AA28" s="15" t="s">
        <v>65</v>
      </c>
      <c r="AB28" s="11"/>
      <c r="AC28" s="15" t="s">
        <v>65</v>
      </c>
      <c r="AD28" s="12"/>
      <c r="AE28" s="15" t="s">
        <v>65</v>
      </c>
      <c r="AF28" s="12"/>
      <c r="AG28" s="15" t="s">
        <v>65</v>
      </c>
      <c r="AH28" s="12"/>
      <c r="AI28" s="15" t="s">
        <v>65</v>
      </c>
      <c r="AJ28" s="12"/>
      <c r="AK28" s="15" t="s">
        <v>65</v>
      </c>
      <c r="AL28" s="18"/>
      <c r="AM28" s="15" t="s">
        <v>65</v>
      </c>
      <c r="AN28" s="18"/>
      <c r="AO28" s="15" t="s">
        <v>65</v>
      </c>
      <c r="AP28" s="9"/>
    </row>
    <row r="29" spans="1:42" x14ac:dyDescent="0.25">
      <c r="A29" s="96"/>
      <c r="B29" s="122"/>
      <c r="C29" s="13"/>
      <c r="D29" s="16" t="s">
        <v>66</v>
      </c>
      <c r="E29" s="13">
        <v>2</v>
      </c>
      <c r="F29" s="16" t="s">
        <v>66</v>
      </c>
      <c r="G29" s="13">
        <v>2</v>
      </c>
      <c r="H29" s="16" t="s">
        <v>66</v>
      </c>
      <c r="I29" s="14">
        <v>2</v>
      </c>
      <c r="J29" s="16" t="s">
        <v>66</v>
      </c>
      <c r="K29" s="14">
        <v>2</v>
      </c>
      <c r="L29" s="16" t="s">
        <v>66</v>
      </c>
      <c r="M29" s="14">
        <v>2</v>
      </c>
      <c r="N29" s="16" t="s">
        <v>66</v>
      </c>
      <c r="O29" s="14">
        <v>2</v>
      </c>
      <c r="P29" s="16" t="s">
        <v>66</v>
      </c>
      <c r="Q29" s="35">
        <v>2</v>
      </c>
      <c r="R29" s="16" t="s">
        <v>66</v>
      </c>
      <c r="S29" s="35">
        <v>1</v>
      </c>
      <c r="T29" s="16" t="s">
        <v>66</v>
      </c>
      <c r="U29" s="9"/>
      <c r="V29" s="96"/>
      <c r="W29" s="122"/>
      <c r="X29" s="20"/>
      <c r="Y29" s="17" t="s">
        <v>66</v>
      </c>
      <c r="Z29" s="20"/>
      <c r="AA29" s="17" t="s">
        <v>66</v>
      </c>
      <c r="AB29" s="20"/>
      <c r="AC29" s="17" t="s">
        <v>66</v>
      </c>
      <c r="AD29" s="21"/>
      <c r="AE29" s="17" t="s">
        <v>66</v>
      </c>
      <c r="AF29" s="21"/>
      <c r="AG29" s="17" t="s">
        <v>66</v>
      </c>
      <c r="AH29" s="21"/>
      <c r="AI29" s="17" t="s">
        <v>66</v>
      </c>
      <c r="AJ29" s="21"/>
      <c r="AK29" s="17" t="s">
        <v>66</v>
      </c>
      <c r="AL29" s="22"/>
      <c r="AM29" s="17" t="s">
        <v>66</v>
      </c>
      <c r="AN29" s="22"/>
      <c r="AO29" s="17" t="s">
        <v>66</v>
      </c>
      <c r="AP29" s="9"/>
    </row>
    <row r="30" spans="1:42" x14ac:dyDescent="0.25">
      <c r="A30" s="96"/>
      <c r="B30" s="122" t="s">
        <v>38</v>
      </c>
      <c r="C30" s="11"/>
      <c r="D30" s="15" t="s">
        <v>65</v>
      </c>
      <c r="E30" s="11">
        <v>2</v>
      </c>
      <c r="F30" s="15" t="s">
        <v>65</v>
      </c>
      <c r="G30" s="11">
        <v>2</v>
      </c>
      <c r="H30" s="15" t="s">
        <v>65</v>
      </c>
      <c r="I30" s="12">
        <v>1</v>
      </c>
      <c r="J30" s="15" t="s">
        <v>65</v>
      </c>
      <c r="K30" s="12">
        <v>2</v>
      </c>
      <c r="L30" s="15" t="s">
        <v>65</v>
      </c>
      <c r="M30" s="12">
        <v>3</v>
      </c>
      <c r="N30" s="15" t="s">
        <v>65</v>
      </c>
      <c r="O30" s="12">
        <v>3</v>
      </c>
      <c r="P30" s="15" t="s">
        <v>65</v>
      </c>
      <c r="Q30" s="34">
        <v>2</v>
      </c>
      <c r="R30" s="15" t="s">
        <v>65</v>
      </c>
      <c r="S30" s="34">
        <v>2</v>
      </c>
      <c r="T30" s="15" t="s">
        <v>65</v>
      </c>
      <c r="U30" s="9"/>
      <c r="V30" s="96"/>
      <c r="W30" s="9"/>
      <c r="X30" s="9"/>
      <c r="Y30" s="9"/>
      <c r="Z30" s="9"/>
      <c r="AA30" s="9"/>
      <c r="AB30" s="9"/>
      <c r="AC30" s="9"/>
      <c r="AD30" s="9"/>
      <c r="AE30" s="9"/>
      <c r="AF30" s="9"/>
      <c r="AG30" s="9"/>
      <c r="AH30" s="9"/>
      <c r="AI30" s="9"/>
      <c r="AJ30" s="9"/>
      <c r="AK30" s="9"/>
      <c r="AL30" s="9"/>
      <c r="AM30" s="9"/>
      <c r="AN30" s="9"/>
      <c r="AO30" s="9"/>
      <c r="AP30" s="9"/>
    </row>
    <row r="31" spans="1:42" x14ac:dyDescent="0.25">
      <c r="A31" s="10"/>
      <c r="B31" s="122"/>
      <c r="C31" s="20"/>
      <c r="D31" s="17" t="s">
        <v>66</v>
      </c>
      <c r="E31" s="20">
        <v>2</v>
      </c>
      <c r="F31" s="17" t="s">
        <v>66</v>
      </c>
      <c r="G31" s="20">
        <v>2</v>
      </c>
      <c r="H31" s="17" t="s">
        <v>66</v>
      </c>
      <c r="I31" s="21">
        <v>3</v>
      </c>
      <c r="J31" s="17" t="s">
        <v>66</v>
      </c>
      <c r="K31" s="21">
        <v>2</v>
      </c>
      <c r="L31" s="17" t="s">
        <v>66</v>
      </c>
      <c r="M31" s="21">
        <v>2</v>
      </c>
      <c r="N31" s="17" t="s">
        <v>66</v>
      </c>
      <c r="O31" s="21">
        <v>2</v>
      </c>
      <c r="P31" s="17" t="s">
        <v>66</v>
      </c>
      <c r="Q31" s="21">
        <v>2</v>
      </c>
      <c r="R31" s="17" t="s">
        <v>66</v>
      </c>
      <c r="S31" s="21">
        <v>2</v>
      </c>
      <c r="T31" s="17" t="s">
        <v>66</v>
      </c>
      <c r="U31" s="9"/>
      <c r="V31" s="10"/>
      <c r="W31" s="9"/>
      <c r="X31" s="9"/>
      <c r="Y31" s="9"/>
      <c r="Z31" s="9"/>
      <c r="AA31" s="9"/>
      <c r="AB31" s="9"/>
      <c r="AC31" s="9"/>
      <c r="AD31" s="9"/>
      <c r="AE31" s="9"/>
      <c r="AF31" s="9"/>
      <c r="AG31" s="9"/>
      <c r="AH31" s="9"/>
      <c r="AI31" s="9"/>
      <c r="AJ31" s="9"/>
      <c r="AK31" s="9"/>
      <c r="AL31" s="9"/>
      <c r="AM31" s="9"/>
      <c r="AN31" s="9"/>
      <c r="AO31" s="9"/>
      <c r="AP31" s="9"/>
    </row>
    <row r="32" spans="1:42" x14ac:dyDescent="0.25">
      <c r="A32" s="9"/>
      <c r="B32" s="9"/>
      <c r="C32" s="9"/>
      <c r="D32" s="9"/>
      <c r="E32" s="9"/>
      <c r="F32" s="9"/>
      <c r="G32" s="9"/>
      <c r="H32" s="9"/>
      <c r="I32" s="9"/>
      <c r="J32" s="9"/>
      <c r="K32" s="9"/>
      <c r="L32" s="9"/>
      <c r="M32" s="9"/>
      <c r="N32" s="9"/>
      <c r="O32" s="9"/>
      <c r="P32" s="9"/>
      <c r="Q32" s="9"/>
      <c r="R32" s="9"/>
      <c r="S32" s="9"/>
      <c r="T32" s="9"/>
      <c r="U32" s="9"/>
      <c r="V32" s="9"/>
      <c r="W32" s="9"/>
      <c r="X32" s="9"/>
      <c r="Y32" s="9"/>
      <c r="Z32" s="9"/>
      <c r="AA32" s="9"/>
      <c r="AB32" s="9"/>
      <c r="AC32" s="9"/>
      <c r="AD32" s="9"/>
      <c r="AE32" s="9"/>
      <c r="AF32" s="9"/>
      <c r="AG32" s="9"/>
      <c r="AH32" s="9"/>
      <c r="AI32" s="9"/>
      <c r="AJ32" s="9"/>
      <c r="AK32" s="9"/>
      <c r="AL32" s="9"/>
      <c r="AM32" s="9"/>
      <c r="AN32" s="9"/>
      <c r="AO32" s="9"/>
      <c r="AP32" s="9"/>
    </row>
    <row r="33" spans="1:42" x14ac:dyDescent="0.25">
      <c r="A33" s="9"/>
      <c r="B33" s="9"/>
      <c r="C33" s="9"/>
      <c r="D33" s="9"/>
      <c r="E33" s="9"/>
      <c r="F33" s="9"/>
      <c r="G33" s="9"/>
      <c r="H33" s="9"/>
      <c r="I33" s="9"/>
      <c r="J33" s="9"/>
      <c r="K33" s="9"/>
      <c r="L33" s="9"/>
      <c r="M33" s="9"/>
      <c r="N33" s="9"/>
      <c r="O33" s="9"/>
      <c r="P33" s="9"/>
      <c r="Q33" s="9"/>
      <c r="R33" s="9"/>
      <c r="S33" s="9"/>
      <c r="T33" s="9"/>
      <c r="U33" s="9"/>
      <c r="V33" s="9"/>
      <c r="W33" s="9"/>
      <c r="X33" s="9"/>
      <c r="Y33" s="9"/>
      <c r="Z33" s="9"/>
      <c r="AA33" s="9"/>
      <c r="AB33" s="9"/>
      <c r="AC33" s="9"/>
      <c r="AD33" s="9"/>
      <c r="AE33" s="9"/>
      <c r="AF33" s="9"/>
      <c r="AG33" s="9"/>
      <c r="AH33" s="9"/>
      <c r="AI33" s="9"/>
      <c r="AJ33" s="9"/>
      <c r="AK33" s="9"/>
      <c r="AL33" s="9"/>
      <c r="AM33" s="9"/>
      <c r="AN33" s="9"/>
      <c r="AO33" s="9"/>
      <c r="AP33" s="9"/>
    </row>
    <row r="34" spans="1:42" x14ac:dyDescent="0.25">
      <c r="A34" s="9"/>
      <c r="B34" s="9"/>
      <c r="C34" s="9"/>
      <c r="D34" s="9"/>
      <c r="E34" s="9"/>
      <c r="F34" s="9"/>
      <c r="G34" s="9"/>
      <c r="H34" s="9"/>
      <c r="I34" s="9"/>
      <c r="J34" s="9"/>
      <c r="K34" s="9"/>
      <c r="L34" s="9"/>
      <c r="M34" s="9"/>
      <c r="N34" s="9"/>
      <c r="O34" s="9"/>
      <c r="P34" s="9"/>
      <c r="Q34" s="9"/>
      <c r="R34" s="9"/>
      <c r="S34" s="9"/>
      <c r="T34" s="9"/>
      <c r="U34" s="9"/>
      <c r="V34" s="9"/>
      <c r="W34" s="9"/>
      <c r="X34" s="9"/>
      <c r="Y34" s="9"/>
      <c r="Z34" s="9"/>
      <c r="AA34" s="9"/>
      <c r="AB34" s="9"/>
      <c r="AC34" s="9"/>
      <c r="AD34" s="9"/>
      <c r="AE34" s="9"/>
      <c r="AF34" s="9"/>
      <c r="AG34" s="9"/>
      <c r="AH34" s="9"/>
      <c r="AI34" s="9"/>
      <c r="AJ34" s="9"/>
      <c r="AK34" s="9"/>
      <c r="AL34" s="9"/>
      <c r="AM34" s="9"/>
      <c r="AN34" s="9"/>
      <c r="AO34" s="9"/>
      <c r="AP34" s="9"/>
    </row>
    <row r="35" spans="1:42" x14ac:dyDescent="0.25">
      <c r="A35" s="9"/>
      <c r="B35" s="9"/>
      <c r="C35" s="9"/>
      <c r="D35" s="9"/>
      <c r="E35" s="9"/>
      <c r="F35" s="9"/>
      <c r="G35" s="9"/>
      <c r="H35" s="9"/>
      <c r="I35" s="9"/>
      <c r="J35" s="9"/>
      <c r="K35" s="9"/>
      <c r="L35" s="9"/>
      <c r="M35" s="9"/>
      <c r="N35" s="9"/>
      <c r="O35" s="9"/>
      <c r="P35" s="9"/>
      <c r="Q35" s="9"/>
      <c r="R35" s="9"/>
      <c r="S35" s="9"/>
      <c r="T35" s="9"/>
      <c r="U35" s="9"/>
      <c r="V35" s="9"/>
      <c r="W35" s="9"/>
      <c r="X35" s="9"/>
      <c r="Y35" s="9"/>
      <c r="Z35" s="9"/>
      <c r="AA35" s="9"/>
      <c r="AB35" s="9"/>
      <c r="AC35" s="9"/>
      <c r="AD35" s="9"/>
      <c r="AE35" s="9"/>
      <c r="AF35" s="9"/>
      <c r="AG35" s="9"/>
      <c r="AH35" s="9"/>
      <c r="AI35" s="9"/>
      <c r="AJ35" s="9"/>
      <c r="AK35" s="9"/>
      <c r="AL35" s="9"/>
      <c r="AM35" s="9"/>
      <c r="AN35" s="9"/>
      <c r="AO35" s="9"/>
      <c r="AP35" s="9"/>
    </row>
    <row r="36" spans="1:42" ht="23.25" x14ac:dyDescent="0.25">
      <c r="A36" s="4"/>
      <c r="B36" s="95" t="s">
        <v>75</v>
      </c>
      <c r="C36" s="95"/>
      <c r="D36" s="95"/>
      <c r="E36" s="95"/>
      <c r="F36" s="95"/>
      <c r="G36" s="95"/>
      <c r="H36" s="95"/>
      <c r="I36" s="95"/>
      <c r="J36" s="95"/>
      <c r="K36" s="95"/>
      <c r="L36" s="95"/>
      <c r="M36" s="95"/>
      <c r="N36" s="95"/>
      <c r="O36" s="95"/>
      <c r="P36" s="95"/>
      <c r="Q36" s="95"/>
      <c r="R36" s="95"/>
      <c r="S36" s="95"/>
      <c r="T36" s="95"/>
      <c r="U36" s="95"/>
      <c r="V36" s="95"/>
      <c r="W36" s="95"/>
      <c r="X36" s="95"/>
      <c r="Y36" s="95"/>
      <c r="Z36" s="95"/>
      <c r="AA36" s="95"/>
      <c r="AB36" s="95"/>
      <c r="AC36" s="95"/>
      <c r="AD36" s="95"/>
      <c r="AE36" s="95"/>
      <c r="AF36" s="95"/>
      <c r="AG36" s="95"/>
      <c r="AH36" s="95"/>
      <c r="AI36" s="95"/>
      <c r="AJ36" s="95"/>
      <c r="AK36" s="95"/>
      <c r="AL36" s="95"/>
      <c r="AM36" s="95"/>
      <c r="AN36" s="95"/>
      <c r="AO36" s="9"/>
      <c r="AP36" s="9"/>
    </row>
    <row r="37" spans="1:42" ht="23.25" x14ac:dyDescent="0.25">
      <c r="A37" s="4"/>
      <c r="B37" s="95" t="s">
        <v>75</v>
      </c>
      <c r="C37" s="95"/>
      <c r="D37" s="95"/>
      <c r="E37" s="95"/>
      <c r="F37" s="95"/>
      <c r="G37" s="95"/>
      <c r="H37" s="95"/>
      <c r="I37" s="95"/>
      <c r="J37" s="95"/>
      <c r="K37" s="95"/>
      <c r="L37" s="95"/>
      <c r="M37" s="95"/>
      <c r="N37" s="95"/>
      <c r="O37" s="95"/>
      <c r="P37" s="95"/>
      <c r="Q37" s="95"/>
      <c r="R37" s="95"/>
      <c r="S37" s="95"/>
      <c r="T37" s="95"/>
      <c r="U37" s="4"/>
      <c r="V37" s="4"/>
      <c r="W37" s="4"/>
      <c r="X37" s="4"/>
      <c r="Y37" s="4"/>
      <c r="Z37" s="4"/>
      <c r="AA37" s="4"/>
      <c r="AB37" s="4"/>
      <c r="AC37" s="4"/>
      <c r="AD37" s="4"/>
      <c r="AE37" s="4"/>
      <c r="AF37" s="4"/>
      <c r="AG37" s="9"/>
      <c r="AH37" s="9"/>
      <c r="AI37" s="9"/>
      <c r="AJ37" s="9"/>
      <c r="AK37" s="9"/>
      <c r="AL37" s="9"/>
      <c r="AM37" s="9"/>
      <c r="AN37" s="9"/>
      <c r="AO37" s="9"/>
    </row>
    <row r="38" spans="1:42" ht="36" x14ac:dyDescent="0.25">
      <c r="A38" s="4"/>
      <c r="B38" s="5"/>
      <c r="C38" s="97" t="s">
        <v>58</v>
      </c>
      <c r="D38" s="97"/>
      <c r="E38" s="97"/>
      <c r="F38" s="97"/>
      <c r="G38" s="97"/>
      <c r="H38" s="97"/>
      <c r="I38" s="97"/>
      <c r="J38" s="97"/>
      <c r="K38" s="97"/>
      <c r="L38" s="97"/>
      <c r="M38" s="97"/>
      <c r="N38" s="97"/>
      <c r="O38" s="97"/>
      <c r="P38" s="97"/>
      <c r="Q38" s="97"/>
      <c r="R38" s="97"/>
      <c r="S38" s="97"/>
      <c r="T38" s="97"/>
      <c r="V38" s="4"/>
      <c r="W38" s="5"/>
      <c r="X38" s="97" t="s">
        <v>58</v>
      </c>
      <c r="Y38" s="97"/>
      <c r="Z38" s="97"/>
      <c r="AA38" s="97"/>
      <c r="AB38" s="97"/>
      <c r="AC38" s="97"/>
      <c r="AD38" s="97"/>
      <c r="AE38" s="97"/>
      <c r="AF38" s="97"/>
      <c r="AG38" s="97"/>
      <c r="AH38" s="97"/>
      <c r="AI38" s="97"/>
      <c r="AJ38" s="97"/>
      <c r="AK38" s="97"/>
      <c r="AL38" s="97"/>
      <c r="AM38" s="97"/>
      <c r="AN38" s="97"/>
      <c r="AO38" s="97"/>
    </row>
    <row r="39" spans="1:42" ht="15.75" x14ac:dyDescent="0.25">
      <c r="A39" s="4"/>
      <c r="B39" s="5"/>
      <c r="C39" s="98"/>
      <c r="D39" s="98"/>
      <c r="E39" s="98"/>
      <c r="F39" s="98"/>
      <c r="G39" s="98"/>
      <c r="H39" s="98"/>
      <c r="I39" s="98"/>
      <c r="J39" s="98"/>
      <c r="K39" s="98"/>
      <c r="L39" s="98"/>
      <c r="M39" s="98"/>
      <c r="N39" s="98"/>
      <c r="O39" s="98"/>
      <c r="P39" s="98"/>
      <c r="Q39" s="98"/>
      <c r="R39" s="98"/>
      <c r="S39" s="98"/>
      <c r="T39" s="98"/>
      <c r="U39" s="9"/>
      <c r="V39" s="4"/>
      <c r="W39" s="5"/>
      <c r="X39" s="98"/>
      <c r="Y39" s="98"/>
      <c r="Z39" s="98"/>
      <c r="AA39" s="98"/>
      <c r="AB39" s="98"/>
      <c r="AC39" s="98"/>
      <c r="AD39" s="98"/>
      <c r="AE39" s="98"/>
      <c r="AF39" s="98"/>
      <c r="AG39" s="98"/>
      <c r="AH39" s="98"/>
      <c r="AI39" s="98"/>
      <c r="AJ39" s="98"/>
      <c r="AK39" s="98"/>
      <c r="AL39" s="98"/>
      <c r="AM39" s="98"/>
      <c r="AN39" s="98"/>
      <c r="AO39" s="98"/>
    </row>
    <row r="40" spans="1:42" ht="15.75" x14ac:dyDescent="0.25">
      <c r="A40" s="6" t="s">
        <v>51</v>
      </c>
      <c r="B40" s="28"/>
      <c r="C40" s="122" t="s">
        <v>59</v>
      </c>
      <c r="D40" s="122"/>
      <c r="E40" s="122" t="s">
        <v>60</v>
      </c>
      <c r="F40" s="122"/>
      <c r="G40" s="122" t="s">
        <v>61</v>
      </c>
      <c r="H40" s="122"/>
      <c r="I40" s="122" t="s">
        <v>62</v>
      </c>
      <c r="J40" s="122"/>
      <c r="K40" s="122" t="s">
        <v>63</v>
      </c>
      <c r="L40" s="122"/>
      <c r="M40" s="122" t="s">
        <v>64</v>
      </c>
      <c r="N40" s="122"/>
      <c r="O40" s="122" t="s">
        <v>67</v>
      </c>
      <c r="P40" s="122"/>
      <c r="Q40" s="122" t="s">
        <v>68</v>
      </c>
      <c r="R40" s="122"/>
      <c r="S40" s="122" t="s">
        <v>69</v>
      </c>
      <c r="T40" s="122"/>
      <c r="U40" s="9"/>
      <c r="V40" s="6" t="s">
        <v>52</v>
      </c>
      <c r="W40" s="28"/>
      <c r="X40" s="122" t="s">
        <v>59</v>
      </c>
      <c r="Y40" s="122"/>
      <c r="Z40" s="122" t="s">
        <v>60</v>
      </c>
      <c r="AA40" s="122"/>
      <c r="AB40" s="122" t="s">
        <v>61</v>
      </c>
      <c r="AC40" s="122"/>
      <c r="AD40" s="122" t="s">
        <v>62</v>
      </c>
      <c r="AE40" s="122"/>
      <c r="AF40" s="122" t="s">
        <v>63</v>
      </c>
      <c r="AG40" s="122"/>
      <c r="AH40" s="122" t="s">
        <v>64</v>
      </c>
      <c r="AI40" s="122"/>
      <c r="AJ40" s="123" t="s">
        <v>54</v>
      </c>
      <c r="AK40" s="124"/>
      <c r="AL40" s="122" t="s">
        <v>55</v>
      </c>
      <c r="AM40" s="122"/>
      <c r="AN40" s="122" t="s">
        <v>38</v>
      </c>
      <c r="AO40" s="122"/>
    </row>
    <row r="41" spans="1:42" ht="15" customHeight="1" x14ac:dyDescent="0.25">
      <c r="A41" s="96" t="s">
        <v>0</v>
      </c>
      <c r="B41" s="122" t="s">
        <v>2</v>
      </c>
      <c r="C41" s="11"/>
      <c r="D41" s="15" t="s">
        <v>65</v>
      </c>
      <c r="E41" s="120" t="str">
        <f>IF(QUOTIENT(E6+E7,2)&lt;2,2-QUOTIENT(E6+E7,2),"")</f>
        <v/>
      </c>
      <c r="F41" s="15" t="s">
        <v>65</v>
      </c>
      <c r="G41" s="120" t="str">
        <f>IF((QUOTIENT(G6+G7,2))&lt;2,2-QUOTIENT(G6+G7,2),"")</f>
        <v/>
      </c>
      <c r="H41" s="15" t="s">
        <v>65</v>
      </c>
      <c r="I41" s="120" t="str">
        <f>IF((QUOTIENT(I6+I7,2))&lt;2,2-QUOTIENT(I6+I7,2),"")</f>
        <v/>
      </c>
      <c r="J41" s="15" t="s">
        <v>65</v>
      </c>
      <c r="K41" s="120" t="str">
        <f>IF((QUOTIENT(K6+K7,2))&lt;2,2-QUOTIENT(K6+K7,2),"")</f>
        <v/>
      </c>
      <c r="L41" s="15" t="s">
        <v>65</v>
      </c>
      <c r="M41" s="120" t="str">
        <f>IF((QUOTIENT(M6+M7,2))&lt;2,2-QUOTIENT(M6+M7,2),"")</f>
        <v/>
      </c>
      <c r="N41" s="15" t="s">
        <v>65</v>
      </c>
      <c r="O41" s="120" t="str">
        <f>IF((QUOTIENT(O6+O7,2))&lt;2,2-QUOTIENT(O6+O7,2),"")</f>
        <v/>
      </c>
      <c r="P41" s="15" t="s">
        <v>65</v>
      </c>
      <c r="Q41" s="120" t="str">
        <f>IF((QUOTIENT(Q6+Q7,2))&lt;2,2-QUOTIENT(Q6+Q7,2),"")</f>
        <v/>
      </c>
      <c r="R41" s="15" t="s">
        <v>65</v>
      </c>
      <c r="S41" s="120">
        <f>IF((QUOTIENT(S6+S7,2))&lt;2,2-QUOTIENT(S6+S7,2),"")</f>
        <v>1</v>
      </c>
      <c r="T41" s="15" t="s">
        <v>65</v>
      </c>
      <c r="U41" s="9"/>
      <c r="V41" s="96" t="s">
        <v>0</v>
      </c>
      <c r="W41" s="122" t="s">
        <v>3</v>
      </c>
      <c r="X41" s="125"/>
      <c r="Y41" s="15" t="s">
        <v>65</v>
      </c>
      <c r="Z41" s="120" t="str">
        <f>IF((QUOTIENT(Z6+Z7,2))&lt;2,2-QUOTIENT(Z6+Z7,2),"")</f>
        <v/>
      </c>
      <c r="AA41" s="15" t="s">
        <v>65</v>
      </c>
      <c r="AB41" s="120" t="str">
        <f>IF((QUOTIENT(AB6+AB7,2))&lt;2,2-QUOTIENT(AB6+AB7,2),"")</f>
        <v/>
      </c>
      <c r="AC41" s="15" t="s">
        <v>65</v>
      </c>
      <c r="AD41" s="120" t="str">
        <f>IF((QUOTIENT(AD6+AD7,2))&lt;2,2-QUOTIENT(AD6+AD7,2),"")</f>
        <v/>
      </c>
      <c r="AE41" s="15" t="s">
        <v>65</v>
      </c>
      <c r="AF41" s="120" t="str">
        <f>IF((QUOTIENT(AF6+AF7,2))&lt;2,2-QUOTIENT(AF6+AF7,2),"")</f>
        <v/>
      </c>
      <c r="AG41" s="15" t="s">
        <v>65</v>
      </c>
      <c r="AH41" s="120" t="str">
        <f>IF((QUOTIENT(AH6+AH7,2))&lt;2,2-QUOTIENT(AH6+AH7,2),"")</f>
        <v/>
      </c>
      <c r="AI41" s="15" t="s">
        <v>65</v>
      </c>
      <c r="AJ41" s="120" t="str">
        <f>IF((QUOTIENT(AJ6+AJ7,2))&lt;2,2-QUOTIENT(AJ6+AJ7,2),"")</f>
        <v/>
      </c>
      <c r="AK41" s="15" t="s">
        <v>65</v>
      </c>
      <c r="AL41" s="120" t="str">
        <f>IF((QUOTIENT(AL6+AL7,2))&lt;2,2-QUOTIENT(AL6+AL7,2),"")</f>
        <v/>
      </c>
      <c r="AM41" s="15" t="s">
        <v>65</v>
      </c>
      <c r="AN41" s="120" t="str">
        <f>IF((QUOTIENT(AN6+AN7,2))&lt;2,2-QUOTIENT(AN6+AN7,2),"")</f>
        <v/>
      </c>
      <c r="AO41" s="15" t="s">
        <v>65</v>
      </c>
    </row>
    <row r="42" spans="1:42" ht="15" customHeight="1" x14ac:dyDescent="0.25">
      <c r="A42" s="96"/>
      <c r="B42" s="122"/>
      <c r="C42" s="13"/>
      <c r="D42" s="16" t="s">
        <v>66</v>
      </c>
      <c r="E42" s="121"/>
      <c r="F42" s="16" t="s">
        <v>66</v>
      </c>
      <c r="G42" s="121"/>
      <c r="H42" s="16" t="s">
        <v>66</v>
      </c>
      <c r="I42" s="121"/>
      <c r="J42" s="16" t="s">
        <v>66</v>
      </c>
      <c r="K42" s="121"/>
      <c r="L42" s="16" t="s">
        <v>66</v>
      </c>
      <c r="M42" s="121"/>
      <c r="N42" s="16" t="s">
        <v>66</v>
      </c>
      <c r="O42" s="121"/>
      <c r="P42" s="16" t="s">
        <v>66</v>
      </c>
      <c r="Q42" s="121"/>
      <c r="R42" s="16" t="s">
        <v>66</v>
      </c>
      <c r="S42" s="121"/>
      <c r="T42" s="16" t="s">
        <v>66</v>
      </c>
      <c r="U42" s="9"/>
      <c r="V42" s="96"/>
      <c r="W42" s="122"/>
      <c r="X42" s="126"/>
      <c r="Y42" s="16" t="s">
        <v>66</v>
      </c>
      <c r="Z42" s="121"/>
      <c r="AA42" s="16" t="s">
        <v>66</v>
      </c>
      <c r="AB42" s="121"/>
      <c r="AC42" s="16" t="s">
        <v>66</v>
      </c>
      <c r="AD42" s="121"/>
      <c r="AE42" s="16" t="s">
        <v>66</v>
      </c>
      <c r="AF42" s="121"/>
      <c r="AG42" s="16" t="s">
        <v>66</v>
      </c>
      <c r="AH42" s="121"/>
      <c r="AI42" s="16" t="s">
        <v>66</v>
      </c>
      <c r="AJ42" s="121"/>
      <c r="AK42" s="16" t="s">
        <v>66</v>
      </c>
      <c r="AL42" s="121"/>
      <c r="AM42" s="16" t="s">
        <v>66</v>
      </c>
      <c r="AN42" s="121"/>
      <c r="AO42" s="16" t="s">
        <v>66</v>
      </c>
    </row>
    <row r="43" spans="1:42" ht="15" customHeight="1" x14ac:dyDescent="0.25">
      <c r="A43" s="96"/>
      <c r="B43" s="122" t="s">
        <v>29</v>
      </c>
      <c r="C43" s="11"/>
      <c r="D43" s="15" t="s">
        <v>65</v>
      </c>
      <c r="E43" s="120" t="str">
        <f>IF(QUOTIENT(E8+E9,2)&lt;2,2-QUOTIENT(E8+E9,2),"")</f>
        <v/>
      </c>
      <c r="F43" s="15" t="s">
        <v>65</v>
      </c>
      <c r="G43" s="120" t="str">
        <f>IF((QUOTIENT(G8+G9,2))&lt;2,2-QUOTIENT(G8+G9,2),"")</f>
        <v/>
      </c>
      <c r="H43" s="15" t="s">
        <v>65</v>
      </c>
      <c r="I43" s="120" t="str">
        <f>IF((QUOTIENT(I8+I9,2))&lt;2,2-QUOTIENT(I8+I9,2),"")</f>
        <v/>
      </c>
      <c r="J43" s="15" t="s">
        <v>65</v>
      </c>
      <c r="K43" s="120" t="str">
        <f>IF((QUOTIENT(K8+K9,2))&lt;2,2-QUOTIENT(K8+K9,2),"")</f>
        <v/>
      </c>
      <c r="L43" s="15" t="s">
        <v>65</v>
      </c>
      <c r="M43" s="120" t="str">
        <f>IF((QUOTIENT(M8+M9,2))&lt;2,2-QUOTIENT(M8+M9,2),"")</f>
        <v/>
      </c>
      <c r="N43" s="15" t="s">
        <v>65</v>
      </c>
      <c r="O43" s="120" t="str">
        <f>IF((QUOTIENT(O8+O9,2))&lt;2,2-QUOTIENT(O8+O9,2),"")</f>
        <v/>
      </c>
      <c r="P43" s="15" t="s">
        <v>65</v>
      </c>
      <c r="Q43" s="120" t="str">
        <f>IF((QUOTIENT(Q8+Q9,2))&lt;2,2-QUOTIENT(Q8+Q9,2),"")</f>
        <v/>
      </c>
      <c r="R43" s="15" t="s">
        <v>65</v>
      </c>
      <c r="S43" s="120" t="str">
        <f>IF((QUOTIENT(S8+S9,2))&lt;2,2-QUOTIENT(S8+S9,2),"")</f>
        <v/>
      </c>
      <c r="T43" s="15" t="s">
        <v>65</v>
      </c>
      <c r="U43" s="9"/>
      <c r="V43" s="96"/>
      <c r="W43" s="122" t="s">
        <v>4</v>
      </c>
      <c r="X43" s="125"/>
      <c r="Y43" s="15" t="s">
        <v>65</v>
      </c>
      <c r="Z43" s="120" t="str">
        <f>IF((QUOTIENT(Z8+Z9,2))&lt;2,2-QUOTIENT(Z8+Z9,2),"")</f>
        <v/>
      </c>
      <c r="AA43" s="15" t="s">
        <v>65</v>
      </c>
      <c r="AB43" s="120" t="str">
        <f>IF((QUOTIENT(AB8+AB9,2))&lt;2,2-QUOTIENT(AB8+AB9,2),"")</f>
        <v/>
      </c>
      <c r="AC43" s="15" t="s">
        <v>65</v>
      </c>
      <c r="AD43" s="120" t="str">
        <f>IF((QUOTIENT(AD8+AD9,2))&lt;2,2-QUOTIENT(AD8+AD9,2),"")</f>
        <v/>
      </c>
      <c r="AE43" s="15" t="s">
        <v>65</v>
      </c>
      <c r="AF43" s="120" t="str">
        <f>IF((QUOTIENT(AF8+AF9,2))&lt;2,2-QUOTIENT(AF8+AF9,2),"")</f>
        <v/>
      </c>
      <c r="AG43" s="15" t="s">
        <v>65</v>
      </c>
      <c r="AH43" s="120" t="str">
        <f>IF((QUOTIENT(AH8+AH9,2))&lt;2,2-QUOTIENT(AH8+AH9,2),"")</f>
        <v/>
      </c>
      <c r="AI43" s="15" t="s">
        <v>65</v>
      </c>
      <c r="AJ43" s="120" t="str">
        <f>IF((QUOTIENT(AJ8+AJ9,2))&lt;2,2-QUOTIENT(AJ8+AJ9,2),"")</f>
        <v/>
      </c>
      <c r="AK43" s="15" t="s">
        <v>65</v>
      </c>
      <c r="AL43" s="120" t="str">
        <f>IF((QUOTIENT(AL8+AL9,2))&lt;2,2-QUOTIENT(AL8+AL9,2),"")</f>
        <v/>
      </c>
      <c r="AM43" s="15" t="s">
        <v>65</v>
      </c>
      <c r="AN43" s="120" t="str">
        <f>IF((QUOTIENT(AN8+AN9,2))&lt;2,2-QUOTIENT(AN8+AN9,2),"")</f>
        <v/>
      </c>
      <c r="AO43" s="15" t="s">
        <v>65</v>
      </c>
    </row>
    <row r="44" spans="1:42" ht="15" customHeight="1" x14ac:dyDescent="0.25">
      <c r="A44" s="96"/>
      <c r="B44" s="122"/>
      <c r="C44" s="13"/>
      <c r="D44" s="16" t="s">
        <v>66</v>
      </c>
      <c r="E44" s="121"/>
      <c r="F44" s="16" t="s">
        <v>66</v>
      </c>
      <c r="G44" s="121"/>
      <c r="H44" s="16" t="s">
        <v>66</v>
      </c>
      <c r="I44" s="121"/>
      <c r="J44" s="16" t="s">
        <v>66</v>
      </c>
      <c r="K44" s="121"/>
      <c r="L44" s="16" t="s">
        <v>66</v>
      </c>
      <c r="M44" s="121"/>
      <c r="N44" s="16" t="s">
        <v>66</v>
      </c>
      <c r="O44" s="121"/>
      <c r="P44" s="16" t="s">
        <v>66</v>
      </c>
      <c r="Q44" s="121"/>
      <c r="R44" s="16" t="s">
        <v>66</v>
      </c>
      <c r="S44" s="121"/>
      <c r="T44" s="16" t="s">
        <v>66</v>
      </c>
      <c r="U44" s="9"/>
      <c r="V44" s="96"/>
      <c r="W44" s="122"/>
      <c r="X44" s="126"/>
      <c r="Y44" s="16" t="s">
        <v>66</v>
      </c>
      <c r="Z44" s="121"/>
      <c r="AA44" s="16" t="s">
        <v>66</v>
      </c>
      <c r="AB44" s="121"/>
      <c r="AC44" s="16" t="s">
        <v>66</v>
      </c>
      <c r="AD44" s="121"/>
      <c r="AE44" s="16" t="s">
        <v>66</v>
      </c>
      <c r="AF44" s="121"/>
      <c r="AG44" s="16" t="s">
        <v>66</v>
      </c>
      <c r="AH44" s="121"/>
      <c r="AI44" s="16" t="s">
        <v>66</v>
      </c>
      <c r="AJ44" s="121"/>
      <c r="AK44" s="16" t="s">
        <v>66</v>
      </c>
      <c r="AL44" s="121"/>
      <c r="AM44" s="16" t="s">
        <v>66</v>
      </c>
      <c r="AN44" s="121"/>
      <c r="AO44" s="16" t="s">
        <v>66</v>
      </c>
    </row>
    <row r="45" spans="1:42" ht="15" customHeight="1" x14ac:dyDescent="0.25">
      <c r="A45" s="96"/>
      <c r="B45" s="122" t="s">
        <v>30</v>
      </c>
      <c r="C45" s="11"/>
      <c r="D45" s="15" t="s">
        <v>65</v>
      </c>
      <c r="E45" s="120" t="str">
        <f>IF(QUOTIENT(E10+E11,2)&lt;2,2-QUOTIENT(E10+E11,2),"")</f>
        <v/>
      </c>
      <c r="F45" s="15" t="s">
        <v>65</v>
      </c>
      <c r="G45" s="120">
        <f>IF((QUOTIENT(G10+G11,2))&lt;2,2-QUOTIENT(G10+G11,2),"")</f>
        <v>1</v>
      </c>
      <c r="H45" s="15" t="s">
        <v>65</v>
      </c>
      <c r="I45" s="120" t="str">
        <f>IF((QUOTIENT(I10+I11,2))&lt;2,2-QUOTIENT(I10+I11,2),"")</f>
        <v/>
      </c>
      <c r="J45" s="15" t="s">
        <v>65</v>
      </c>
      <c r="K45" s="120" t="str">
        <f>IF((QUOTIENT(K10+K11,2))&lt;2,2-QUOTIENT(K10+K11,2),"")</f>
        <v/>
      </c>
      <c r="L45" s="15" t="s">
        <v>65</v>
      </c>
      <c r="M45" s="120" t="str">
        <f>IF((QUOTIENT(M10+M11,2))&lt;2,2-QUOTIENT(M10+M11,2),"")</f>
        <v/>
      </c>
      <c r="N45" s="15" t="s">
        <v>65</v>
      </c>
      <c r="O45" s="120" t="str">
        <f>IF((QUOTIENT(O10+O11,2))&lt;2,2-QUOTIENT(O10+O11,2),"")</f>
        <v/>
      </c>
      <c r="P45" s="15" t="s">
        <v>65</v>
      </c>
      <c r="Q45" s="120" t="str">
        <f>IF((QUOTIENT(Q10+Q11,2))&lt;2,2-QUOTIENT(Q10+Q11,2),"")</f>
        <v/>
      </c>
      <c r="R45" s="15" t="s">
        <v>65</v>
      </c>
      <c r="S45" s="120" t="str">
        <f>IF((QUOTIENT(S10+S11,2))&lt;2,2-QUOTIENT(S10+S11,2),"")</f>
        <v/>
      </c>
      <c r="T45" s="15" t="s">
        <v>65</v>
      </c>
      <c r="U45" s="9"/>
      <c r="V45" s="96"/>
      <c r="W45" s="122" t="s">
        <v>5</v>
      </c>
      <c r="X45" s="125"/>
      <c r="Y45" s="15" t="s">
        <v>65</v>
      </c>
      <c r="Z45" s="120" t="str">
        <f>IF((QUOTIENT(Z10+Z11,2))&lt;2,2-QUOTIENT(Z10+Z11,2),"")</f>
        <v/>
      </c>
      <c r="AA45" s="15" t="s">
        <v>65</v>
      </c>
      <c r="AB45" s="120" t="str">
        <f>IF((QUOTIENT(AB10+AB11,2))&lt;2,2-QUOTIENT(AB10+AB11,2),"")</f>
        <v/>
      </c>
      <c r="AC45" s="15" t="s">
        <v>65</v>
      </c>
      <c r="AD45" s="120" t="str">
        <f>IF((QUOTIENT(AD10+AD11,2))&lt;2,2-QUOTIENT(AD10+AD11,2),"")</f>
        <v/>
      </c>
      <c r="AE45" s="15" t="s">
        <v>65</v>
      </c>
      <c r="AF45" s="120" t="str">
        <f>IF((QUOTIENT(AF10+AF11,2))&lt;2,2-QUOTIENT(AF10+AF11,2),"")</f>
        <v/>
      </c>
      <c r="AG45" s="15" t="s">
        <v>65</v>
      </c>
      <c r="AH45" s="120" t="str">
        <f>IF((QUOTIENT(AH10+AH11,2))&lt;2,2-QUOTIENT(AH10+AH11,2),"")</f>
        <v/>
      </c>
      <c r="AI45" s="15" t="s">
        <v>65</v>
      </c>
      <c r="AJ45" s="120" t="str">
        <f>IF((QUOTIENT(AJ10+AJ11,2))&lt;2,2-QUOTIENT(AJ10+AJ11,2),"")</f>
        <v/>
      </c>
      <c r="AK45" s="15" t="s">
        <v>65</v>
      </c>
      <c r="AL45" s="120" t="str">
        <f>IF((QUOTIENT(AL10+AL11,2))&lt;2,2-QUOTIENT(AL10+AL11,2),"")</f>
        <v/>
      </c>
      <c r="AM45" s="15" t="s">
        <v>65</v>
      </c>
      <c r="AN45" s="120" t="str">
        <f>IF((QUOTIENT(AN10+AN11,2))&lt;2,2-QUOTIENT(AN10+AN11,2),"")</f>
        <v/>
      </c>
      <c r="AO45" s="15" t="s">
        <v>65</v>
      </c>
    </row>
    <row r="46" spans="1:42" ht="15" customHeight="1" x14ac:dyDescent="0.25">
      <c r="A46" s="96"/>
      <c r="B46" s="122"/>
      <c r="C46" s="13"/>
      <c r="D46" s="16" t="s">
        <v>66</v>
      </c>
      <c r="E46" s="121"/>
      <c r="F46" s="16" t="s">
        <v>66</v>
      </c>
      <c r="G46" s="121"/>
      <c r="H46" s="16" t="s">
        <v>66</v>
      </c>
      <c r="I46" s="121"/>
      <c r="J46" s="16" t="s">
        <v>66</v>
      </c>
      <c r="K46" s="121"/>
      <c r="L46" s="16" t="s">
        <v>66</v>
      </c>
      <c r="M46" s="121"/>
      <c r="N46" s="16" t="s">
        <v>66</v>
      </c>
      <c r="O46" s="121"/>
      <c r="P46" s="16" t="s">
        <v>66</v>
      </c>
      <c r="Q46" s="121"/>
      <c r="R46" s="16" t="s">
        <v>66</v>
      </c>
      <c r="S46" s="121"/>
      <c r="T46" s="16" t="s">
        <v>66</v>
      </c>
      <c r="U46" s="9"/>
      <c r="V46" s="96"/>
      <c r="W46" s="122"/>
      <c r="X46" s="126"/>
      <c r="Y46" s="16" t="s">
        <v>66</v>
      </c>
      <c r="Z46" s="121"/>
      <c r="AA46" s="16" t="s">
        <v>66</v>
      </c>
      <c r="AB46" s="121"/>
      <c r="AC46" s="16" t="s">
        <v>66</v>
      </c>
      <c r="AD46" s="121"/>
      <c r="AE46" s="16" t="s">
        <v>66</v>
      </c>
      <c r="AF46" s="121"/>
      <c r="AG46" s="16" t="s">
        <v>66</v>
      </c>
      <c r="AH46" s="121"/>
      <c r="AI46" s="16" t="s">
        <v>66</v>
      </c>
      <c r="AJ46" s="121"/>
      <c r="AK46" s="16" t="s">
        <v>66</v>
      </c>
      <c r="AL46" s="121"/>
      <c r="AM46" s="16" t="s">
        <v>66</v>
      </c>
      <c r="AN46" s="121"/>
      <c r="AO46" s="16" t="s">
        <v>66</v>
      </c>
    </row>
    <row r="47" spans="1:42" ht="15" customHeight="1" x14ac:dyDescent="0.25">
      <c r="A47" s="96"/>
      <c r="B47" s="122" t="s">
        <v>31</v>
      </c>
      <c r="C47" s="11"/>
      <c r="D47" s="15" t="s">
        <v>65</v>
      </c>
      <c r="E47" s="120" t="str">
        <f>IF(QUOTIENT(E12+E13,2)&lt;2,2-QUOTIENT(E12+E13,2),"")</f>
        <v/>
      </c>
      <c r="F47" s="15" t="s">
        <v>65</v>
      </c>
      <c r="G47" s="120" t="str">
        <f>IF((QUOTIENT(G12+G13,2))&lt;2,2-QUOTIENT(G12+G13,2),"")</f>
        <v/>
      </c>
      <c r="H47" s="15" t="s">
        <v>65</v>
      </c>
      <c r="I47" s="120" t="str">
        <f>IF((QUOTIENT(I12+I13,2))&lt;2,2-QUOTIENT(I12+I13,2),"")</f>
        <v/>
      </c>
      <c r="J47" s="15" t="s">
        <v>65</v>
      </c>
      <c r="K47" s="120" t="str">
        <f>IF((QUOTIENT(K12+K13,2))&lt;2,2-QUOTIENT(K12+K13,2),"")</f>
        <v/>
      </c>
      <c r="L47" s="15" t="s">
        <v>65</v>
      </c>
      <c r="M47" s="120" t="str">
        <f>IF((QUOTIENT(M12+M13,2))&lt;2,2-QUOTIENT(M12+M13,2),"")</f>
        <v/>
      </c>
      <c r="N47" s="15" t="s">
        <v>65</v>
      </c>
      <c r="O47" s="120" t="str">
        <f>IF((QUOTIENT(O12+O13,2))&lt;2,2-QUOTIENT(O12+O13,2),"")</f>
        <v/>
      </c>
      <c r="P47" s="15" t="s">
        <v>65</v>
      </c>
      <c r="Q47" s="120" t="str">
        <f>IF((QUOTIENT(Q12+Q13,2))&lt;2,2-QUOTIENT(Q12+Q13,2),"")</f>
        <v/>
      </c>
      <c r="R47" s="15" t="s">
        <v>65</v>
      </c>
      <c r="S47" s="120" t="str">
        <f>IF((QUOTIENT(S12+S13,2))&lt;2,2-QUOTIENT(S12+S13,2),"")</f>
        <v/>
      </c>
      <c r="T47" s="15" t="s">
        <v>65</v>
      </c>
      <c r="U47" s="9"/>
      <c r="V47" s="96"/>
      <c r="W47" s="122" t="s">
        <v>6</v>
      </c>
      <c r="X47" s="125"/>
      <c r="Y47" s="15" t="s">
        <v>65</v>
      </c>
      <c r="Z47" s="120" t="str">
        <f>IF((QUOTIENT(Z12+Z13,2))&lt;2,2-QUOTIENT(Z12+Z13,2),"")</f>
        <v/>
      </c>
      <c r="AA47" s="15" t="s">
        <v>65</v>
      </c>
      <c r="AB47" s="120" t="str">
        <f>IF((QUOTIENT(AB12+AB13,2))&lt;2,2-QUOTIENT(AB12+AB13,2),"")</f>
        <v/>
      </c>
      <c r="AC47" s="15" t="s">
        <v>65</v>
      </c>
      <c r="AD47" s="120" t="str">
        <f>IF((QUOTIENT(AD12+AD13,2))&lt;2,2-QUOTIENT(AD12+AD13,2),"")</f>
        <v/>
      </c>
      <c r="AE47" s="15" t="s">
        <v>65</v>
      </c>
      <c r="AF47" s="120" t="str">
        <f>IF((QUOTIENT(AF12+AF13,2))&lt;2,2-QUOTIENT(AF12+AF13,2),"")</f>
        <v/>
      </c>
      <c r="AG47" s="15" t="s">
        <v>65</v>
      </c>
      <c r="AH47" s="120" t="str">
        <f>IF((QUOTIENT(AH12+AH13,2))&lt;2,2-QUOTIENT(AH12+AH13,2),"")</f>
        <v/>
      </c>
      <c r="AI47" s="15" t="s">
        <v>65</v>
      </c>
      <c r="AJ47" s="120" t="str">
        <f>IF((QUOTIENT(AJ12+AJ13,2))&lt;2,2-QUOTIENT(AJ12+AJ13,2),"")</f>
        <v/>
      </c>
      <c r="AK47" s="15" t="s">
        <v>65</v>
      </c>
      <c r="AL47" s="120" t="str">
        <f>IF((QUOTIENT(AL12+AL13,2))&lt;2,2-QUOTIENT(AL12+AL13,2),"")</f>
        <v/>
      </c>
      <c r="AM47" s="15" t="s">
        <v>65</v>
      </c>
      <c r="AN47" s="120" t="str">
        <f>IF((QUOTIENT(AN12+AN13,2))&lt;2,2-QUOTIENT(AN12+AN13,2),"")</f>
        <v/>
      </c>
      <c r="AO47" s="15" t="s">
        <v>65</v>
      </c>
    </row>
    <row r="48" spans="1:42" ht="15" customHeight="1" x14ac:dyDescent="0.25">
      <c r="A48" s="96"/>
      <c r="B48" s="122"/>
      <c r="C48" s="13"/>
      <c r="D48" s="16" t="s">
        <v>66</v>
      </c>
      <c r="E48" s="121"/>
      <c r="F48" s="16" t="s">
        <v>66</v>
      </c>
      <c r="G48" s="121"/>
      <c r="H48" s="16" t="s">
        <v>66</v>
      </c>
      <c r="I48" s="121"/>
      <c r="J48" s="16" t="s">
        <v>66</v>
      </c>
      <c r="K48" s="121"/>
      <c r="L48" s="16" t="s">
        <v>66</v>
      </c>
      <c r="M48" s="121"/>
      <c r="N48" s="16" t="s">
        <v>66</v>
      </c>
      <c r="O48" s="121"/>
      <c r="P48" s="16" t="s">
        <v>66</v>
      </c>
      <c r="Q48" s="121"/>
      <c r="R48" s="16" t="s">
        <v>66</v>
      </c>
      <c r="S48" s="121"/>
      <c r="T48" s="16" t="s">
        <v>66</v>
      </c>
      <c r="U48" s="9"/>
      <c r="V48" s="96"/>
      <c r="W48" s="122"/>
      <c r="X48" s="126"/>
      <c r="Y48" s="16" t="s">
        <v>66</v>
      </c>
      <c r="Z48" s="121"/>
      <c r="AA48" s="16" t="s">
        <v>66</v>
      </c>
      <c r="AB48" s="121"/>
      <c r="AC48" s="16" t="s">
        <v>66</v>
      </c>
      <c r="AD48" s="121"/>
      <c r="AE48" s="16" t="s">
        <v>66</v>
      </c>
      <c r="AF48" s="121"/>
      <c r="AG48" s="16" t="s">
        <v>66</v>
      </c>
      <c r="AH48" s="121"/>
      <c r="AI48" s="16" t="s">
        <v>66</v>
      </c>
      <c r="AJ48" s="121"/>
      <c r="AK48" s="16" t="s">
        <v>66</v>
      </c>
      <c r="AL48" s="121"/>
      <c r="AM48" s="16" t="s">
        <v>66</v>
      </c>
      <c r="AN48" s="121"/>
      <c r="AO48" s="16" t="s">
        <v>66</v>
      </c>
    </row>
    <row r="49" spans="1:41" ht="15" customHeight="1" x14ac:dyDescent="0.25">
      <c r="A49" s="96"/>
      <c r="B49" s="122" t="s">
        <v>32</v>
      </c>
      <c r="C49" s="11"/>
      <c r="D49" s="15" t="s">
        <v>65</v>
      </c>
      <c r="E49" s="120" t="str">
        <f>IF(QUOTIENT(E14+E15,2)&lt;2,2-QUOTIENT(E14+E15,2),"")</f>
        <v/>
      </c>
      <c r="F49" s="15" t="s">
        <v>65</v>
      </c>
      <c r="G49" s="120" t="str">
        <f>IF((QUOTIENT(G14+G15,2))&lt;2,2-QUOTIENT(G14+G15,2),"")</f>
        <v/>
      </c>
      <c r="H49" s="15" t="s">
        <v>65</v>
      </c>
      <c r="I49" s="120" t="str">
        <f>IF((QUOTIENT(I14+I15,2))&lt;2,2-QUOTIENT(I14+I15,2),"")</f>
        <v/>
      </c>
      <c r="J49" s="15" t="s">
        <v>65</v>
      </c>
      <c r="K49" s="120" t="str">
        <f>IF((QUOTIENT(K14+K15,2))&lt;2,2-QUOTIENT(K14+K15,2),"")</f>
        <v/>
      </c>
      <c r="L49" s="15" t="s">
        <v>65</v>
      </c>
      <c r="M49" s="120" t="str">
        <f>IF((QUOTIENT(M14+M15,2))&lt;2,2-QUOTIENT(M14+M15,2),"")</f>
        <v/>
      </c>
      <c r="N49" s="15" t="s">
        <v>65</v>
      </c>
      <c r="O49" s="120" t="str">
        <f>IF((QUOTIENT(O14+O15,2))&lt;2,2-QUOTIENT(O14+O15,2),"")</f>
        <v/>
      </c>
      <c r="P49" s="15" t="s">
        <v>65</v>
      </c>
      <c r="Q49" s="120">
        <f>IF((QUOTIENT(Q14+Q15,2))&lt;2,2-QUOTIENT(Q14+Q15,2),"")</f>
        <v>1</v>
      </c>
      <c r="R49" s="15" t="s">
        <v>65</v>
      </c>
      <c r="S49" s="120" t="str">
        <f>IF((QUOTIENT(S14+S15,2))&lt;2,2-QUOTIENT(S14+S15,2),"")</f>
        <v/>
      </c>
      <c r="T49" s="15" t="s">
        <v>65</v>
      </c>
      <c r="U49" s="9"/>
      <c r="V49" s="96"/>
      <c r="W49" s="122" t="s">
        <v>7</v>
      </c>
      <c r="X49" s="125"/>
      <c r="Y49" s="15" t="s">
        <v>65</v>
      </c>
      <c r="Z49" s="120" t="str">
        <f>IF((QUOTIENT(Z14+Z15,2))&lt;2,2-QUOTIENT(Z14+Z15,2),"")</f>
        <v/>
      </c>
      <c r="AA49" s="15" t="s">
        <v>65</v>
      </c>
      <c r="AB49" s="120" t="str">
        <f>IF((QUOTIENT(AB14+AB15,2))&lt;2,2-QUOTIENT(AB14+AB15,2),"")</f>
        <v/>
      </c>
      <c r="AC49" s="15" t="s">
        <v>65</v>
      </c>
      <c r="AD49" s="120" t="str">
        <f>IF((QUOTIENT(AD14+AD15,2))&lt;2,2-QUOTIENT(AD14+AD15,2),"")</f>
        <v/>
      </c>
      <c r="AE49" s="15" t="s">
        <v>65</v>
      </c>
      <c r="AF49" s="120" t="str">
        <f>IF((QUOTIENT(AF14+AF15,2))&lt;2,2-QUOTIENT(AF14+AF15,2),"")</f>
        <v/>
      </c>
      <c r="AG49" s="15" t="s">
        <v>65</v>
      </c>
      <c r="AH49" s="120" t="str">
        <f>IF((QUOTIENT(AH14+AH15,2))&lt;2,2-QUOTIENT(AH14+AH15,2),"")</f>
        <v/>
      </c>
      <c r="AI49" s="15" t="s">
        <v>65</v>
      </c>
      <c r="AJ49" s="120" t="str">
        <f>IF((QUOTIENT(AJ14+AJ15,2))&lt;2,2-QUOTIENT(AJ14+AJ15,2),"")</f>
        <v/>
      </c>
      <c r="AK49" s="15" t="s">
        <v>65</v>
      </c>
      <c r="AL49" s="120" t="str">
        <f>IF((QUOTIENT(AL14+AL15,2))&lt;2,2-QUOTIENT(AL14+AL15,2),"")</f>
        <v/>
      </c>
      <c r="AM49" s="15" t="s">
        <v>65</v>
      </c>
      <c r="AN49" s="120" t="str">
        <f>IF((QUOTIENT(AN14+AN15,2))&lt;2,2-QUOTIENT(AN14+AN15,2),"")</f>
        <v/>
      </c>
      <c r="AO49" s="15" t="s">
        <v>65</v>
      </c>
    </row>
    <row r="50" spans="1:41" ht="15" customHeight="1" x14ac:dyDescent="0.25">
      <c r="A50" s="96"/>
      <c r="B50" s="122"/>
      <c r="C50" s="13"/>
      <c r="D50" s="16" t="s">
        <v>66</v>
      </c>
      <c r="E50" s="121"/>
      <c r="F50" s="16" t="s">
        <v>66</v>
      </c>
      <c r="G50" s="121"/>
      <c r="H50" s="16" t="s">
        <v>66</v>
      </c>
      <c r="I50" s="121"/>
      <c r="J50" s="16" t="s">
        <v>66</v>
      </c>
      <c r="K50" s="121"/>
      <c r="L50" s="16" t="s">
        <v>66</v>
      </c>
      <c r="M50" s="121"/>
      <c r="N50" s="16" t="s">
        <v>66</v>
      </c>
      <c r="O50" s="121"/>
      <c r="P50" s="16" t="s">
        <v>66</v>
      </c>
      <c r="Q50" s="121"/>
      <c r="R50" s="16" t="s">
        <v>66</v>
      </c>
      <c r="S50" s="121"/>
      <c r="T50" s="16" t="s">
        <v>66</v>
      </c>
      <c r="U50" s="9"/>
      <c r="V50" s="96"/>
      <c r="W50" s="122"/>
      <c r="X50" s="126"/>
      <c r="Y50" s="16" t="s">
        <v>66</v>
      </c>
      <c r="Z50" s="121"/>
      <c r="AA50" s="16" t="s">
        <v>66</v>
      </c>
      <c r="AB50" s="121"/>
      <c r="AC50" s="16" t="s">
        <v>66</v>
      </c>
      <c r="AD50" s="121"/>
      <c r="AE50" s="16" t="s">
        <v>66</v>
      </c>
      <c r="AF50" s="121"/>
      <c r="AG50" s="16" t="s">
        <v>66</v>
      </c>
      <c r="AH50" s="121"/>
      <c r="AI50" s="16" t="s">
        <v>66</v>
      </c>
      <c r="AJ50" s="121"/>
      <c r="AK50" s="16" t="s">
        <v>66</v>
      </c>
      <c r="AL50" s="121"/>
      <c r="AM50" s="16" t="s">
        <v>66</v>
      </c>
      <c r="AN50" s="121"/>
      <c r="AO50" s="16" t="s">
        <v>66</v>
      </c>
    </row>
    <row r="51" spans="1:41" ht="15" customHeight="1" x14ac:dyDescent="0.25">
      <c r="A51" s="96"/>
      <c r="B51" s="122" t="s">
        <v>33</v>
      </c>
      <c r="C51" s="11"/>
      <c r="D51" s="15" t="s">
        <v>65</v>
      </c>
      <c r="E51" s="120" t="str">
        <f>IF(QUOTIENT(E16+E17,2)&lt;2,2-QUOTIENT(E16+E17,2),"")</f>
        <v/>
      </c>
      <c r="F51" s="15" t="s">
        <v>65</v>
      </c>
      <c r="G51" s="120" t="str">
        <f>IF((QUOTIENT(G16+G17,2))&lt;2,2-QUOTIENT(G16+G17,2),"")</f>
        <v/>
      </c>
      <c r="H51" s="15" t="s">
        <v>65</v>
      </c>
      <c r="I51" s="120" t="str">
        <f>IF((QUOTIENT(I16+I17,2))&lt;2,2-QUOTIENT(I16+I17,2),"")</f>
        <v/>
      </c>
      <c r="J51" s="15" t="s">
        <v>65</v>
      </c>
      <c r="K51" s="120" t="str">
        <f>IF((QUOTIENT(K16+K17,2))&lt;2,2-QUOTIENT(K16+K17,2),"")</f>
        <v/>
      </c>
      <c r="L51" s="15" t="s">
        <v>65</v>
      </c>
      <c r="M51" s="120" t="str">
        <f>IF((QUOTIENT(M16+M17,2))&lt;2,2-QUOTIENT(M16+M17,2),"")</f>
        <v/>
      </c>
      <c r="N51" s="15" t="s">
        <v>65</v>
      </c>
      <c r="O51" s="120" t="str">
        <f>IF((QUOTIENT(O16+O17,2))&lt;2,2-QUOTIENT(O16+O17,2),"")</f>
        <v/>
      </c>
      <c r="P51" s="15" t="s">
        <v>65</v>
      </c>
      <c r="Q51" s="120">
        <f>IF((QUOTIENT(Q16+Q17,2))&lt;2,2-QUOTIENT(Q16+Q17,2),"")</f>
        <v>1</v>
      </c>
      <c r="R51" s="15" t="s">
        <v>65</v>
      </c>
      <c r="S51" s="120" t="str">
        <f>IF((QUOTIENT(S16+S17,2))&lt;2,2-QUOTIENT(S16+S17,2),"")</f>
        <v/>
      </c>
      <c r="T51" s="15" t="s">
        <v>65</v>
      </c>
      <c r="U51" s="9"/>
      <c r="V51" s="96"/>
      <c r="W51" s="122" t="s">
        <v>8</v>
      </c>
      <c r="X51" s="125"/>
      <c r="Y51" s="15" t="s">
        <v>65</v>
      </c>
      <c r="Z51" s="120" t="str">
        <f>IF((QUOTIENT(Z16+Z17,2))&lt;2,2-QUOTIENT(Z16+Z17,2),"")</f>
        <v/>
      </c>
      <c r="AA51" s="15" t="s">
        <v>65</v>
      </c>
      <c r="AB51" s="120" t="str">
        <f>IF((QUOTIENT(AB16+AB17,2))&lt;2,2-QUOTIENT(AB16+AB17,2),"")</f>
        <v/>
      </c>
      <c r="AC51" s="15" t="s">
        <v>65</v>
      </c>
      <c r="AD51" s="120" t="str">
        <f>IF((QUOTIENT(AD16+AD17,2))&lt;2,2-QUOTIENT(AD16+AD17,2),"")</f>
        <v/>
      </c>
      <c r="AE51" s="15" t="s">
        <v>65</v>
      </c>
      <c r="AF51" s="120" t="str">
        <f>IF((QUOTIENT(AF16+AF17,2))&lt;2,2-QUOTIENT(AF16+AF17,2),"")</f>
        <v/>
      </c>
      <c r="AG51" s="15" t="s">
        <v>65</v>
      </c>
      <c r="AH51" s="120" t="str">
        <f>IF((QUOTIENT(AH16+AH17,2))&lt;2,2-QUOTIENT(AH16+AH17,2),"")</f>
        <v/>
      </c>
      <c r="AI51" s="15" t="s">
        <v>65</v>
      </c>
      <c r="AJ51" s="120" t="str">
        <f>IF((QUOTIENT(AJ16+AJ17,2))&lt;2,2-QUOTIENT(AJ16+AJ17,2),"")</f>
        <v/>
      </c>
      <c r="AK51" s="15" t="s">
        <v>65</v>
      </c>
      <c r="AL51" s="120" t="str">
        <f>IF((QUOTIENT(AL16+AL17,2))&lt;2,2-QUOTIENT(AL16+AL17,2),"")</f>
        <v/>
      </c>
      <c r="AM51" s="15" t="s">
        <v>65</v>
      </c>
      <c r="AN51" s="120" t="str">
        <f>IF((QUOTIENT(AN16+AN17,2))&lt;2,2-QUOTIENT(AN16+AN17,2),"")</f>
        <v/>
      </c>
      <c r="AO51" s="15" t="s">
        <v>65</v>
      </c>
    </row>
    <row r="52" spans="1:41" ht="15" customHeight="1" x14ac:dyDescent="0.25">
      <c r="A52" s="96"/>
      <c r="B52" s="122"/>
      <c r="C52" s="13"/>
      <c r="D52" s="16" t="s">
        <v>66</v>
      </c>
      <c r="E52" s="121"/>
      <c r="F52" s="16" t="s">
        <v>66</v>
      </c>
      <c r="G52" s="121"/>
      <c r="H52" s="16" t="s">
        <v>66</v>
      </c>
      <c r="I52" s="121"/>
      <c r="J52" s="16" t="s">
        <v>66</v>
      </c>
      <c r="K52" s="121"/>
      <c r="L52" s="16" t="s">
        <v>66</v>
      </c>
      <c r="M52" s="121"/>
      <c r="N52" s="16" t="s">
        <v>66</v>
      </c>
      <c r="O52" s="121"/>
      <c r="P52" s="16" t="s">
        <v>66</v>
      </c>
      <c r="Q52" s="121"/>
      <c r="R52" s="16" t="s">
        <v>66</v>
      </c>
      <c r="S52" s="121"/>
      <c r="T52" s="16" t="s">
        <v>66</v>
      </c>
      <c r="U52" s="9"/>
      <c r="V52" s="96"/>
      <c r="W52" s="122"/>
      <c r="X52" s="126"/>
      <c r="Y52" s="16" t="s">
        <v>66</v>
      </c>
      <c r="Z52" s="121"/>
      <c r="AA52" s="16" t="s">
        <v>66</v>
      </c>
      <c r="AB52" s="121"/>
      <c r="AC52" s="16" t="s">
        <v>66</v>
      </c>
      <c r="AD52" s="121"/>
      <c r="AE52" s="16" t="s">
        <v>66</v>
      </c>
      <c r="AF52" s="121"/>
      <c r="AG52" s="16" t="s">
        <v>66</v>
      </c>
      <c r="AH52" s="121"/>
      <c r="AI52" s="16" t="s">
        <v>66</v>
      </c>
      <c r="AJ52" s="121"/>
      <c r="AK52" s="16" t="s">
        <v>66</v>
      </c>
      <c r="AL52" s="121"/>
      <c r="AM52" s="16" t="s">
        <v>66</v>
      </c>
      <c r="AN52" s="121"/>
      <c r="AO52" s="16" t="s">
        <v>66</v>
      </c>
    </row>
    <row r="53" spans="1:41" ht="15" customHeight="1" x14ac:dyDescent="0.25">
      <c r="A53" s="96"/>
      <c r="B53" s="122" t="s">
        <v>34</v>
      </c>
      <c r="C53" s="11"/>
      <c r="D53" s="15" t="s">
        <v>65</v>
      </c>
      <c r="E53" s="120" t="str">
        <f>IF(QUOTIENT(E18+E19,2)&lt;2,2-QUOTIENT(E18+E19,2),"")</f>
        <v/>
      </c>
      <c r="F53" s="15" t="s">
        <v>65</v>
      </c>
      <c r="G53" s="120" t="str">
        <f>IF((QUOTIENT(G18+G19,2))&lt;2,2-QUOTIENT(G18+G19,2),"")</f>
        <v/>
      </c>
      <c r="H53" s="15" t="s">
        <v>65</v>
      </c>
      <c r="I53" s="120" t="str">
        <f>IF((QUOTIENT(I18+I19,2))&lt;2,2-QUOTIENT(I18+I19,2),"")</f>
        <v/>
      </c>
      <c r="J53" s="15" t="s">
        <v>65</v>
      </c>
      <c r="K53" s="120" t="str">
        <f>IF((QUOTIENT(K18+K19,2))&lt;2,2-QUOTIENT(K18+K19,2),"")</f>
        <v/>
      </c>
      <c r="L53" s="15" t="s">
        <v>65</v>
      </c>
      <c r="M53" s="120" t="str">
        <f>IF((QUOTIENT(M18+M19,2))&lt;2,2-QUOTIENT(M18+M19,2),"")</f>
        <v/>
      </c>
      <c r="N53" s="15" t="s">
        <v>65</v>
      </c>
      <c r="O53" s="120" t="str">
        <f>IF((QUOTIENT(O18+O19,2))&lt;2,2-QUOTIENT(O18+O19,2),"")</f>
        <v/>
      </c>
      <c r="P53" s="15" t="s">
        <v>65</v>
      </c>
      <c r="Q53" s="120">
        <f>IF((QUOTIENT(Q18+Q19,2))&lt;2,2-QUOTIENT(Q18+Q19,2),"")</f>
        <v>2</v>
      </c>
      <c r="R53" s="15" t="s">
        <v>65</v>
      </c>
      <c r="S53" s="120" t="str">
        <f>IF((QUOTIENT(S18+S19,2))&lt;2,2-QUOTIENT(S18+S19,2),"")</f>
        <v/>
      </c>
      <c r="T53" s="15" t="s">
        <v>65</v>
      </c>
      <c r="U53" s="9"/>
      <c r="V53" s="96"/>
      <c r="W53" s="122" t="s">
        <v>9</v>
      </c>
      <c r="X53" s="125"/>
      <c r="Y53" s="15" t="s">
        <v>65</v>
      </c>
      <c r="Z53" s="120" t="str">
        <f>IF((QUOTIENT(Z18+Z19,2))&lt;2,2-QUOTIENT(Z18+Z19,2),"")</f>
        <v/>
      </c>
      <c r="AA53" s="15" t="s">
        <v>65</v>
      </c>
      <c r="AB53" s="120" t="str">
        <f>IF((QUOTIENT(AB18+AB19,2))&lt;2,2-QUOTIENT(AB18+AB19,2),"")</f>
        <v/>
      </c>
      <c r="AC53" s="15" t="s">
        <v>65</v>
      </c>
      <c r="AD53" s="120" t="str">
        <f>IF((QUOTIENT(AD18+AD19,2))&lt;2,2-QUOTIENT(AD18+AD19,2),"")</f>
        <v/>
      </c>
      <c r="AE53" s="15" t="s">
        <v>65</v>
      </c>
      <c r="AF53" s="120" t="str">
        <f>IF((QUOTIENT(AF18+AF19,2))&lt;2,2-QUOTIENT(AF18+AF19,2),"")</f>
        <v/>
      </c>
      <c r="AG53" s="15" t="s">
        <v>65</v>
      </c>
      <c r="AH53" s="120" t="str">
        <f>IF((QUOTIENT(AH18+AH19,2))&lt;2,2-QUOTIENT(AH18+AH19,2),"")</f>
        <v/>
      </c>
      <c r="AI53" s="15" t="s">
        <v>65</v>
      </c>
      <c r="AJ53" s="120" t="str">
        <f>IF((QUOTIENT(AJ18+AJ19,2))&lt;2,2-QUOTIENT(AJ18+AJ19,2),"")</f>
        <v/>
      </c>
      <c r="AK53" s="15" t="s">
        <v>65</v>
      </c>
      <c r="AL53" s="120" t="str">
        <f>IF((QUOTIENT(AL18+AL19,2))&lt;2,2-QUOTIENT(AL18+AL19,2),"")</f>
        <v/>
      </c>
      <c r="AM53" s="15" t="s">
        <v>65</v>
      </c>
      <c r="AN53" s="120" t="str">
        <f>IF((QUOTIENT(AN18+AN19,2))&lt;2,2-QUOTIENT(AN18+AN19,2),"")</f>
        <v/>
      </c>
      <c r="AO53" s="15" t="s">
        <v>65</v>
      </c>
    </row>
    <row r="54" spans="1:41" ht="15" customHeight="1" x14ac:dyDescent="0.25">
      <c r="A54" s="96"/>
      <c r="B54" s="122"/>
      <c r="C54" s="13"/>
      <c r="D54" s="16" t="s">
        <v>66</v>
      </c>
      <c r="E54" s="121"/>
      <c r="F54" s="16" t="s">
        <v>66</v>
      </c>
      <c r="G54" s="121"/>
      <c r="H54" s="16" t="s">
        <v>66</v>
      </c>
      <c r="I54" s="121"/>
      <c r="J54" s="16" t="s">
        <v>66</v>
      </c>
      <c r="K54" s="121"/>
      <c r="L54" s="16" t="s">
        <v>66</v>
      </c>
      <c r="M54" s="121"/>
      <c r="N54" s="16" t="s">
        <v>66</v>
      </c>
      <c r="O54" s="121"/>
      <c r="P54" s="16" t="s">
        <v>66</v>
      </c>
      <c r="Q54" s="121"/>
      <c r="R54" s="16" t="s">
        <v>66</v>
      </c>
      <c r="S54" s="121"/>
      <c r="T54" s="16" t="s">
        <v>66</v>
      </c>
      <c r="U54" s="9"/>
      <c r="V54" s="96"/>
      <c r="W54" s="122"/>
      <c r="X54" s="126"/>
      <c r="Y54" s="16" t="s">
        <v>66</v>
      </c>
      <c r="Z54" s="121"/>
      <c r="AA54" s="16" t="s">
        <v>66</v>
      </c>
      <c r="AB54" s="121"/>
      <c r="AC54" s="16" t="s">
        <v>66</v>
      </c>
      <c r="AD54" s="121"/>
      <c r="AE54" s="16" t="s">
        <v>66</v>
      </c>
      <c r="AF54" s="121"/>
      <c r="AG54" s="16" t="s">
        <v>66</v>
      </c>
      <c r="AH54" s="121"/>
      <c r="AI54" s="16" t="s">
        <v>66</v>
      </c>
      <c r="AJ54" s="121"/>
      <c r="AK54" s="16" t="s">
        <v>66</v>
      </c>
      <c r="AL54" s="121"/>
      <c r="AM54" s="16" t="s">
        <v>66</v>
      </c>
      <c r="AN54" s="121"/>
      <c r="AO54" s="16" t="s">
        <v>66</v>
      </c>
    </row>
    <row r="55" spans="1:41" ht="15" customHeight="1" x14ac:dyDescent="0.25">
      <c r="A55" s="96"/>
      <c r="B55" s="122" t="s">
        <v>35</v>
      </c>
      <c r="C55" s="11"/>
      <c r="D55" s="15" t="s">
        <v>65</v>
      </c>
      <c r="E55" s="120" t="str">
        <f>IF(QUOTIENT(E20+E21,2)&lt;2,2-QUOTIENT(E20+E21,2),"")</f>
        <v/>
      </c>
      <c r="F55" s="15" t="s">
        <v>65</v>
      </c>
      <c r="G55" s="120" t="str">
        <f>IF((QUOTIENT(G20+G21,2))&lt;2,2-QUOTIENT(G20+G21,2),"")</f>
        <v/>
      </c>
      <c r="H55" s="15" t="s">
        <v>65</v>
      </c>
      <c r="I55" s="120" t="str">
        <f>IF((QUOTIENT(I20+I21,2))&lt;2,2-QUOTIENT(I20+I21,2),"")</f>
        <v/>
      </c>
      <c r="J55" s="15" t="s">
        <v>65</v>
      </c>
      <c r="K55" s="120" t="str">
        <f>IF((QUOTIENT(K20+K21,2))&lt;2,2-QUOTIENT(K20+K21,2),"")</f>
        <v/>
      </c>
      <c r="L55" s="15" t="s">
        <v>65</v>
      </c>
      <c r="M55" s="120" t="str">
        <f>IF((QUOTIENT(M20+M21,2))&lt;2,2-QUOTIENT(M20+M21,2),"")</f>
        <v/>
      </c>
      <c r="N55" s="15" t="s">
        <v>65</v>
      </c>
      <c r="O55" s="120" t="str">
        <f>IF((QUOTIENT(O20+O21,2))&lt;2,2-QUOTIENT(O20+O21,2),"")</f>
        <v/>
      </c>
      <c r="P55" s="15" t="s">
        <v>65</v>
      </c>
      <c r="Q55" s="120" t="str">
        <f>IF((QUOTIENT(Q20+Q21,2))&lt;2,2-QUOTIENT(Q20+Q21,2),"")</f>
        <v/>
      </c>
      <c r="R55" s="15" t="s">
        <v>65</v>
      </c>
      <c r="S55" s="120" t="str">
        <f>IF((QUOTIENT(S20+S21,2))&lt;2,2-QUOTIENT(S20+S21,2),"")</f>
        <v/>
      </c>
      <c r="T55" s="15" t="s">
        <v>65</v>
      </c>
      <c r="U55" s="9"/>
      <c r="V55" s="96"/>
      <c r="W55" s="122" t="s">
        <v>10</v>
      </c>
      <c r="X55" s="125"/>
      <c r="Y55" s="15" t="s">
        <v>65</v>
      </c>
      <c r="Z55" s="120" t="str">
        <f>IF((QUOTIENT(Z20+Z21,2))&lt;2,2-QUOTIENT(Z20+Z21,2),"")</f>
        <v/>
      </c>
      <c r="AA55" s="15" t="s">
        <v>65</v>
      </c>
      <c r="AB55" s="120" t="str">
        <f>IF((QUOTIENT(AB20+AB21,2))&lt;2,2-QUOTIENT(AB20+AB21,2),"")</f>
        <v/>
      </c>
      <c r="AC55" s="15" t="s">
        <v>65</v>
      </c>
      <c r="AD55" s="120" t="str">
        <f>IF((QUOTIENT(AD20+AD21,2))&lt;2,2-QUOTIENT(AD20+AD21,2),"")</f>
        <v/>
      </c>
      <c r="AE55" s="15" t="s">
        <v>65</v>
      </c>
      <c r="AF55" s="120" t="str">
        <f>IF((QUOTIENT(AF20+AF21,2))&lt;2,2-QUOTIENT(AF20+AF21,2),"")</f>
        <v/>
      </c>
      <c r="AG55" s="15" t="s">
        <v>65</v>
      </c>
      <c r="AH55" s="120" t="str">
        <f>IF((QUOTIENT(AH20+AH21,2))&lt;2,2-QUOTIENT(AH20+AH21,2),"")</f>
        <v/>
      </c>
      <c r="AI55" s="15" t="s">
        <v>65</v>
      </c>
      <c r="AJ55" s="120" t="str">
        <f>IF((QUOTIENT(AJ20+AJ21,2))&lt;2,2-QUOTIENT(AJ20+AJ21,2),"")</f>
        <v/>
      </c>
      <c r="AK55" s="15" t="s">
        <v>65</v>
      </c>
      <c r="AL55" s="120" t="str">
        <f>IF((QUOTIENT(AL20+AL21,2))&lt;2,2-QUOTIENT(AL20+AL21,2),"")</f>
        <v/>
      </c>
      <c r="AM55" s="15" t="s">
        <v>65</v>
      </c>
      <c r="AN55" s="120" t="str">
        <f>IF((QUOTIENT(AN20+AN21,2))&lt;2,2-QUOTIENT(AN20+AN21,2),"")</f>
        <v/>
      </c>
      <c r="AO55" s="15" t="s">
        <v>65</v>
      </c>
    </row>
    <row r="56" spans="1:41" ht="15" customHeight="1" x14ac:dyDescent="0.25">
      <c r="A56" s="96"/>
      <c r="B56" s="122"/>
      <c r="C56" s="13"/>
      <c r="D56" s="16" t="s">
        <v>66</v>
      </c>
      <c r="E56" s="121"/>
      <c r="F56" s="16" t="s">
        <v>66</v>
      </c>
      <c r="G56" s="121"/>
      <c r="H56" s="16" t="s">
        <v>66</v>
      </c>
      <c r="I56" s="121"/>
      <c r="J56" s="16" t="s">
        <v>66</v>
      </c>
      <c r="K56" s="121"/>
      <c r="L56" s="16" t="s">
        <v>66</v>
      </c>
      <c r="M56" s="121"/>
      <c r="N56" s="16" t="s">
        <v>66</v>
      </c>
      <c r="O56" s="121"/>
      <c r="P56" s="16" t="s">
        <v>66</v>
      </c>
      <c r="Q56" s="121"/>
      <c r="R56" s="16" t="s">
        <v>66</v>
      </c>
      <c r="S56" s="121"/>
      <c r="T56" s="16" t="s">
        <v>66</v>
      </c>
      <c r="U56" s="9"/>
      <c r="V56" s="96"/>
      <c r="W56" s="122"/>
      <c r="X56" s="126"/>
      <c r="Y56" s="16" t="s">
        <v>66</v>
      </c>
      <c r="Z56" s="121"/>
      <c r="AA56" s="16" t="s">
        <v>66</v>
      </c>
      <c r="AB56" s="121"/>
      <c r="AC56" s="16" t="s">
        <v>66</v>
      </c>
      <c r="AD56" s="121"/>
      <c r="AE56" s="16" t="s">
        <v>66</v>
      </c>
      <c r="AF56" s="121"/>
      <c r="AG56" s="16" t="s">
        <v>66</v>
      </c>
      <c r="AH56" s="121"/>
      <c r="AI56" s="16" t="s">
        <v>66</v>
      </c>
      <c r="AJ56" s="121"/>
      <c r="AK56" s="16" t="s">
        <v>66</v>
      </c>
      <c r="AL56" s="121"/>
      <c r="AM56" s="16" t="s">
        <v>66</v>
      </c>
      <c r="AN56" s="121"/>
      <c r="AO56" s="16" t="s">
        <v>66</v>
      </c>
    </row>
    <row r="57" spans="1:41" ht="15" customHeight="1" x14ac:dyDescent="0.25">
      <c r="A57" s="96"/>
      <c r="B57" s="122" t="s">
        <v>36</v>
      </c>
      <c r="C57" s="11"/>
      <c r="D57" s="15" t="s">
        <v>65</v>
      </c>
      <c r="E57" s="120" t="str">
        <f>IF(QUOTIENT(E22+E23,2)&lt;2,2-QUOTIENT(E22+E23,2),"")</f>
        <v/>
      </c>
      <c r="F57" s="15" t="s">
        <v>65</v>
      </c>
      <c r="G57" s="120" t="str">
        <f>IF((QUOTIENT(G22+G23,2))&lt;2,2-QUOTIENT(G22+G23,2),"")</f>
        <v/>
      </c>
      <c r="H57" s="15" t="s">
        <v>65</v>
      </c>
      <c r="I57" s="120" t="str">
        <f>IF((QUOTIENT(I22+I23,2))&lt;2,2-QUOTIENT(I22+I23,2),"")</f>
        <v/>
      </c>
      <c r="J57" s="15" t="s">
        <v>65</v>
      </c>
      <c r="K57" s="120" t="str">
        <f>IF((QUOTIENT(K22+K23,2))&lt;2,2-QUOTIENT(K22+K23,2),"")</f>
        <v/>
      </c>
      <c r="L57" s="15" t="s">
        <v>65</v>
      </c>
      <c r="M57" s="120" t="str">
        <f>IF((QUOTIENT(M22+M23,2))&lt;2,2-QUOTIENT(M22+M23,2),"")</f>
        <v/>
      </c>
      <c r="N57" s="15" t="s">
        <v>65</v>
      </c>
      <c r="O57" s="120" t="str">
        <f>IF((QUOTIENT(O22+O23,2))&lt;2,2-QUOTIENT(O22+O23,2),"")</f>
        <v/>
      </c>
      <c r="P57" s="15" t="s">
        <v>65</v>
      </c>
      <c r="Q57" s="120" t="str">
        <f>IF((QUOTIENT(Q22+Q23,2))&lt;2,2-QUOTIENT(Q22+Q23,2),"")</f>
        <v/>
      </c>
      <c r="R57" s="15" t="s">
        <v>65</v>
      </c>
      <c r="S57" s="120" t="str">
        <f>IF((QUOTIENT(S22+S23,2))&lt;2,2-QUOTIENT(S22+S23,2),"")</f>
        <v/>
      </c>
      <c r="T57" s="15" t="s">
        <v>65</v>
      </c>
      <c r="U57" s="9"/>
      <c r="V57" s="96"/>
      <c r="W57" s="9"/>
      <c r="X57" s="9"/>
      <c r="Y57" s="9"/>
      <c r="Z57" s="9"/>
      <c r="AA57" s="9"/>
      <c r="AB57" s="9"/>
      <c r="AC57" s="9"/>
      <c r="AD57" s="9"/>
      <c r="AE57" s="9"/>
      <c r="AF57" s="9"/>
      <c r="AG57" s="9"/>
      <c r="AH57" s="9"/>
      <c r="AI57" s="9"/>
      <c r="AJ57" s="9"/>
      <c r="AK57" s="9"/>
      <c r="AL57" s="9"/>
      <c r="AM57" s="9"/>
      <c r="AN57" s="9"/>
      <c r="AO57" s="9"/>
    </row>
    <row r="58" spans="1:41" ht="15" customHeight="1" x14ac:dyDescent="0.25">
      <c r="A58" s="96"/>
      <c r="B58" s="122"/>
      <c r="C58" s="13"/>
      <c r="D58" s="16" t="s">
        <v>66</v>
      </c>
      <c r="E58" s="121"/>
      <c r="F58" s="16" t="s">
        <v>66</v>
      </c>
      <c r="G58" s="121"/>
      <c r="H58" s="16" t="s">
        <v>66</v>
      </c>
      <c r="I58" s="121"/>
      <c r="J58" s="16" t="s">
        <v>66</v>
      </c>
      <c r="K58" s="121"/>
      <c r="L58" s="16" t="s">
        <v>66</v>
      </c>
      <c r="M58" s="121"/>
      <c r="N58" s="16" t="s">
        <v>66</v>
      </c>
      <c r="O58" s="121"/>
      <c r="P58" s="16" t="s">
        <v>66</v>
      </c>
      <c r="Q58" s="121"/>
      <c r="R58" s="16" t="s">
        <v>66</v>
      </c>
      <c r="S58" s="121"/>
      <c r="T58" s="16" t="s">
        <v>66</v>
      </c>
      <c r="U58" s="9"/>
      <c r="V58" s="96"/>
      <c r="W58" s="9"/>
      <c r="X58" s="9"/>
      <c r="Y58" s="9"/>
      <c r="Z58" s="9"/>
      <c r="AA58" s="9"/>
      <c r="AB58" s="9"/>
      <c r="AC58" s="9"/>
      <c r="AD58" s="9"/>
      <c r="AE58" s="9"/>
      <c r="AF58" s="9"/>
      <c r="AG58" s="9"/>
      <c r="AH58" s="9"/>
      <c r="AI58" s="9"/>
      <c r="AJ58" s="9"/>
      <c r="AK58" s="9"/>
      <c r="AL58" s="9"/>
      <c r="AM58" s="9"/>
      <c r="AN58" s="9"/>
      <c r="AO58" s="9"/>
    </row>
    <row r="59" spans="1:41" ht="15" customHeight="1" x14ac:dyDescent="0.25">
      <c r="A59" s="96"/>
      <c r="B59" s="122" t="s">
        <v>37</v>
      </c>
      <c r="C59" s="11"/>
      <c r="D59" s="15" t="s">
        <v>65</v>
      </c>
      <c r="E59" s="120" t="str">
        <f>IF(QUOTIENT(E24+E25,2)&lt;2,2-QUOTIENT(E24+E25,2),"")</f>
        <v/>
      </c>
      <c r="F59" s="15" t="s">
        <v>65</v>
      </c>
      <c r="G59" s="120" t="str">
        <f>IF((QUOTIENT(G24+G25,2))&lt;2,2-QUOTIENT(G24+G25,2),"")</f>
        <v/>
      </c>
      <c r="H59" s="15" t="s">
        <v>65</v>
      </c>
      <c r="I59" s="120" t="str">
        <f>IF((QUOTIENT(I24+I25,2))&lt;2,2-QUOTIENT(I24+I25,2),"")</f>
        <v/>
      </c>
      <c r="J59" s="15" t="s">
        <v>65</v>
      </c>
      <c r="K59" s="120" t="str">
        <f>IF((QUOTIENT(K24+K25,2))&lt;2,2-QUOTIENT(K24+K25,2),"")</f>
        <v/>
      </c>
      <c r="L59" s="15" t="s">
        <v>65</v>
      </c>
      <c r="M59" s="120" t="str">
        <f>IF((QUOTIENT(M24+M25,2))&lt;2,2-QUOTIENT(M24+M25,2),"")</f>
        <v/>
      </c>
      <c r="N59" s="15" t="s">
        <v>65</v>
      </c>
      <c r="O59" s="120" t="str">
        <f>IF((QUOTIENT(O24+O25,2))&lt;2,2-QUOTIENT(O24+O25,2),"")</f>
        <v/>
      </c>
      <c r="P59" s="15" t="s">
        <v>65</v>
      </c>
      <c r="Q59" s="120" t="str">
        <f>IF((QUOTIENT(Q24+Q25,2))&lt;2,2-QUOTIENT(Q24+Q25,2),"")</f>
        <v/>
      </c>
      <c r="R59" s="15" t="s">
        <v>65</v>
      </c>
      <c r="S59" s="120" t="str">
        <f>IF((QUOTIENT(S24+S25,2))&lt;2,2-QUOTIENT(S24+S25,2),"")</f>
        <v/>
      </c>
      <c r="T59" s="15" t="s">
        <v>65</v>
      </c>
      <c r="U59" s="9"/>
      <c r="V59" s="96"/>
    </row>
    <row r="60" spans="1:41" ht="15" customHeight="1" x14ac:dyDescent="0.25">
      <c r="A60" s="96"/>
      <c r="B60" s="122"/>
      <c r="C60" s="13"/>
      <c r="D60" s="16" t="s">
        <v>66</v>
      </c>
      <c r="E60" s="121"/>
      <c r="F60" s="16" t="s">
        <v>66</v>
      </c>
      <c r="G60" s="121"/>
      <c r="H60" s="16" t="s">
        <v>66</v>
      </c>
      <c r="I60" s="121"/>
      <c r="J60" s="16" t="s">
        <v>66</v>
      </c>
      <c r="K60" s="121"/>
      <c r="L60" s="16" t="s">
        <v>66</v>
      </c>
      <c r="M60" s="121"/>
      <c r="N60" s="16" t="s">
        <v>66</v>
      </c>
      <c r="O60" s="121"/>
      <c r="P60" s="16" t="s">
        <v>66</v>
      </c>
      <c r="Q60" s="121"/>
      <c r="R60" s="16" t="s">
        <v>66</v>
      </c>
      <c r="S60" s="121"/>
      <c r="T60" s="16" t="s">
        <v>66</v>
      </c>
      <c r="U60" s="9"/>
      <c r="V60" s="96"/>
    </row>
    <row r="61" spans="1:41" ht="15" customHeight="1" x14ac:dyDescent="0.25">
      <c r="A61" s="96"/>
      <c r="B61" s="122" t="s">
        <v>54</v>
      </c>
      <c r="C61" s="11"/>
      <c r="D61" s="15" t="s">
        <v>65</v>
      </c>
      <c r="E61" s="120" t="str">
        <f>IF(QUOTIENT(E26+E27,2)&lt;2,2-QUOTIENT(E26+E27,2),"")</f>
        <v/>
      </c>
      <c r="F61" s="15" t="s">
        <v>65</v>
      </c>
      <c r="G61" s="120" t="str">
        <f>IF((QUOTIENT(G26+G27,2))&lt;2,2-QUOTIENT(G26+G27,2),"")</f>
        <v/>
      </c>
      <c r="H61" s="15" t="s">
        <v>65</v>
      </c>
      <c r="I61" s="120" t="str">
        <f>IF((QUOTIENT(I26+I27,2))&lt;2,2-QUOTIENT(I26+I27,2),"")</f>
        <v/>
      </c>
      <c r="J61" s="15" t="s">
        <v>65</v>
      </c>
      <c r="K61" s="120" t="str">
        <f>IF((QUOTIENT(K26+K27,2))&lt;2,2-QUOTIENT(K26+K27,2),"")</f>
        <v/>
      </c>
      <c r="L61" s="15" t="s">
        <v>65</v>
      </c>
      <c r="M61" s="120">
        <f>IF((QUOTIENT(M26+M27,2))&lt;2,2-QUOTIENT(M26+M27,2),"")</f>
        <v>1</v>
      </c>
      <c r="N61" s="15" t="s">
        <v>65</v>
      </c>
      <c r="O61" s="120" t="str">
        <f>IF((QUOTIENT(O26+O27,2))&lt;2,2-QUOTIENT(O26+O27,2),"")</f>
        <v/>
      </c>
      <c r="P61" s="15" t="s">
        <v>65</v>
      </c>
      <c r="Q61" s="120" t="str">
        <f>IF((QUOTIENT(Q26+Q27,2))&lt;2,2-QUOTIENT(Q26+Q27,2),"")</f>
        <v/>
      </c>
      <c r="R61" s="15" t="s">
        <v>65</v>
      </c>
      <c r="S61" s="120" t="str">
        <f>IF((QUOTIENT(S26+S27,2))&lt;2,2-QUOTIENT(S26+S27,2),"")</f>
        <v/>
      </c>
      <c r="T61" s="15" t="s">
        <v>65</v>
      </c>
      <c r="U61" s="9"/>
      <c r="V61" s="96"/>
    </row>
    <row r="62" spans="1:41" ht="15" customHeight="1" x14ac:dyDescent="0.25">
      <c r="A62" s="96"/>
      <c r="B62" s="122"/>
      <c r="C62" s="13"/>
      <c r="D62" s="16" t="s">
        <v>66</v>
      </c>
      <c r="E62" s="121"/>
      <c r="F62" s="16" t="s">
        <v>66</v>
      </c>
      <c r="G62" s="121"/>
      <c r="H62" s="16" t="s">
        <v>66</v>
      </c>
      <c r="I62" s="121"/>
      <c r="J62" s="16" t="s">
        <v>66</v>
      </c>
      <c r="K62" s="121"/>
      <c r="L62" s="16" t="s">
        <v>66</v>
      </c>
      <c r="M62" s="121"/>
      <c r="N62" s="16" t="s">
        <v>66</v>
      </c>
      <c r="O62" s="121"/>
      <c r="P62" s="16" t="s">
        <v>66</v>
      </c>
      <c r="Q62" s="121"/>
      <c r="R62" s="16" t="s">
        <v>66</v>
      </c>
      <c r="S62" s="121"/>
      <c r="T62" s="16" t="s">
        <v>66</v>
      </c>
      <c r="U62" s="9"/>
      <c r="V62" s="96"/>
    </row>
    <row r="63" spans="1:41" ht="15" customHeight="1" x14ac:dyDescent="0.25">
      <c r="A63" s="96"/>
      <c r="B63" s="122" t="s">
        <v>55</v>
      </c>
      <c r="C63" s="11"/>
      <c r="D63" s="15" t="s">
        <v>65</v>
      </c>
      <c r="E63" s="120" t="str">
        <f>IF(QUOTIENT(E28+E29,2)&lt;2,2-QUOTIENT(E28+E29,2),"")</f>
        <v/>
      </c>
      <c r="F63" s="15" t="s">
        <v>65</v>
      </c>
      <c r="G63" s="120" t="str">
        <f>IF((QUOTIENT(G28+G29,2))&lt;2,2-QUOTIENT(G28+G29,2),"")</f>
        <v/>
      </c>
      <c r="H63" s="15" t="s">
        <v>65</v>
      </c>
      <c r="I63" s="120" t="str">
        <f>IF((QUOTIENT(I28+I29,2))&lt;2,2-QUOTIENT(I28+I29,2),"")</f>
        <v/>
      </c>
      <c r="J63" s="15" t="s">
        <v>65</v>
      </c>
      <c r="K63" s="120" t="str">
        <f>IF((QUOTIENT(K28+K29,2))&lt;2,2-QUOTIENT(K28+K29,2),"")</f>
        <v/>
      </c>
      <c r="L63" s="15" t="s">
        <v>65</v>
      </c>
      <c r="M63" s="120" t="str">
        <f>IF((QUOTIENT(M28+M29,2))&lt;2,2-QUOTIENT(M28+M29,2),"")</f>
        <v/>
      </c>
      <c r="N63" s="15" t="s">
        <v>65</v>
      </c>
      <c r="O63" s="120" t="str">
        <f>IF((QUOTIENT(O28+O29,2))&lt;2,2-QUOTIENT(O28+O29,2),"")</f>
        <v/>
      </c>
      <c r="P63" s="15" t="s">
        <v>65</v>
      </c>
      <c r="Q63" s="120" t="str">
        <f>IF((QUOTIENT(Q28+Q29,2))&lt;2,2-QUOTIENT(Q28+Q29,2),"")</f>
        <v/>
      </c>
      <c r="R63" s="15" t="s">
        <v>65</v>
      </c>
      <c r="S63" s="120" t="str">
        <f>IF((QUOTIENT(S28+S29,2))&lt;2,2-QUOTIENT(S28+S29,2),"")</f>
        <v/>
      </c>
      <c r="T63" s="15" t="s">
        <v>65</v>
      </c>
      <c r="U63" s="9"/>
      <c r="V63" s="96"/>
    </row>
    <row r="64" spans="1:41" ht="15" customHeight="1" x14ac:dyDescent="0.25">
      <c r="A64" s="96"/>
      <c r="B64" s="122"/>
      <c r="C64" s="13"/>
      <c r="D64" s="16" t="s">
        <v>66</v>
      </c>
      <c r="E64" s="121"/>
      <c r="F64" s="16" t="s">
        <v>66</v>
      </c>
      <c r="G64" s="121"/>
      <c r="H64" s="16" t="s">
        <v>66</v>
      </c>
      <c r="I64" s="121"/>
      <c r="J64" s="16" t="s">
        <v>66</v>
      </c>
      <c r="K64" s="121"/>
      <c r="L64" s="16" t="s">
        <v>66</v>
      </c>
      <c r="M64" s="121"/>
      <c r="N64" s="16" t="s">
        <v>66</v>
      </c>
      <c r="O64" s="121"/>
      <c r="P64" s="16" t="s">
        <v>66</v>
      </c>
      <c r="Q64" s="121"/>
      <c r="R64" s="16" t="s">
        <v>66</v>
      </c>
      <c r="S64" s="121"/>
      <c r="T64" s="16" t="s">
        <v>66</v>
      </c>
      <c r="U64" s="9"/>
      <c r="V64" s="96"/>
    </row>
    <row r="65" spans="1:22" ht="15" customHeight="1" x14ac:dyDescent="0.25">
      <c r="A65" s="96"/>
      <c r="B65" s="122" t="s">
        <v>38</v>
      </c>
      <c r="C65" s="11"/>
      <c r="D65" s="15" t="s">
        <v>65</v>
      </c>
      <c r="E65" s="120" t="str">
        <f>IF(QUOTIENT(E30+E31,2)&lt;2,2-QUOTIENT(E30+E31,2),"")</f>
        <v/>
      </c>
      <c r="F65" s="15" t="s">
        <v>65</v>
      </c>
      <c r="G65" s="120" t="str">
        <f>IF((QUOTIENT(G30+G31,2))&lt;2,2-QUOTIENT(G30+G31,2),"")</f>
        <v/>
      </c>
      <c r="H65" s="15" t="s">
        <v>65</v>
      </c>
      <c r="I65" s="120" t="str">
        <f>IF((QUOTIENT(I30+I31,2))&lt;2,2-QUOTIENT(I30+I31,2),"")</f>
        <v/>
      </c>
      <c r="J65" s="15" t="s">
        <v>65</v>
      </c>
      <c r="K65" s="120" t="str">
        <f>IF((QUOTIENT(K30+K31,2))&lt;2,2-QUOTIENT(K30+K31,2),"")</f>
        <v/>
      </c>
      <c r="L65" s="15" t="s">
        <v>65</v>
      </c>
      <c r="M65" s="120" t="str">
        <f>IF((QUOTIENT(M30+M31,2))&lt;2,2-QUOTIENT(M30+M31,2),"")</f>
        <v/>
      </c>
      <c r="N65" s="15" t="s">
        <v>65</v>
      </c>
      <c r="O65" s="120" t="str">
        <f>IF((QUOTIENT(O30+O31,2))&lt;2,2-QUOTIENT(O30+O31,2),"")</f>
        <v/>
      </c>
      <c r="P65" s="15" t="s">
        <v>65</v>
      </c>
      <c r="Q65" s="120" t="str">
        <f>IF((QUOTIENT(Q30+Q31,2))&lt;2,2-QUOTIENT(Q30+Q31,2),"")</f>
        <v/>
      </c>
      <c r="R65" s="15" t="s">
        <v>65</v>
      </c>
      <c r="S65" s="120" t="str">
        <f>IF((QUOTIENT(S30+S31,2))&lt;2,2-QUOTIENT(S30+S31,2),"")</f>
        <v/>
      </c>
      <c r="T65" s="15" t="s">
        <v>65</v>
      </c>
      <c r="U65" s="9"/>
      <c r="V65" s="96"/>
    </row>
    <row r="66" spans="1:22" ht="15" customHeight="1" x14ac:dyDescent="0.25">
      <c r="A66" s="10"/>
      <c r="B66" s="122"/>
      <c r="C66" s="20"/>
      <c r="D66" s="17" t="s">
        <v>66</v>
      </c>
      <c r="E66" s="121"/>
      <c r="F66" s="17" t="s">
        <v>66</v>
      </c>
      <c r="G66" s="121"/>
      <c r="H66" s="17" t="s">
        <v>66</v>
      </c>
      <c r="I66" s="121"/>
      <c r="J66" s="17" t="s">
        <v>66</v>
      </c>
      <c r="K66" s="121"/>
      <c r="L66" s="17" t="s">
        <v>66</v>
      </c>
      <c r="M66" s="121"/>
      <c r="N66" s="17" t="s">
        <v>66</v>
      </c>
      <c r="O66" s="121"/>
      <c r="P66" s="17" t="s">
        <v>66</v>
      </c>
      <c r="Q66" s="121"/>
      <c r="R66" s="17" t="s">
        <v>66</v>
      </c>
      <c r="S66" s="121"/>
      <c r="T66" s="17" t="s">
        <v>66</v>
      </c>
      <c r="U66" s="9"/>
      <c r="V66" s="10"/>
    </row>
  </sheetData>
  <mergeCells count="273">
    <mergeCell ref="AN41:AN42"/>
    <mergeCell ref="AN43:AN44"/>
    <mergeCell ref="AN45:AN46"/>
    <mergeCell ref="AN47:AN48"/>
    <mergeCell ref="AN49:AN50"/>
    <mergeCell ref="AN51:AN52"/>
    <mergeCell ref="AN53:AN54"/>
    <mergeCell ref="AN55:AN56"/>
    <mergeCell ref="AL41:AL42"/>
    <mergeCell ref="AL43:AL44"/>
    <mergeCell ref="AL45:AL46"/>
    <mergeCell ref="AL47:AL48"/>
    <mergeCell ref="AL49:AL50"/>
    <mergeCell ref="AL51:AL52"/>
    <mergeCell ref="AL53:AL54"/>
    <mergeCell ref="AL55:AL56"/>
    <mergeCell ref="AJ41:AJ42"/>
    <mergeCell ref="AJ43:AJ44"/>
    <mergeCell ref="AJ45:AJ46"/>
    <mergeCell ref="AJ47:AJ48"/>
    <mergeCell ref="AJ49:AJ50"/>
    <mergeCell ref="AJ51:AJ52"/>
    <mergeCell ref="AJ53:AJ54"/>
    <mergeCell ref="AJ55:AJ56"/>
    <mergeCell ref="AH41:AH42"/>
    <mergeCell ref="AH43:AH44"/>
    <mergeCell ref="AH45:AH46"/>
    <mergeCell ref="AH47:AH48"/>
    <mergeCell ref="AH49:AH50"/>
    <mergeCell ref="AH51:AH52"/>
    <mergeCell ref="AH53:AH54"/>
    <mergeCell ref="AH55:AH56"/>
    <mergeCell ref="AF41:AF42"/>
    <mergeCell ref="AF43:AF44"/>
    <mergeCell ref="AF45:AF46"/>
    <mergeCell ref="AF47:AF48"/>
    <mergeCell ref="AF49:AF50"/>
    <mergeCell ref="AF51:AF52"/>
    <mergeCell ref="AF53:AF54"/>
    <mergeCell ref="AF55:AF56"/>
    <mergeCell ref="AD41:AD42"/>
    <mergeCell ref="AD43:AD44"/>
    <mergeCell ref="AD45:AD46"/>
    <mergeCell ref="AD47:AD48"/>
    <mergeCell ref="AD49:AD50"/>
    <mergeCell ref="AD51:AD52"/>
    <mergeCell ref="AD53:AD54"/>
    <mergeCell ref="AD55:AD56"/>
    <mergeCell ref="AB41:AB42"/>
    <mergeCell ref="AB43:AB44"/>
    <mergeCell ref="AB45:AB46"/>
    <mergeCell ref="AB47:AB48"/>
    <mergeCell ref="AB49:AB50"/>
    <mergeCell ref="AB51:AB52"/>
    <mergeCell ref="AB53:AB54"/>
    <mergeCell ref="AB55:AB56"/>
    <mergeCell ref="Z41:Z42"/>
    <mergeCell ref="Z43:Z44"/>
    <mergeCell ref="Z45:Z46"/>
    <mergeCell ref="Z47:Z48"/>
    <mergeCell ref="Z49:Z50"/>
    <mergeCell ref="Z51:Z52"/>
    <mergeCell ref="Z53:Z54"/>
    <mergeCell ref="Z55:Z56"/>
    <mergeCell ref="X41:X42"/>
    <mergeCell ref="X43:X44"/>
    <mergeCell ref="X45:X46"/>
    <mergeCell ref="X47:X48"/>
    <mergeCell ref="X49:X50"/>
    <mergeCell ref="X51:X52"/>
    <mergeCell ref="X53:X54"/>
    <mergeCell ref="X55:X56"/>
    <mergeCell ref="W16:W17"/>
    <mergeCell ref="W18:W19"/>
    <mergeCell ref="W20:W21"/>
    <mergeCell ref="W51:W52"/>
    <mergeCell ref="B20:B21"/>
    <mergeCell ref="B22:B23"/>
    <mergeCell ref="W22:W23"/>
    <mergeCell ref="C38:T38"/>
    <mergeCell ref="X38:AO38"/>
    <mergeCell ref="C39:T39"/>
    <mergeCell ref="X39:AO39"/>
    <mergeCell ref="B37:T37"/>
    <mergeCell ref="B36:AN36"/>
    <mergeCell ref="W24:W25"/>
    <mergeCell ref="W26:W27"/>
    <mergeCell ref="W28:W29"/>
    <mergeCell ref="V6:V30"/>
    <mergeCell ref="W6:W7"/>
    <mergeCell ref="W8:W9"/>
    <mergeCell ref="W10:W11"/>
    <mergeCell ref="W12:W13"/>
    <mergeCell ref="W14:W15"/>
    <mergeCell ref="X3:AO3"/>
    <mergeCell ref="X4:AO4"/>
    <mergeCell ref="X5:Y5"/>
    <mergeCell ref="Z5:AA5"/>
    <mergeCell ref="AB5:AC5"/>
    <mergeCell ref="AN5:AO5"/>
    <mergeCell ref="AD5:AE5"/>
    <mergeCell ref="AF5:AG5"/>
    <mergeCell ref="AH5:AI5"/>
    <mergeCell ref="AJ5:AK5"/>
    <mergeCell ref="AL5:AM5"/>
    <mergeCell ref="C1:AF1"/>
    <mergeCell ref="A6:A30"/>
    <mergeCell ref="B6:B7"/>
    <mergeCell ref="B8:B9"/>
    <mergeCell ref="B10:B11"/>
    <mergeCell ref="B24:B25"/>
    <mergeCell ref="B26:B27"/>
    <mergeCell ref="B28:B29"/>
    <mergeCell ref="B30:B31"/>
    <mergeCell ref="C3:T3"/>
    <mergeCell ref="C4:T4"/>
    <mergeCell ref="C5:D5"/>
    <mergeCell ref="E5:F5"/>
    <mergeCell ref="G5:H5"/>
    <mergeCell ref="I5:J5"/>
    <mergeCell ref="B12:B13"/>
    <mergeCell ref="B14:B15"/>
    <mergeCell ref="B16:B17"/>
    <mergeCell ref="B18:B19"/>
    <mergeCell ref="K5:L5"/>
    <mergeCell ref="M5:N5"/>
    <mergeCell ref="O5:P5"/>
    <mergeCell ref="Q5:R5"/>
    <mergeCell ref="S5:T5"/>
    <mergeCell ref="AF40:AG40"/>
    <mergeCell ref="AH40:AI40"/>
    <mergeCell ref="M40:N40"/>
    <mergeCell ref="O40:P40"/>
    <mergeCell ref="Q40:R40"/>
    <mergeCell ref="S40:T40"/>
    <mergeCell ref="X40:Y40"/>
    <mergeCell ref="C40:D40"/>
    <mergeCell ref="E40:F40"/>
    <mergeCell ref="G40:H40"/>
    <mergeCell ref="I40:J40"/>
    <mergeCell ref="K40:L40"/>
    <mergeCell ref="B53:B54"/>
    <mergeCell ref="W53:W54"/>
    <mergeCell ref="B55:B56"/>
    <mergeCell ref="W55:W56"/>
    <mergeCell ref="AJ40:AK40"/>
    <mergeCell ref="AL40:AM40"/>
    <mergeCell ref="AN40:AO40"/>
    <mergeCell ref="A41:A65"/>
    <mergeCell ref="B41:B42"/>
    <mergeCell ref="V41:V65"/>
    <mergeCell ref="W41:W42"/>
    <mergeCell ref="B43:B44"/>
    <mergeCell ref="W43:W44"/>
    <mergeCell ref="B45:B46"/>
    <mergeCell ref="W45:W46"/>
    <mergeCell ref="B47:B48"/>
    <mergeCell ref="W47:W48"/>
    <mergeCell ref="B49:B50"/>
    <mergeCell ref="W49:W50"/>
    <mergeCell ref="B51:B52"/>
    <mergeCell ref="Z40:AA40"/>
    <mergeCell ref="AB40:AC40"/>
    <mergeCell ref="AD40:AE40"/>
    <mergeCell ref="B63:B64"/>
    <mergeCell ref="B65:B66"/>
    <mergeCell ref="B57:B58"/>
    <mergeCell ref="B59:B60"/>
    <mergeCell ref="B61:B62"/>
    <mergeCell ref="O57:O58"/>
    <mergeCell ref="M57:M58"/>
    <mergeCell ref="Q59:Q60"/>
    <mergeCell ref="Q61:Q62"/>
    <mergeCell ref="Q63:Q64"/>
    <mergeCell ref="Q65:Q66"/>
    <mergeCell ref="E63:E64"/>
    <mergeCell ref="E65:E66"/>
    <mergeCell ref="G63:G64"/>
    <mergeCell ref="G65:G66"/>
    <mergeCell ref="I63:I64"/>
    <mergeCell ref="I65:I66"/>
    <mergeCell ref="K63:K64"/>
    <mergeCell ref="K65:K66"/>
    <mergeCell ref="G61:G62"/>
    <mergeCell ref="S63:S64"/>
    <mergeCell ref="S65:S66"/>
    <mergeCell ref="E41:E42"/>
    <mergeCell ref="G41:G42"/>
    <mergeCell ref="I41:I42"/>
    <mergeCell ref="G43:G44"/>
    <mergeCell ref="M43:M44"/>
    <mergeCell ref="E43:E44"/>
    <mergeCell ref="E45:E46"/>
    <mergeCell ref="E47:E48"/>
    <mergeCell ref="E49:E50"/>
    <mergeCell ref="I43:I44"/>
    <mergeCell ref="I45:I46"/>
    <mergeCell ref="I47:I48"/>
    <mergeCell ref="I49:I50"/>
    <mergeCell ref="M41:M42"/>
    <mergeCell ref="M45:M46"/>
    <mergeCell ref="M47:M48"/>
    <mergeCell ref="E55:E56"/>
    <mergeCell ref="E57:E58"/>
    <mergeCell ref="E59:E60"/>
    <mergeCell ref="E61:E62"/>
    <mergeCell ref="G47:G48"/>
    <mergeCell ref="G49:G50"/>
    <mergeCell ref="S59:S60"/>
    <mergeCell ref="S61:S62"/>
    <mergeCell ref="E53:E54"/>
    <mergeCell ref="E51:E52"/>
    <mergeCell ref="I55:I56"/>
    <mergeCell ref="I57:I58"/>
    <mergeCell ref="I59:I60"/>
    <mergeCell ref="I61:I62"/>
    <mergeCell ref="K61:K62"/>
    <mergeCell ref="I51:I52"/>
    <mergeCell ref="I53:I54"/>
    <mergeCell ref="K47:K48"/>
    <mergeCell ref="K49:K50"/>
    <mergeCell ref="K51:K52"/>
    <mergeCell ref="K55:K56"/>
    <mergeCell ref="K57:K58"/>
    <mergeCell ref="K59:K60"/>
    <mergeCell ref="K53:K54"/>
    <mergeCell ref="G51:G52"/>
    <mergeCell ref="G53:G54"/>
    <mergeCell ref="G55:G56"/>
    <mergeCell ref="G57:G58"/>
    <mergeCell ref="G59:G60"/>
    <mergeCell ref="G45:G46"/>
    <mergeCell ref="M51:M52"/>
    <mergeCell ref="M55:M56"/>
    <mergeCell ref="M59:M60"/>
    <mergeCell ref="M61:M62"/>
    <mergeCell ref="M63:M64"/>
    <mergeCell ref="M65:M66"/>
    <mergeCell ref="O41:O42"/>
    <mergeCell ref="O43:O44"/>
    <mergeCell ref="O45:O46"/>
    <mergeCell ref="O47:O48"/>
    <mergeCell ref="O49:O50"/>
    <mergeCell ref="O55:O56"/>
    <mergeCell ref="O59:O60"/>
    <mergeCell ref="O61:O62"/>
    <mergeCell ref="O63:O64"/>
    <mergeCell ref="O65:O66"/>
    <mergeCell ref="M49:M50"/>
    <mergeCell ref="O51:O52"/>
    <mergeCell ref="M53:M54"/>
    <mergeCell ref="O53:O54"/>
    <mergeCell ref="K41:K42"/>
    <mergeCell ref="K43:K44"/>
    <mergeCell ref="K45:K46"/>
    <mergeCell ref="Q41:Q42"/>
    <mergeCell ref="Q43:Q44"/>
    <mergeCell ref="Q45:Q46"/>
    <mergeCell ref="Q47:Q48"/>
    <mergeCell ref="Q49:Q50"/>
    <mergeCell ref="Q51:Q52"/>
    <mergeCell ref="Q53:Q54"/>
    <mergeCell ref="Q55:Q56"/>
    <mergeCell ref="Q57:Q58"/>
    <mergeCell ref="S41:S42"/>
    <mergeCell ref="S43:S44"/>
    <mergeCell ref="S45:S46"/>
    <mergeCell ref="S47:S48"/>
    <mergeCell ref="S49:S50"/>
    <mergeCell ref="S51:S52"/>
    <mergeCell ref="S53:S54"/>
    <mergeCell ref="S55:S56"/>
    <mergeCell ref="S57:S58"/>
  </mergeCells>
  <pageMargins left="0.7" right="0.7" top="0.75" bottom="0.75" header="0.3" footer="0.3"/>
  <pageSetup scale="49" orientation="landscape" r:id="rId1"/>
  <ignoredErrors>
    <ignoredError sqref="X5:AI5 AN5:AO5 U5 W27:AO29 K5:T5 C5:J5 B29:D29 B7:D7 T6:T23 W6:Y19 AA6:AA19 W22:AA22 AC20:AC22 AC6:AC19 AE22 AE6:AE19 AE20:AE21 AG20:AG21 AG6:AG19 AI20:AI21 AI6:AI19 AK20:AK21 AK6:AK19 AO20:AO21 AO6:AO19 AM5:AM19 AM20:AM21 B24:D24 F24 B8:D23 F20:F23 H8:H23 J8:J23 L6:L7 L8:L23 N6:N7 N23 P6:P7 N8:N22 P8:P22 B6:D6 H6 H7 J6 J7 R6:R21 J24 AG22:AO22 B31:D31 B30:D30 T30 AJ5:AL5 B40:AO40 B42:D42 B41:D41 F41 B44:D44 B43:D43 F43 B46:D46 B45:D45 F45 B48:D48 B47:D47 F47 B50:D50 B49:D49 F49 B52:D52 B51:D51 F51 B54:D54 B53:D53 F53 B56:D56 B55:D55 F55 B58:D58 B57:D57 F57 B60:D60 B59:D59 F59 B62:D62 B61:D61 F61 B64:D64 B63:D63 F63 B66:D66 B65:D65 F65 H41 H43 H45 H47 H49 H51 H53 H55 H57 H59 H61 H63 H65 J41 J43 J45 J47 J49 J51 J53 J55 J57 J59 J61 J63 J65 L41 L43 L45 L47 F44 F46 F48 F50 F52 F56 F58 F60 F62 F64 F66 H42 H54 H44 H46 H48 H50 H52 H56 H58 H60 H62 H64 H66 J42 J54 J44 J46 J48 J50 J52 J56 J58 J60 J62 J64 J66 L49 L51 L53 L55 L57 L59 L61 L63 L65 L42 L54 L44 L46 L48 L50 L52 L56 L58 L60 L62 L64 L66 N41 N43 N45 N47 N49 N51 N53 N55 N57 N59 N61 N63 N65 N42 N54 N44 N46 N48 N50 N52 N56 N58 N60 N62 N64 N66 P41 P43 P45 P47 P49 P51 P53 P55 P57 P59 P61 P63 P65 P42 P54 P44 P46 P48 P50 P52 P56 P58 P60 P62 P64 P66 R41 R43 R45 R47 R49 R51 R53 R55 R57 R59 R61 R63 R65 R42 R54 R44 R46 R48 R50 R52 R56 R58 R60 R62 R64 R66 T41:Y41 T43:W43 T45:W45 T47:W47 T49:W49 T51:W51 T53:W53 T55:W55 T57:V57 T59:V59 T61:V61 T63:V63 W57:AO57 T42:W42 T54:W54 T44:W44 T46:W46 T48:W48 T50:W50 T52:W52 T56:W56 T58:V58 T60:V60 T62:V62 T64:V64 W58:AO58 B25:D25 F25 B26:D26 F26 B27:D27 F27 B28:D28 F28 F29 F30 F31 H24 H25 H26 H27 H28 H29 H30 H31 J25 J26 J27 J28 J29 J30 J31 L24 L25 L26 L27 L28 L29 L30 L31 N24 N25 N26 N27 N28 N29 N30 N31 P23 P25 P24 P26 P27 P28 P29 P30 P31 T26 T27 T24 T25 T28 T29 T31 R31 R30 R29 R28 R27 R26 R25 R24 R22:R23 F42 F54 Y42 Y43 Y45 Y47 Y49 Y51 Y53 Y55 Y54 Y44 Y46 Y48 Y50 Y52 Y56 AA42 AA43 AA45 AA47 AA49 AA51 AA53 AA55 AA54 AA44 AA46 AA48 AA50 AA52 AA56 AC42 AC43 AC45 AC47 AC49 AC51 AC53 AC55 AC54 AC44 AC46 AC48 AC50 AC52 AC56 AE42 AE43 AE45 AE47 AE49 AE51 AE53 AE55 AE54 AE44 AE46 AE48 AE50 AE52 AE56 AG42 AG43 AG45 AG47 AG49 AG51 AG53 AG55 AG54 AG44 AG46 AG48 AG50 AG52 AG56 AI42 AI43 AI45 AI47 AI49 AI51 AI53 AI55 AI54 AI44 AI46 AI48 AI50 AI52 AI56 AK42 AK43 AK45 AK47 AK49 AK51 AK53 AK55 AK54 AK44 AK46 AK48 AK50 AK52 AK56 AM42 AM43 AM45 AM47 AM49 AM51 AM53 AM55 AM54 AM44 AM46 AM48 AM50 AM52 AM56 AO42 AO43 AO45 AO47 AO49 AO51 AO53 AO55 AO54 AO44 AO46 AO48 AO50 AO52 AO56 AA41 AC41 AE41 AG41 AI41 AK41 AM41 AO41 W23:AC26 AE23:AO26 T66:V66 T65:V65 W20:Y20 AA20 W21:Y21 AA21"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7"/>
  <dimension ref="A1:AO31"/>
  <sheetViews>
    <sheetView workbookViewId="0">
      <selection activeCell="S17" sqref="S17"/>
    </sheetView>
  </sheetViews>
  <sheetFormatPr baseColWidth="10" defaultColWidth="11.42578125" defaultRowHeight="15" x14ac:dyDescent="0.25"/>
  <cols>
    <col min="2" max="2" width="5.28515625" bestFit="1" customWidth="1"/>
    <col min="3" max="3" width="4.5703125" bestFit="1" customWidth="1"/>
    <col min="4" max="4" width="2.140625" bestFit="1" customWidth="1"/>
    <col min="5" max="5" width="5.28515625" bestFit="1" customWidth="1"/>
    <col min="6" max="6" width="2.140625" bestFit="1" customWidth="1"/>
    <col min="7" max="7" width="5.28515625" bestFit="1" customWidth="1"/>
    <col min="8" max="8" width="2.140625" bestFit="1" customWidth="1"/>
    <col min="9" max="9" width="5.28515625" bestFit="1" customWidth="1"/>
    <col min="10" max="10" width="2.140625" bestFit="1" customWidth="1"/>
    <col min="11" max="11" width="5.28515625" bestFit="1" customWidth="1"/>
    <col min="12" max="12" width="2.140625" bestFit="1" customWidth="1"/>
    <col min="13" max="13" width="5.28515625" bestFit="1" customWidth="1"/>
    <col min="14" max="14" width="2.140625" bestFit="1" customWidth="1"/>
    <col min="15" max="15" width="5.28515625" bestFit="1" customWidth="1"/>
    <col min="16" max="16" width="2.140625" bestFit="1" customWidth="1"/>
    <col min="17" max="17" width="5.5703125" bestFit="1" customWidth="1"/>
    <col min="18" max="18" width="2.140625" bestFit="1" customWidth="1"/>
    <col min="19" max="19" width="4.5703125" bestFit="1" customWidth="1"/>
    <col min="20" max="20" width="2.140625" bestFit="1" customWidth="1"/>
    <col min="21" max="21" width="1" customWidth="1"/>
    <col min="22" max="22" width="7.42578125" customWidth="1"/>
    <col min="23" max="23" width="5.5703125" bestFit="1" customWidth="1"/>
    <col min="24" max="24" width="5.28515625" bestFit="1" customWidth="1"/>
    <col min="25" max="25" width="2.140625" bestFit="1" customWidth="1"/>
    <col min="26" max="26" width="5.28515625" bestFit="1" customWidth="1"/>
    <col min="27" max="27" width="2.140625" bestFit="1" customWidth="1"/>
    <col min="28" max="28" width="5.28515625" bestFit="1" customWidth="1"/>
    <col min="29" max="29" width="2.140625" bestFit="1" customWidth="1"/>
    <col min="30" max="30" width="5.28515625" bestFit="1" customWidth="1"/>
    <col min="31" max="31" width="2.140625" bestFit="1" customWidth="1"/>
    <col min="32" max="32" width="4.7109375" customWidth="1"/>
    <col min="33" max="33" width="2.140625" bestFit="1" customWidth="1"/>
    <col min="34" max="34" width="5" customWidth="1"/>
    <col min="35" max="35" width="2.140625" bestFit="1" customWidth="1"/>
    <col min="36" max="36" width="5.7109375" customWidth="1"/>
    <col min="37" max="37" width="2.140625" bestFit="1" customWidth="1"/>
    <col min="38" max="38" width="6" customWidth="1"/>
    <col min="39" max="39" width="2.140625" bestFit="1" customWidth="1"/>
    <col min="40" max="40" width="6" customWidth="1"/>
    <col min="41" max="41" width="2.140625" bestFit="1" customWidth="1"/>
  </cols>
  <sheetData>
    <row r="1" spans="1:41" ht="23.25" x14ac:dyDescent="0.25">
      <c r="A1" s="4"/>
      <c r="B1" s="4"/>
      <c r="C1" s="95" t="s">
        <v>84</v>
      </c>
      <c r="D1" s="95"/>
      <c r="E1" s="95"/>
      <c r="F1" s="95"/>
      <c r="G1" s="95"/>
      <c r="H1" s="95"/>
      <c r="I1" s="95"/>
      <c r="J1" s="95"/>
      <c r="K1" s="95"/>
      <c r="L1" s="95"/>
      <c r="M1" s="95"/>
      <c r="N1" s="95"/>
      <c r="O1" s="95"/>
      <c r="P1" s="95"/>
      <c r="Q1" s="95"/>
      <c r="R1" s="95"/>
      <c r="S1" s="95"/>
      <c r="T1" s="95"/>
      <c r="U1" s="95"/>
      <c r="V1" s="95"/>
      <c r="W1" s="95"/>
      <c r="X1" s="95"/>
      <c r="Y1" s="95"/>
      <c r="Z1" s="95"/>
      <c r="AA1" s="95"/>
      <c r="AB1" s="95"/>
      <c r="AC1" s="95"/>
      <c r="AD1" s="95"/>
      <c r="AE1" s="95"/>
      <c r="AF1" s="95"/>
      <c r="AG1" s="9"/>
      <c r="AH1" s="9"/>
      <c r="AI1" s="9"/>
      <c r="AJ1" s="9"/>
      <c r="AK1" s="9"/>
      <c r="AL1" s="9"/>
      <c r="AM1" s="9"/>
      <c r="AN1" s="9"/>
      <c r="AO1" s="9"/>
    </row>
    <row r="2" spans="1:41" x14ac:dyDescent="0.25">
      <c r="A2" s="4"/>
      <c r="B2" s="4"/>
      <c r="C2" s="4"/>
      <c r="D2" s="4"/>
      <c r="E2" s="4"/>
      <c r="F2" s="4"/>
      <c r="G2" s="4"/>
      <c r="H2" s="4"/>
      <c r="I2" s="4"/>
      <c r="J2" s="4"/>
      <c r="K2" s="4"/>
      <c r="L2" s="4"/>
      <c r="M2" s="4"/>
      <c r="N2" s="4"/>
      <c r="O2" s="4"/>
      <c r="P2" s="4"/>
      <c r="Q2" s="4"/>
      <c r="R2" s="4"/>
      <c r="S2" s="4"/>
      <c r="T2" s="4"/>
      <c r="U2" s="4"/>
      <c r="V2" s="4"/>
      <c r="W2" s="4"/>
      <c r="X2" s="4"/>
      <c r="Y2" s="4"/>
      <c r="Z2" s="4"/>
      <c r="AA2" s="4"/>
      <c r="AB2" s="4"/>
      <c r="AC2" s="4"/>
      <c r="AD2" s="4"/>
      <c r="AE2" s="4"/>
      <c r="AF2" s="4"/>
      <c r="AG2" s="9"/>
      <c r="AH2" s="9"/>
      <c r="AI2" s="9"/>
      <c r="AJ2" s="9"/>
      <c r="AK2" s="9"/>
      <c r="AL2" s="9"/>
      <c r="AM2" s="9"/>
      <c r="AN2" s="9"/>
      <c r="AO2" s="9"/>
    </row>
    <row r="3" spans="1:41" ht="36" x14ac:dyDescent="0.25">
      <c r="A3" s="4"/>
      <c r="B3" s="5"/>
      <c r="C3" s="97" t="s">
        <v>58</v>
      </c>
      <c r="D3" s="97"/>
      <c r="E3" s="97"/>
      <c r="F3" s="97"/>
      <c r="G3" s="97"/>
      <c r="H3" s="97"/>
      <c r="I3" s="97"/>
      <c r="J3" s="97"/>
      <c r="K3" s="97"/>
      <c r="L3" s="97"/>
      <c r="M3" s="97"/>
      <c r="N3" s="97"/>
      <c r="O3" s="97"/>
      <c r="P3" s="97"/>
      <c r="Q3" s="97"/>
      <c r="R3" s="97"/>
      <c r="S3" s="97"/>
      <c r="T3" s="97"/>
      <c r="V3" s="4"/>
      <c r="W3" s="5"/>
      <c r="X3" s="97" t="s">
        <v>58</v>
      </c>
      <c r="Y3" s="97"/>
      <c r="Z3" s="97"/>
      <c r="AA3" s="97"/>
      <c r="AB3" s="97"/>
      <c r="AC3" s="97"/>
      <c r="AD3" s="97"/>
      <c r="AE3" s="97"/>
      <c r="AF3" s="97"/>
      <c r="AG3" s="97"/>
      <c r="AH3" s="97"/>
      <c r="AI3" s="97"/>
      <c r="AJ3" s="97"/>
      <c r="AK3" s="97"/>
      <c r="AL3" s="97"/>
      <c r="AM3" s="97"/>
      <c r="AN3" s="97"/>
      <c r="AO3" s="97"/>
    </row>
    <row r="4" spans="1:41" ht="15.75" x14ac:dyDescent="0.25">
      <c r="A4" s="4"/>
      <c r="B4" s="5"/>
      <c r="C4" s="98"/>
      <c r="D4" s="98"/>
      <c r="E4" s="98"/>
      <c r="F4" s="98"/>
      <c r="G4" s="98"/>
      <c r="H4" s="98"/>
      <c r="I4" s="98"/>
      <c r="J4" s="98"/>
      <c r="K4" s="98"/>
      <c r="L4" s="98"/>
      <c r="M4" s="98"/>
      <c r="N4" s="98"/>
      <c r="O4" s="98"/>
      <c r="P4" s="98"/>
      <c r="Q4" s="98"/>
      <c r="R4" s="98"/>
      <c r="S4" s="98"/>
      <c r="T4" s="98"/>
      <c r="U4" s="9"/>
      <c r="V4" s="4"/>
      <c r="W4" s="5"/>
      <c r="X4" s="98"/>
      <c r="Y4" s="98"/>
      <c r="Z4" s="98"/>
      <c r="AA4" s="98"/>
      <c r="AB4" s="98"/>
      <c r="AC4" s="98"/>
      <c r="AD4" s="98"/>
      <c r="AE4" s="98"/>
      <c r="AF4" s="98"/>
      <c r="AG4" s="98"/>
      <c r="AH4" s="98"/>
      <c r="AI4" s="98"/>
      <c r="AJ4" s="98"/>
      <c r="AK4" s="98"/>
      <c r="AL4" s="98"/>
      <c r="AM4" s="98"/>
      <c r="AN4" s="98"/>
      <c r="AO4" s="98"/>
    </row>
    <row r="5" spans="1:41" ht="15.75" x14ac:dyDescent="0.25">
      <c r="A5" s="6" t="s">
        <v>51</v>
      </c>
      <c r="B5" s="28"/>
      <c r="C5" s="122" t="s">
        <v>59</v>
      </c>
      <c r="D5" s="122"/>
      <c r="E5" s="122" t="s">
        <v>60</v>
      </c>
      <c r="F5" s="122"/>
      <c r="G5" s="122" t="s">
        <v>61</v>
      </c>
      <c r="H5" s="122"/>
      <c r="I5" s="122" t="s">
        <v>62</v>
      </c>
      <c r="J5" s="122"/>
      <c r="K5" s="122" t="s">
        <v>63</v>
      </c>
      <c r="L5" s="122"/>
      <c r="M5" s="122" t="s">
        <v>64</v>
      </c>
      <c r="N5" s="122"/>
      <c r="O5" s="122" t="s">
        <v>67</v>
      </c>
      <c r="P5" s="122"/>
      <c r="Q5" s="122" t="s">
        <v>68</v>
      </c>
      <c r="R5" s="122"/>
      <c r="S5" s="122" t="s">
        <v>69</v>
      </c>
      <c r="T5" s="122"/>
      <c r="U5" s="9"/>
      <c r="V5" s="6" t="s">
        <v>52</v>
      </c>
      <c r="W5" s="28"/>
      <c r="X5" s="122" t="s">
        <v>59</v>
      </c>
      <c r="Y5" s="122"/>
      <c r="Z5" s="122" t="s">
        <v>60</v>
      </c>
      <c r="AA5" s="122"/>
      <c r="AB5" s="122" t="s">
        <v>61</v>
      </c>
      <c r="AC5" s="122"/>
      <c r="AD5" s="122" t="s">
        <v>62</v>
      </c>
      <c r="AE5" s="122"/>
      <c r="AF5" s="122" t="s">
        <v>63</v>
      </c>
      <c r="AG5" s="122"/>
      <c r="AH5" s="122" t="s">
        <v>64</v>
      </c>
      <c r="AI5" s="122"/>
      <c r="AJ5" s="123" t="s">
        <v>67</v>
      </c>
      <c r="AK5" s="124"/>
      <c r="AL5" s="122" t="s">
        <v>68</v>
      </c>
      <c r="AM5" s="122"/>
      <c r="AN5" s="122" t="s">
        <v>69</v>
      </c>
      <c r="AO5" s="122"/>
    </row>
    <row r="6" spans="1:41" x14ac:dyDescent="0.25">
      <c r="A6" s="96" t="s">
        <v>0</v>
      </c>
      <c r="B6" s="122" t="s">
        <v>2</v>
      </c>
      <c r="C6" s="11"/>
      <c r="D6" s="15" t="s">
        <v>65</v>
      </c>
      <c r="E6" s="11"/>
      <c r="F6" s="15" t="s">
        <v>65</v>
      </c>
      <c r="G6" s="11"/>
      <c r="H6" s="15" t="s">
        <v>65</v>
      </c>
      <c r="I6" s="12"/>
      <c r="J6" s="15" t="s">
        <v>65</v>
      </c>
      <c r="K6" s="12"/>
      <c r="L6" s="15" t="s">
        <v>65</v>
      </c>
      <c r="M6" s="12"/>
      <c r="N6" s="15" t="s">
        <v>65</v>
      </c>
      <c r="O6" s="12"/>
      <c r="P6" s="15" t="s">
        <v>65</v>
      </c>
      <c r="Q6" s="34"/>
      <c r="R6" s="15" t="s">
        <v>65</v>
      </c>
      <c r="S6" s="34"/>
      <c r="T6" s="15" t="s">
        <v>65</v>
      </c>
      <c r="U6" s="9"/>
      <c r="V6" s="96" t="s">
        <v>0</v>
      </c>
      <c r="W6" s="122" t="s">
        <v>3</v>
      </c>
      <c r="X6" s="11"/>
      <c r="Y6" s="15" t="s">
        <v>65</v>
      </c>
      <c r="Z6" s="11"/>
      <c r="AA6" s="15" t="s">
        <v>65</v>
      </c>
      <c r="AB6" s="11"/>
      <c r="AC6" s="15" t="s">
        <v>65</v>
      </c>
      <c r="AD6" s="12"/>
      <c r="AE6" s="15" t="s">
        <v>65</v>
      </c>
      <c r="AF6" s="12"/>
      <c r="AG6" s="15" t="s">
        <v>65</v>
      </c>
      <c r="AH6" s="12"/>
      <c r="AI6" s="15" t="s">
        <v>65</v>
      </c>
      <c r="AJ6" s="12"/>
      <c r="AK6" s="15" t="s">
        <v>65</v>
      </c>
      <c r="AL6" s="18"/>
      <c r="AM6" s="15" t="s">
        <v>65</v>
      </c>
      <c r="AN6" s="18"/>
      <c r="AO6" s="15" t="s">
        <v>65</v>
      </c>
    </row>
    <row r="7" spans="1:41" x14ac:dyDescent="0.25">
      <c r="A7" s="96"/>
      <c r="B7" s="122"/>
      <c r="C7" s="13"/>
      <c r="D7" s="16" t="s">
        <v>66</v>
      </c>
      <c r="E7" s="13"/>
      <c r="F7" s="16" t="s">
        <v>66</v>
      </c>
      <c r="G7" s="13"/>
      <c r="H7" s="16" t="s">
        <v>66</v>
      </c>
      <c r="I7" s="14"/>
      <c r="J7" s="16" t="s">
        <v>66</v>
      </c>
      <c r="K7" s="14"/>
      <c r="L7" s="16" t="s">
        <v>66</v>
      </c>
      <c r="M7" s="14"/>
      <c r="N7" s="16" t="s">
        <v>66</v>
      </c>
      <c r="O7" s="14"/>
      <c r="P7" s="16" t="s">
        <v>66</v>
      </c>
      <c r="Q7" s="35"/>
      <c r="R7" s="16" t="s">
        <v>66</v>
      </c>
      <c r="S7" s="35"/>
      <c r="T7" s="16" t="s">
        <v>66</v>
      </c>
      <c r="U7" s="9"/>
      <c r="V7" s="96"/>
      <c r="W7" s="122"/>
      <c r="X7" s="13"/>
      <c r="Y7" s="16" t="s">
        <v>66</v>
      </c>
      <c r="Z7" s="13"/>
      <c r="AA7" s="16" t="s">
        <v>66</v>
      </c>
      <c r="AB7" s="13"/>
      <c r="AC7" s="16" t="s">
        <v>66</v>
      </c>
      <c r="AD7" s="14"/>
      <c r="AE7" s="16" t="s">
        <v>66</v>
      </c>
      <c r="AF7" s="14"/>
      <c r="AG7" s="16" t="s">
        <v>66</v>
      </c>
      <c r="AH7" s="14"/>
      <c r="AI7" s="16" t="s">
        <v>66</v>
      </c>
      <c r="AJ7" s="14"/>
      <c r="AK7" s="16" t="s">
        <v>66</v>
      </c>
      <c r="AL7" s="19"/>
      <c r="AM7" s="16" t="s">
        <v>66</v>
      </c>
      <c r="AN7" s="19"/>
      <c r="AO7" s="16" t="s">
        <v>66</v>
      </c>
    </row>
    <row r="8" spans="1:41" x14ac:dyDescent="0.25">
      <c r="A8" s="96"/>
      <c r="B8" s="122" t="s">
        <v>29</v>
      </c>
      <c r="C8" s="11"/>
      <c r="D8" s="15" t="s">
        <v>65</v>
      </c>
      <c r="E8" s="11"/>
      <c r="F8" s="15" t="s">
        <v>65</v>
      </c>
      <c r="G8" s="11"/>
      <c r="H8" s="15" t="s">
        <v>65</v>
      </c>
      <c r="I8" s="12">
        <v>1</v>
      </c>
      <c r="J8" s="15" t="s">
        <v>65</v>
      </c>
      <c r="K8" s="12">
        <v>1</v>
      </c>
      <c r="L8" s="15" t="s">
        <v>65</v>
      </c>
      <c r="M8" s="12"/>
      <c r="N8" s="15" t="s">
        <v>65</v>
      </c>
      <c r="O8" s="12"/>
      <c r="P8" s="15" t="s">
        <v>65</v>
      </c>
      <c r="Q8" s="34">
        <v>1</v>
      </c>
      <c r="R8" s="15" t="s">
        <v>65</v>
      </c>
      <c r="S8" s="34">
        <v>1</v>
      </c>
      <c r="T8" s="15" t="s">
        <v>65</v>
      </c>
      <c r="U8" s="9"/>
      <c r="V8" s="96"/>
      <c r="W8" s="122" t="s">
        <v>4</v>
      </c>
      <c r="X8" s="11"/>
      <c r="Y8" s="15" t="s">
        <v>65</v>
      </c>
      <c r="Z8" s="11"/>
      <c r="AA8" s="15" t="s">
        <v>65</v>
      </c>
      <c r="AB8" s="11"/>
      <c r="AC8" s="15" t="s">
        <v>65</v>
      </c>
      <c r="AD8" s="12"/>
      <c r="AE8" s="15" t="s">
        <v>65</v>
      </c>
      <c r="AF8" s="12"/>
      <c r="AG8" s="15" t="s">
        <v>65</v>
      </c>
      <c r="AH8" s="12"/>
      <c r="AI8" s="15" t="s">
        <v>65</v>
      </c>
      <c r="AJ8" s="12"/>
      <c r="AK8" s="15" t="s">
        <v>65</v>
      </c>
      <c r="AL8" s="18"/>
      <c r="AM8" s="15" t="s">
        <v>65</v>
      </c>
      <c r="AN8" s="18"/>
      <c r="AO8" s="15" t="s">
        <v>65</v>
      </c>
    </row>
    <row r="9" spans="1:41" x14ac:dyDescent="0.25">
      <c r="A9" s="96"/>
      <c r="B9" s="122"/>
      <c r="C9" s="13"/>
      <c r="D9" s="16" t="s">
        <v>66</v>
      </c>
      <c r="E9" s="13"/>
      <c r="F9" s="16" t="s">
        <v>66</v>
      </c>
      <c r="G9" s="13"/>
      <c r="H9" s="16" t="s">
        <v>66</v>
      </c>
      <c r="I9" s="14">
        <v>1</v>
      </c>
      <c r="J9" s="16" t="s">
        <v>66</v>
      </c>
      <c r="K9" s="14">
        <v>1</v>
      </c>
      <c r="L9" s="16" t="s">
        <v>66</v>
      </c>
      <c r="M9" s="14"/>
      <c r="N9" s="16" t="s">
        <v>66</v>
      </c>
      <c r="O9" s="14"/>
      <c r="P9" s="16" t="s">
        <v>66</v>
      </c>
      <c r="Q9" s="35"/>
      <c r="R9" s="16" t="s">
        <v>66</v>
      </c>
      <c r="S9" s="35">
        <v>1</v>
      </c>
      <c r="T9" s="16" t="s">
        <v>66</v>
      </c>
      <c r="U9" s="9"/>
      <c r="V9" s="96"/>
      <c r="W9" s="122"/>
      <c r="X9" s="13"/>
      <c r="Y9" s="16" t="s">
        <v>66</v>
      </c>
      <c r="Z9" s="13"/>
      <c r="AA9" s="16" t="s">
        <v>66</v>
      </c>
      <c r="AB9" s="13"/>
      <c r="AC9" s="16" t="s">
        <v>66</v>
      </c>
      <c r="AD9" s="14"/>
      <c r="AE9" s="16" t="s">
        <v>66</v>
      </c>
      <c r="AF9" s="14"/>
      <c r="AG9" s="16" t="s">
        <v>66</v>
      </c>
      <c r="AH9" s="14"/>
      <c r="AI9" s="16" t="s">
        <v>66</v>
      </c>
      <c r="AJ9" s="14"/>
      <c r="AK9" s="16" t="s">
        <v>66</v>
      </c>
      <c r="AL9" s="19"/>
      <c r="AM9" s="16" t="s">
        <v>66</v>
      </c>
      <c r="AN9" s="19"/>
      <c r="AO9" s="16" t="s">
        <v>66</v>
      </c>
    </row>
    <row r="10" spans="1:41" x14ac:dyDescent="0.25">
      <c r="A10" s="96"/>
      <c r="B10" s="122" t="s">
        <v>30</v>
      </c>
      <c r="C10" s="11"/>
      <c r="D10" s="15" t="s">
        <v>65</v>
      </c>
      <c r="E10" s="11"/>
      <c r="F10" s="15" t="s">
        <v>65</v>
      </c>
      <c r="G10" s="11">
        <v>1</v>
      </c>
      <c r="H10" s="15" t="s">
        <v>65</v>
      </c>
      <c r="I10" s="12"/>
      <c r="J10" s="15" t="s">
        <v>65</v>
      </c>
      <c r="K10" s="12"/>
      <c r="L10" s="15" t="s">
        <v>65</v>
      </c>
      <c r="M10" s="12"/>
      <c r="N10" s="15" t="s">
        <v>65</v>
      </c>
      <c r="O10" s="12"/>
      <c r="P10" s="15" t="s">
        <v>65</v>
      </c>
      <c r="Q10" s="34"/>
      <c r="R10" s="15" t="s">
        <v>65</v>
      </c>
      <c r="S10" s="34"/>
      <c r="T10" s="15" t="s">
        <v>65</v>
      </c>
      <c r="U10" s="9"/>
      <c r="V10" s="96"/>
      <c r="W10" s="122" t="s">
        <v>5</v>
      </c>
      <c r="X10" s="11"/>
      <c r="Y10" s="15" t="s">
        <v>65</v>
      </c>
      <c r="Z10" s="11"/>
      <c r="AA10" s="15" t="s">
        <v>65</v>
      </c>
      <c r="AB10" s="11"/>
      <c r="AC10" s="15" t="s">
        <v>65</v>
      </c>
      <c r="AD10" s="12"/>
      <c r="AE10" s="15" t="s">
        <v>65</v>
      </c>
      <c r="AF10" s="12"/>
      <c r="AG10" s="15" t="s">
        <v>65</v>
      </c>
      <c r="AH10" s="12"/>
      <c r="AI10" s="15" t="s">
        <v>65</v>
      </c>
      <c r="AJ10" s="12"/>
      <c r="AK10" s="15" t="s">
        <v>65</v>
      </c>
      <c r="AL10" s="18"/>
      <c r="AM10" s="15" t="s">
        <v>65</v>
      </c>
      <c r="AN10" s="18"/>
      <c r="AO10" s="15" t="s">
        <v>65</v>
      </c>
    </row>
    <row r="11" spans="1:41" x14ac:dyDescent="0.25">
      <c r="A11" s="96"/>
      <c r="B11" s="122"/>
      <c r="C11" s="13"/>
      <c r="D11" s="16" t="s">
        <v>66</v>
      </c>
      <c r="E11" s="13"/>
      <c r="F11" s="16" t="s">
        <v>66</v>
      </c>
      <c r="G11" s="13">
        <v>1</v>
      </c>
      <c r="H11" s="16" t="s">
        <v>66</v>
      </c>
      <c r="I11" s="14"/>
      <c r="J11" s="16" t="s">
        <v>66</v>
      </c>
      <c r="K11" s="14">
        <v>1</v>
      </c>
      <c r="L11" s="16" t="s">
        <v>66</v>
      </c>
      <c r="M11" s="14"/>
      <c r="N11" s="16" t="s">
        <v>66</v>
      </c>
      <c r="O11" s="14">
        <v>1</v>
      </c>
      <c r="P11" s="16" t="s">
        <v>66</v>
      </c>
      <c r="Q11" s="35"/>
      <c r="R11" s="16" t="s">
        <v>66</v>
      </c>
      <c r="S11" s="35">
        <v>1</v>
      </c>
      <c r="T11" s="16" t="s">
        <v>66</v>
      </c>
      <c r="U11" s="9"/>
      <c r="V11" s="96"/>
      <c r="W11" s="122"/>
      <c r="X11" s="13"/>
      <c r="Y11" s="16" t="s">
        <v>66</v>
      </c>
      <c r="Z11" s="13"/>
      <c r="AA11" s="16" t="s">
        <v>66</v>
      </c>
      <c r="AB11" s="13"/>
      <c r="AC11" s="16" t="s">
        <v>66</v>
      </c>
      <c r="AD11" s="14"/>
      <c r="AE11" s="16" t="s">
        <v>66</v>
      </c>
      <c r="AF11" s="14"/>
      <c r="AG11" s="16" t="s">
        <v>66</v>
      </c>
      <c r="AH11" s="14"/>
      <c r="AI11" s="16" t="s">
        <v>66</v>
      </c>
      <c r="AJ11" s="14"/>
      <c r="AK11" s="16" t="s">
        <v>66</v>
      </c>
      <c r="AL11" s="19"/>
      <c r="AM11" s="16" t="s">
        <v>66</v>
      </c>
      <c r="AN11" s="19"/>
      <c r="AO11" s="16" t="s">
        <v>66</v>
      </c>
    </row>
    <row r="12" spans="1:41" x14ac:dyDescent="0.25">
      <c r="A12" s="96"/>
      <c r="B12" s="122" t="s">
        <v>31</v>
      </c>
      <c r="C12" s="11"/>
      <c r="D12" s="15" t="s">
        <v>65</v>
      </c>
      <c r="E12" s="11"/>
      <c r="F12" s="15" t="s">
        <v>65</v>
      </c>
      <c r="G12" s="11">
        <v>1</v>
      </c>
      <c r="H12" s="15" t="s">
        <v>65</v>
      </c>
      <c r="I12" s="12"/>
      <c r="J12" s="15" t="s">
        <v>65</v>
      </c>
      <c r="K12" s="12"/>
      <c r="L12" s="15" t="s">
        <v>65</v>
      </c>
      <c r="M12" s="12"/>
      <c r="N12" s="15" t="s">
        <v>65</v>
      </c>
      <c r="O12" s="12"/>
      <c r="P12" s="15" t="s">
        <v>65</v>
      </c>
      <c r="Q12" s="34"/>
      <c r="R12" s="15" t="s">
        <v>65</v>
      </c>
      <c r="S12" s="34"/>
      <c r="T12" s="15" t="s">
        <v>65</v>
      </c>
      <c r="U12" s="9"/>
      <c r="V12" s="96"/>
      <c r="W12" s="122" t="s">
        <v>6</v>
      </c>
      <c r="X12" s="11"/>
      <c r="Y12" s="15" t="s">
        <v>65</v>
      </c>
      <c r="Z12" s="11"/>
      <c r="AA12" s="15" t="s">
        <v>65</v>
      </c>
      <c r="AB12" s="11"/>
      <c r="AC12" s="15" t="s">
        <v>65</v>
      </c>
      <c r="AD12" s="12"/>
      <c r="AE12" s="15" t="s">
        <v>65</v>
      </c>
      <c r="AF12" s="12"/>
      <c r="AG12" s="15" t="s">
        <v>65</v>
      </c>
      <c r="AH12" s="12"/>
      <c r="AI12" s="15" t="s">
        <v>65</v>
      </c>
      <c r="AJ12" s="12"/>
      <c r="AK12" s="15" t="s">
        <v>65</v>
      </c>
      <c r="AL12" s="18"/>
      <c r="AM12" s="15" t="s">
        <v>65</v>
      </c>
      <c r="AN12" s="18"/>
      <c r="AO12" s="15" t="s">
        <v>65</v>
      </c>
    </row>
    <row r="13" spans="1:41" x14ac:dyDescent="0.25">
      <c r="A13" s="96"/>
      <c r="B13" s="122"/>
      <c r="C13" s="13"/>
      <c r="D13" s="16" t="s">
        <v>66</v>
      </c>
      <c r="E13" s="13"/>
      <c r="F13" s="16" t="s">
        <v>66</v>
      </c>
      <c r="G13" s="13">
        <v>1</v>
      </c>
      <c r="H13" s="16" t="s">
        <v>66</v>
      </c>
      <c r="I13" s="14"/>
      <c r="J13" s="16" t="s">
        <v>66</v>
      </c>
      <c r="K13" s="14"/>
      <c r="L13" s="16" t="s">
        <v>66</v>
      </c>
      <c r="M13" s="14"/>
      <c r="N13" s="16" t="s">
        <v>66</v>
      </c>
      <c r="O13" s="14"/>
      <c r="P13" s="16" t="s">
        <v>66</v>
      </c>
      <c r="Q13" s="35"/>
      <c r="R13" s="16" t="s">
        <v>66</v>
      </c>
      <c r="S13" s="35"/>
      <c r="T13" s="16" t="s">
        <v>66</v>
      </c>
      <c r="U13" s="9"/>
      <c r="V13" s="96"/>
      <c r="W13" s="122"/>
      <c r="X13" s="13"/>
      <c r="Y13" s="16" t="s">
        <v>66</v>
      </c>
      <c r="Z13" s="13"/>
      <c r="AA13" s="16" t="s">
        <v>66</v>
      </c>
      <c r="AB13" s="13"/>
      <c r="AC13" s="16" t="s">
        <v>66</v>
      </c>
      <c r="AD13" s="14"/>
      <c r="AE13" s="16" t="s">
        <v>66</v>
      </c>
      <c r="AF13" s="14"/>
      <c r="AG13" s="16" t="s">
        <v>66</v>
      </c>
      <c r="AH13" s="14"/>
      <c r="AI13" s="16" t="s">
        <v>66</v>
      </c>
      <c r="AJ13" s="14"/>
      <c r="AK13" s="16" t="s">
        <v>66</v>
      </c>
      <c r="AL13" s="19"/>
      <c r="AM13" s="16" t="s">
        <v>66</v>
      </c>
      <c r="AN13" s="19"/>
      <c r="AO13" s="16" t="s">
        <v>66</v>
      </c>
    </row>
    <row r="14" spans="1:41" x14ac:dyDescent="0.25">
      <c r="A14" s="96"/>
      <c r="B14" s="122" t="s">
        <v>32</v>
      </c>
      <c r="C14" s="11"/>
      <c r="D14" s="15" t="s">
        <v>65</v>
      </c>
      <c r="E14" s="11"/>
      <c r="F14" s="15" t="s">
        <v>65</v>
      </c>
      <c r="G14" s="11"/>
      <c r="H14" s="15" t="s">
        <v>65</v>
      </c>
      <c r="I14" s="12">
        <v>1</v>
      </c>
      <c r="J14" s="15" t="s">
        <v>65</v>
      </c>
      <c r="K14" s="12"/>
      <c r="L14" s="15" t="s">
        <v>65</v>
      </c>
      <c r="M14" s="12"/>
      <c r="N14" s="15" t="s">
        <v>65</v>
      </c>
      <c r="O14" s="12"/>
      <c r="P14" s="15" t="s">
        <v>65</v>
      </c>
      <c r="Q14" s="34"/>
      <c r="R14" s="15" t="s">
        <v>65</v>
      </c>
      <c r="S14" s="34"/>
      <c r="T14" s="15" t="s">
        <v>65</v>
      </c>
      <c r="U14" s="9"/>
      <c r="V14" s="96"/>
      <c r="W14" s="122" t="s">
        <v>7</v>
      </c>
      <c r="X14" s="11"/>
      <c r="Y14" s="15" t="s">
        <v>65</v>
      </c>
      <c r="Z14" s="11"/>
      <c r="AA14" s="15" t="s">
        <v>65</v>
      </c>
      <c r="AB14" s="11"/>
      <c r="AC14" s="15" t="s">
        <v>65</v>
      </c>
      <c r="AD14" s="12"/>
      <c r="AE14" s="15" t="s">
        <v>65</v>
      </c>
      <c r="AF14" s="12"/>
      <c r="AG14" s="15" t="s">
        <v>65</v>
      </c>
      <c r="AH14" s="12"/>
      <c r="AI14" s="15" t="s">
        <v>65</v>
      </c>
      <c r="AJ14" s="12"/>
      <c r="AK14" s="15" t="s">
        <v>65</v>
      </c>
      <c r="AL14" s="18"/>
      <c r="AM14" s="15" t="s">
        <v>65</v>
      </c>
      <c r="AN14" s="18"/>
      <c r="AO14" s="15" t="s">
        <v>65</v>
      </c>
    </row>
    <row r="15" spans="1:41" x14ac:dyDescent="0.25">
      <c r="A15" s="96"/>
      <c r="B15" s="122"/>
      <c r="C15" s="13"/>
      <c r="D15" s="16" t="s">
        <v>66</v>
      </c>
      <c r="E15" s="13"/>
      <c r="F15" s="16" t="s">
        <v>66</v>
      </c>
      <c r="G15" s="13"/>
      <c r="H15" s="16" t="s">
        <v>66</v>
      </c>
      <c r="I15" s="14">
        <v>1</v>
      </c>
      <c r="J15" s="16" t="s">
        <v>66</v>
      </c>
      <c r="K15" s="14"/>
      <c r="L15" s="16" t="s">
        <v>66</v>
      </c>
      <c r="M15" s="14"/>
      <c r="N15" s="16" t="s">
        <v>66</v>
      </c>
      <c r="O15" s="14">
        <v>1</v>
      </c>
      <c r="P15" s="16" t="s">
        <v>66</v>
      </c>
      <c r="Q15" s="35"/>
      <c r="R15" s="16" t="s">
        <v>66</v>
      </c>
      <c r="S15" s="35"/>
      <c r="T15" s="16" t="s">
        <v>66</v>
      </c>
      <c r="U15" s="9"/>
      <c r="V15" s="96"/>
      <c r="W15" s="122"/>
      <c r="X15" s="13"/>
      <c r="Y15" s="16" t="s">
        <v>66</v>
      </c>
      <c r="Z15" s="13"/>
      <c r="AA15" s="16" t="s">
        <v>66</v>
      </c>
      <c r="AB15" s="13"/>
      <c r="AC15" s="16" t="s">
        <v>66</v>
      </c>
      <c r="AD15" s="14"/>
      <c r="AE15" s="16" t="s">
        <v>66</v>
      </c>
      <c r="AF15" s="14"/>
      <c r="AG15" s="16" t="s">
        <v>66</v>
      </c>
      <c r="AH15" s="14"/>
      <c r="AI15" s="16" t="s">
        <v>66</v>
      </c>
      <c r="AJ15" s="14"/>
      <c r="AK15" s="16" t="s">
        <v>66</v>
      </c>
      <c r="AL15" s="19"/>
      <c r="AM15" s="16" t="s">
        <v>66</v>
      </c>
      <c r="AN15" s="19"/>
      <c r="AO15" s="16" t="s">
        <v>66</v>
      </c>
    </row>
    <row r="16" spans="1:41" x14ac:dyDescent="0.25">
      <c r="A16" s="96"/>
      <c r="B16" s="122" t="s">
        <v>33</v>
      </c>
      <c r="C16" s="11"/>
      <c r="D16" s="15" t="s">
        <v>65</v>
      </c>
      <c r="E16" s="11">
        <v>1</v>
      </c>
      <c r="F16" s="15" t="s">
        <v>65</v>
      </c>
      <c r="G16" s="11">
        <v>1</v>
      </c>
      <c r="H16" s="15" t="s">
        <v>65</v>
      </c>
      <c r="I16" s="12"/>
      <c r="J16" s="15" t="s">
        <v>65</v>
      </c>
      <c r="K16" s="12"/>
      <c r="L16" s="15" t="s">
        <v>65</v>
      </c>
      <c r="M16" s="12"/>
      <c r="N16" s="15" t="s">
        <v>65</v>
      </c>
      <c r="O16" s="12"/>
      <c r="P16" s="15" t="s">
        <v>65</v>
      </c>
      <c r="Q16" s="34"/>
      <c r="R16" s="15" t="s">
        <v>65</v>
      </c>
      <c r="S16" s="34"/>
      <c r="T16" s="15" t="s">
        <v>65</v>
      </c>
      <c r="U16" s="9"/>
      <c r="V16" s="96"/>
      <c r="W16" s="122" t="s">
        <v>8</v>
      </c>
      <c r="X16" s="11"/>
      <c r="Y16" s="15" t="s">
        <v>65</v>
      </c>
      <c r="Z16" s="11"/>
      <c r="AA16" s="15" t="s">
        <v>65</v>
      </c>
      <c r="AB16" s="11"/>
      <c r="AC16" s="15" t="s">
        <v>65</v>
      </c>
      <c r="AD16" s="12"/>
      <c r="AE16" s="15" t="s">
        <v>65</v>
      </c>
      <c r="AF16" s="12"/>
      <c r="AG16" s="15" t="s">
        <v>65</v>
      </c>
      <c r="AH16" s="12"/>
      <c r="AI16" s="15" t="s">
        <v>65</v>
      </c>
      <c r="AJ16" s="12"/>
      <c r="AK16" s="15" t="s">
        <v>65</v>
      </c>
      <c r="AL16" s="18"/>
      <c r="AM16" s="15" t="s">
        <v>65</v>
      </c>
      <c r="AN16" s="18"/>
      <c r="AO16" s="15" t="s">
        <v>65</v>
      </c>
    </row>
    <row r="17" spans="1:41" x14ac:dyDescent="0.25">
      <c r="A17" s="96"/>
      <c r="B17" s="122"/>
      <c r="C17" s="13"/>
      <c r="D17" s="16" t="s">
        <v>66</v>
      </c>
      <c r="E17" s="13"/>
      <c r="F17" s="16" t="s">
        <v>66</v>
      </c>
      <c r="G17" s="13">
        <v>1</v>
      </c>
      <c r="H17" s="16" t="s">
        <v>66</v>
      </c>
      <c r="I17" s="14"/>
      <c r="J17" s="16" t="s">
        <v>66</v>
      </c>
      <c r="K17" s="14"/>
      <c r="L17" s="16" t="s">
        <v>66</v>
      </c>
      <c r="M17" s="14"/>
      <c r="N17" s="16" t="s">
        <v>66</v>
      </c>
      <c r="O17" s="14"/>
      <c r="P17" s="16" t="s">
        <v>66</v>
      </c>
      <c r="Q17" s="35"/>
      <c r="R17" s="16" t="s">
        <v>66</v>
      </c>
      <c r="S17" s="35"/>
      <c r="T17" s="16" t="s">
        <v>66</v>
      </c>
      <c r="U17" s="9"/>
      <c r="V17" s="96"/>
      <c r="W17" s="122"/>
      <c r="X17" s="13"/>
      <c r="Y17" s="16" t="s">
        <v>66</v>
      </c>
      <c r="Z17" s="13"/>
      <c r="AA17" s="16" t="s">
        <v>66</v>
      </c>
      <c r="AB17" s="13"/>
      <c r="AC17" s="16" t="s">
        <v>66</v>
      </c>
      <c r="AD17" s="14"/>
      <c r="AE17" s="16" t="s">
        <v>66</v>
      </c>
      <c r="AF17" s="14"/>
      <c r="AG17" s="16" t="s">
        <v>66</v>
      </c>
      <c r="AH17" s="14"/>
      <c r="AI17" s="16" t="s">
        <v>66</v>
      </c>
      <c r="AJ17" s="14"/>
      <c r="AK17" s="16" t="s">
        <v>66</v>
      </c>
      <c r="AL17" s="19"/>
      <c r="AM17" s="16" t="s">
        <v>66</v>
      </c>
      <c r="AN17" s="19"/>
      <c r="AO17" s="16" t="s">
        <v>66</v>
      </c>
    </row>
    <row r="18" spans="1:41" x14ac:dyDescent="0.25">
      <c r="A18" s="96"/>
      <c r="B18" s="122" t="s">
        <v>34</v>
      </c>
      <c r="C18" s="11"/>
      <c r="D18" s="15" t="s">
        <v>65</v>
      </c>
      <c r="E18" s="11"/>
      <c r="F18" s="15" t="s">
        <v>65</v>
      </c>
      <c r="G18" s="11"/>
      <c r="H18" s="15" t="s">
        <v>65</v>
      </c>
      <c r="I18" s="12">
        <v>1</v>
      </c>
      <c r="J18" s="15" t="s">
        <v>65</v>
      </c>
      <c r="K18" s="12"/>
      <c r="L18" s="15" t="s">
        <v>65</v>
      </c>
      <c r="M18" s="12"/>
      <c r="N18" s="15" t="s">
        <v>65</v>
      </c>
      <c r="O18" s="12"/>
      <c r="P18" s="15" t="s">
        <v>65</v>
      </c>
      <c r="Q18" s="34"/>
      <c r="R18" s="15" t="s">
        <v>65</v>
      </c>
      <c r="S18" s="34"/>
      <c r="T18" s="15" t="s">
        <v>65</v>
      </c>
      <c r="U18" s="9"/>
      <c r="V18" s="96"/>
      <c r="W18" s="122" t="s">
        <v>9</v>
      </c>
      <c r="X18" s="11"/>
      <c r="Y18" s="15" t="s">
        <v>65</v>
      </c>
      <c r="Z18" s="11"/>
      <c r="AA18" s="15" t="s">
        <v>65</v>
      </c>
      <c r="AB18" s="11"/>
      <c r="AC18" s="15" t="s">
        <v>65</v>
      </c>
      <c r="AD18" s="12"/>
      <c r="AE18" s="15" t="s">
        <v>65</v>
      </c>
      <c r="AF18" s="12"/>
      <c r="AG18" s="15" t="s">
        <v>65</v>
      </c>
      <c r="AH18" s="12"/>
      <c r="AI18" s="15" t="s">
        <v>65</v>
      </c>
      <c r="AJ18" s="12"/>
      <c r="AK18" s="15" t="s">
        <v>65</v>
      </c>
      <c r="AL18" s="18"/>
      <c r="AM18" s="15" t="s">
        <v>65</v>
      </c>
      <c r="AN18" s="18"/>
      <c r="AO18" s="15" t="s">
        <v>65</v>
      </c>
    </row>
    <row r="19" spans="1:41" x14ac:dyDescent="0.25">
      <c r="A19" s="96"/>
      <c r="B19" s="122"/>
      <c r="C19" s="13"/>
      <c r="D19" s="16" t="s">
        <v>66</v>
      </c>
      <c r="E19" s="13"/>
      <c r="F19" s="16" t="s">
        <v>66</v>
      </c>
      <c r="G19" s="13"/>
      <c r="H19" s="16" t="s">
        <v>66</v>
      </c>
      <c r="I19" s="14">
        <v>1</v>
      </c>
      <c r="J19" s="16" t="s">
        <v>66</v>
      </c>
      <c r="K19" s="14">
        <v>1</v>
      </c>
      <c r="L19" s="16" t="s">
        <v>66</v>
      </c>
      <c r="M19" s="14"/>
      <c r="N19" s="16" t="s">
        <v>66</v>
      </c>
      <c r="O19" s="14"/>
      <c r="P19" s="16" t="s">
        <v>66</v>
      </c>
      <c r="Q19" s="35"/>
      <c r="R19" s="16" t="s">
        <v>66</v>
      </c>
      <c r="S19" s="35"/>
      <c r="T19" s="16" t="s">
        <v>66</v>
      </c>
      <c r="U19" s="9"/>
      <c r="V19" s="96"/>
      <c r="W19" s="122"/>
      <c r="X19" s="13"/>
      <c r="Y19" s="16" t="s">
        <v>66</v>
      </c>
      <c r="Z19" s="13"/>
      <c r="AA19" s="16" t="s">
        <v>66</v>
      </c>
      <c r="AB19" s="13"/>
      <c r="AC19" s="16" t="s">
        <v>66</v>
      </c>
      <c r="AD19" s="14"/>
      <c r="AE19" s="16" t="s">
        <v>66</v>
      </c>
      <c r="AF19" s="14"/>
      <c r="AG19" s="16" t="s">
        <v>66</v>
      </c>
      <c r="AH19" s="14"/>
      <c r="AI19" s="16" t="s">
        <v>66</v>
      </c>
      <c r="AJ19" s="14"/>
      <c r="AK19" s="16" t="s">
        <v>66</v>
      </c>
      <c r="AL19" s="19"/>
      <c r="AM19" s="16" t="s">
        <v>66</v>
      </c>
      <c r="AN19" s="19"/>
      <c r="AO19" s="16" t="s">
        <v>66</v>
      </c>
    </row>
    <row r="20" spans="1:41" x14ac:dyDescent="0.25">
      <c r="A20" s="96"/>
      <c r="B20" s="122" t="s">
        <v>35</v>
      </c>
      <c r="C20" s="11"/>
      <c r="D20" s="15" t="s">
        <v>65</v>
      </c>
      <c r="E20" s="11"/>
      <c r="F20" s="15" t="s">
        <v>65</v>
      </c>
      <c r="G20" s="11">
        <v>1</v>
      </c>
      <c r="H20" s="15" t="s">
        <v>65</v>
      </c>
      <c r="I20" s="12">
        <v>1</v>
      </c>
      <c r="J20" s="15" t="s">
        <v>65</v>
      </c>
      <c r="K20" s="12">
        <v>1</v>
      </c>
      <c r="L20" s="15" t="s">
        <v>65</v>
      </c>
      <c r="M20" s="12"/>
      <c r="N20" s="15" t="s">
        <v>65</v>
      </c>
      <c r="O20" s="12"/>
      <c r="P20" s="15" t="s">
        <v>65</v>
      </c>
      <c r="Q20" s="34"/>
      <c r="R20" s="15" t="s">
        <v>65</v>
      </c>
      <c r="S20" s="34"/>
      <c r="T20" s="15" t="s">
        <v>65</v>
      </c>
      <c r="U20" s="9"/>
      <c r="V20" s="96"/>
      <c r="W20" s="122" t="s">
        <v>10</v>
      </c>
      <c r="X20" s="11"/>
      <c r="Y20" s="15" t="s">
        <v>65</v>
      </c>
      <c r="Z20" s="11"/>
      <c r="AA20" s="15" t="s">
        <v>65</v>
      </c>
      <c r="AB20" s="11"/>
      <c r="AC20" s="15" t="s">
        <v>65</v>
      </c>
      <c r="AD20" s="12"/>
      <c r="AE20" s="15" t="s">
        <v>65</v>
      </c>
      <c r="AF20" s="12"/>
      <c r="AG20" s="15" t="s">
        <v>65</v>
      </c>
      <c r="AH20" s="12"/>
      <c r="AI20" s="15" t="s">
        <v>65</v>
      </c>
      <c r="AJ20" s="12"/>
      <c r="AK20" s="15" t="s">
        <v>65</v>
      </c>
      <c r="AL20" s="18"/>
      <c r="AM20" s="15" t="s">
        <v>65</v>
      </c>
      <c r="AN20" s="18"/>
      <c r="AO20" s="15" t="s">
        <v>65</v>
      </c>
    </row>
    <row r="21" spans="1:41" x14ac:dyDescent="0.25">
      <c r="A21" s="96"/>
      <c r="B21" s="122"/>
      <c r="C21" s="13"/>
      <c r="D21" s="16" t="s">
        <v>66</v>
      </c>
      <c r="E21" s="13"/>
      <c r="F21" s="16" t="s">
        <v>66</v>
      </c>
      <c r="G21" s="13">
        <v>1</v>
      </c>
      <c r="H21" s="16" t="s">
        <v>66</v>
      </c>
      <c r="I21" s="14"/>
      <c r="J21" s="16" t="s">
        <v>66</v>
      </c>
      <c r="K21" s="14"/>
      <c r="L21" s="16" t="s">
        <v>66</v>
      </c>
      <c r="M21" s="14"/>
      <c r="N21" s="16" t="s">
        <v>66</v>
      </c>
      <c r="O21" s="14">
        <v>1</v>
      </c>
      <c r="P21" s="16" t="s">
        <v>66</v>
      </c>
      <c r="Q21" s="35"/>
      <c r="R21" s="16" t="s">
        <v>66</v>
      </c>
      <c r="S21" s="35"/>
      <c r="T21" s="16" t="s">
        <v>66</v>
      </c>
      <c r="U21" s="9"/>
      <c r="V21" s="96"/>
      <c r="W21" s="122"/>
      <c r="X21" s="13"/>
      <c r="Y21" s="16" t="s">
        <v>66</v>
      </c>
      <c r="Z21" s="13"/>
      <c r="AA21" s="16" t="s">
        <v>66</v>
      </c>
      <c r="AB21" s="13"/>
      <c r="AC21" s="16" t="s">
        <v>66</v>
      </c>
      <c r="AD21" s="14"/>
      <c r="AE21" s="16" t="s">
        <v>66</v>
      </c>
      <c r="AF21" s="14"/>
      <c r="AG21" s="16" t="s">
        <v>66</v>
      </c>
      <c r="AH21" s="14"/>
      <c r="AI21" s="16" t="s">
        <v>66</v>
      </c>
      <c r="AJ21" s="14"/>
      <c r="AK21" s="16" t="s">
        <v>66</v>
      </c>
      <c r="AL21" s="19"/>
      <c r="AM21" s="16" t="s">
        <v>66</v>
      </c>
      <c r="AN21" s="19"/>
      <c r="AO21" s="16" t="s">
        <v>66</v>
      </c>
    </row>
    <row r="22" spans="1:41" x14ac:dyDescent="0.25">
      <c r="A22" s="96"/>
      <c r="B22" s="122" t="s">
        <v>36</v>
      </c>
      <c r="C22" s="11"/>
      <c r="D22" s="15" t="s">
        <v>65</v>
      </c>
      <c r="E22" s="11"/>
      <c r="F22" s="15" t="s">
        <v>65</v>
      </c>
      <c r="G22" s="11">
        <v>1</v>
      </c>
      <c r="H22" s="15" t="s">
        <v>65</v>
      </c>
      <c r="I22" s="12">
        <v>1</v>
      </c>
      <c r="J22" s="15" t="s">
        <v>65</v>
      </c>
      <c r="K22" s="12">
        <v>1</v>
      </c>
      <c r="L22" s="15" t="s">
        <v>65</v>
      </c>
      <c r="M22" s="12"/>
      <c r="N22" s="15" t="s">
        <v>65</v>
      </c>
      <c r="O22" s="12"/>
      <c r="P22" s="15" t="s">
        <v>65</v>
      </c>
      <c r="Q22" s="18"/>
      <c r="R22" s="15" t="s">
        <v>65</v>
      </c>
      <c r="S22" s="34"/>
      <c r="T22" s="15" t="s">
        <v>65</v>
      </c>
      <c r="U22" s="9"/>
      <c r="V22" s="96"/>
      <c r="W22" s="122" t="s">
        <v>11</v>
      </c>
      <c r="X22" s="11"/>
      <c r="Y22" s="15" t="s">
        <v>65</v>
      </c>
      <c r="Z22" s="11"/>
      <c r="AA22" s="15" t="s">
        <v>65</v>
      </c>
      <c r="AB22" s="11"/>
      <c r="AC22" s="15" t="s">
        <v>65</v>
      </c>
      <c r="AD22" s="12"/>
      <c r="AE22" s="15" t="s">
        <v>65</v>
      </c>
      <c r="AF22" s="12"/>
      <c r="AG22" s="15" t="s">
        <v>65</v>
      </c>
      <c r="AH22" s="12"/>
      <c r="AI22" s="15" t="s">
        <v>65</v>
      </c>
      <c r="AJ22" s="12"/>
      <c r="AK22" s="15" t="s">
        <v>65</v>
      </c>
      <c r="AL22" s="18"/>
      <c r="AM22" s="15" t="s">
        <v>65</v>
      </c>
      <c r="AN22" s="18"/>
      <c r="AO22" s="15" t="s">
        <v>65</v>
      </c>
    </row>
    <row r="23" spans="1:41" x14ac:dyDescent="0.25">
      <c r="A23" s="96"/>
      <c r="B23" s="122"/>
      <c r="C23" s="13"/>
      <c r="D23" s="16" t="s">
        <v>66</v>
      </c>
      <c r="E23" s="13"/>
      <c r="F23" s="16" t="s">
        <v>66</v>
      </c>
      <c r="G23" s="13">
        <v>1</v>
      </c>
      <c r="H23" s="16" t="s">
        <v>66</v>
      </c>
      <c r="I23" s="14">
        <v>1</v>
      </c>
      <c r="J23" s="16" t="s">
        <v>66</v>
      </c>
      <c r="K23" s="14"/>
      <c r="L23" s="16" t="s">
        <v>66</v>
      </c>
      <c r="M23" s="14"/>
      <c r="N23" s="16" t="s">
        <v>66</v>
      </c>
      <c r="O23" s="14"/>
      <c r="P23" s="16" t="s">
        <v>66</v>
      </c>
      <c r="Q23" s="35"/>
      <c r="R23" s="16" t="s">
        <v>66</v>
      </c>
      <c r="S23" s="35"/>
      <c r="T23" s="16" t="s">
        <v>66</v>
      </c>
      <c r="U23" s="9"/>
      <c r="V23" s="96"/>
      <c r="W23" s="122"/>
      <c r="X23" s="13"/>
      <c r="Y23" s="16" t="s">
        <v>66</v>
      </c>
      <c r="Z23" s="13"/>
      <c r="AA23" s="16" t="s">
        <v>66</v>
      </c>
      <c r="AB23" s="13"/>
      <c r="AC23" s="16" t="s">
        <v>66</v>
      </c>
      <c r="AD23" s="14"/>
      <c r="AE23" s="16" t="s">
        <v>66</v>
      </c>
      <c r="AF23" s="14"/>
      <c r="AG23" s="16" t="s">
        <v>66</v>
      </c>
      <c r="AH23" s="14"/>
      <c r="AI23" s="16" t="s">
        <v>66</v>
      </c>
      <c r="AJ23" s="14"/>
      <c r="AK23" s="16" t="s">
        <v>66</v>
      </c>
      <c r="AL23" s="19"/>
      <c r="AM23" s="16" t="s">
        <v>66</v>
      </c>
      <c r="AN23" s="19"/>
      <c r="AO23" s="16" t="s">
        <v>66</v>
      </c>
    </row>
    <row r="24" spans="1:41" x14ac:dyDescent="0.25">
      <c r="A24" s="96"/>
      <c r="B24" s="122" t="s">
        <v>37</v>
      </c>
      <c r="C24" s="11"/>
      <c r="D24" s="15" t="s">
        <v>65</v>
      </c>
      <c r="E24" s="11"/>
      <c r="F24" s="15" t="s">
        <v>65</v>
      </c>
      <c r="G24" s="11"/>
      <c r="H24" s="15" t="s">
        <v>65</v>
      </c>
      <c r="I24" s="12"/>
      <c r="J24" s="15" t="s">
        <v>65</v>
      </c>
      <c r="K24" s="12"/>
      <c r="L24" s="15" t="s">
        <v>65</v>
      </c>
      <c r="M24" s="12"/>
      <c r="N24" s="15" t="s">
        <v>65</v>
      </c>
      <c r="O24" s="12"/>
      <c r="P24" s="15" t="s">
        <v>65</v>
      </c>
      <c r="Q24" s="18"/>
      <c r="R24" s="15" t="s">
        <v>65</v>
      </c>
      <c r="S24" s="18"/>
      <c r="T24" s="15" t="s">
        <v>65</v>
      </c>
      <c r="U24" s="9"/>
      <c r="V24" s="96"/>
      <c r="W24" s="122" t="s">
        <v>25</v>
      </c>
      <c r="X24" s="11"/>
      <c r="Y24" s="15" t="s">
        <v>65</v>
      </c>
      <c r="Z24" s="11"/>
      <c r="AA24" s="15" t="s">
        <v>65</v>
      </c>
      <c r="AB24" s="11"/>
      <c r="AC24" s="15" t="s">
        <v>65</v>
      </c>
      <c r="AD24" s="12"/>
      <c r="AE24" s="15" t="s">
        <v>65</v>
      </c>
      <c r="AF24" s="12"/>
      <c r="AG24" s="15" t="s">
        <v>65</v>
      </c>
      <c r="AH24" s="12"/>
      <c r="AI24" s="15" t="s">
        <v>65</v>
      </c>
      <c r="AJ24" s="12"/>
      <c r="AK24" s="15" t="s">
        <v>65</v>
      </c>
      <c r="AL24" s="18"/>
      <c r="AM24" s="15" t="s">
        <v>65</v>
      </c>
      <c r="AN24" s="18"/>
      <c r="AO24" s="15" t="s">
        <v>65</v>
      </c>
    </row>
    <row r="25" spans="1:41" x14ac:dyDescent="0.25">
      <c r="A25" s="96"/>
      <c r="B25" s="122"/>
      <c r="C25" s="13"/>
      <c r="D25" s="16" t="s">
        <v>66</v>
      </c>
      <c r="E25" s="13"/>
      <c r="F25" s="16" t="s">
        <v>66</v>
      </c>
      <c r="G25" s="13"/>
      <c r="H25" s="16" t="s">
        <v>66</v>
      </c>
      <c r="I25" s="14"/>
      <c r="J25" s="16" t="s">
        <v>66</v>
      </c>
      <c r="K25" s="14"/>
      <c r="L25" s="16" t="s">
        <v>66</v>
      </c>
      <c r="M25" s="14"/>
      <c r="N25" s="16" t="s">
        <v>66</v>
      </c>
      <c r="O25" s="14"/>
      <c r="P25" s="16" t="s">
        <v>66</v>
      </c>
      <c r="Q25" s="19"/>
      <c r="R25" s="16" t="s">
        <v>66</v>
      </c>
      <c r="S25" s="19"/>
      <c r="T25" s="16" t="s">
        <v>66</v>
      </c>
      <c r="U25" s="9"/>
      <c r="V25" s="96"/>
      <c r="W25" s="122"/>
      <c r="X25" s="13"/>
      <c r="Y25" s="16" t="s">
        <v>66</v>
      </c>
      <c r="Z25" s="13"/>
      <c r="AA25" s="16" t="s">
        <v>66</v>
      </c>
      <c r="AB25" s="13"/>
      <c r="AC25" s="16" t="s">
        <v>66</v>
      </c>
      <c r="AD25" s="14"/>
      <c r="AE25" s="16" t="s">
        <v>66</v>
      </c>
      <c r="AF25" s="14"/>
      <c r="AG25" s="16" t="s">
        <v>66</v>
      </c>
      <c r="AH25" s="14"/>
      <c r="AI25" s="16" t="s">
        <v>66</v>
      </c>
      <c r="AJ25" s="14"/>
      <c r="AK25" s="16" t="s">
        <v>66</v>
      </c>
      <c r="AL25" s="19"/>
      <c r="AM25" s="16" t="s">
        <v>66</v>
      </c>
      <c r="AN25" s="19"/>
      <c r="AO25" s="16" t="s">
        <v>66</v>
      </c>
    </row>
    <row r="26" spans="1:41" x14ac:dyDescent="0.25">
      <c r="A26" s="96"/>
      <c r="B26" s="122" t="s">
        <v>54</v>
      </c>
      <c r="C26" s="11"/>
      <c r="D26" s="15" t="s">
        <v>65</v>
      </c>
      <c r="E26" s="11"/>
      <c r="F26" s="15" t="s">
        <v>65</v>
      </c>
      <c r="G26" s="11"/>
      <c r="H26" s="15" t="s">
        <v>65</v>
      </c>
      <c r="I26" s="12"/>
      <c r="J26" s="15" t="s">
        <v>65</v>
      </c>
      <c r="K26" s="12"/>
      <c r="L26" s="15" t="s">
        <v>65</v>
      </c>
      <c r="M26" s="12"/>
      <c r="N26" s="15" t="s">
        <v>65</v>
      </c>
      <c r="O26" s="12"/>
      <c r="P26" s="15" t="s">
        <v>65</v>
      </c>
      <c r="Q26" s="18"/>
      <c r="R26" s="15" t="s">
        <v>65</v>
      </c>
      <c r="S26" s="18"/>
      <c r="T26" s="15" t="s">
        <v>65</v>
      </c>
      <c r="U26" s="9"/>
      <c r="V26" s="96"/>
      <c r="W26" s="122" t="s">
        <v>26</v>
      </c>
      <c r="X26" s="11"/>
      <c r="Y26" s="15" t="s">
        <v>65</v>
      </c>
      <c r="Z26" s="11"/>
      <c r="AA26" s="15" t="s">
        <v>65</v>
      </c>
      <c r="AB26" s="11"/>
      <c r="AC26" s="15" t="s">
        <v>65</v>
      </c>
      <c r="AD26" s="12"/>
      <c r="AE26" s="15" t="s">
        <v>65</v>
      </c>
      <c r="AF26" s="12"/>
      <c r="AG26" s="15" t="s">
        <v>65</v>
      </c>
      <c r="AH26" s="12"/>
      <c r="AI26" s="15" t="s">
        <v>65</v>
      </c>
      <c r="AJ26" s="12"/>
      <c r="AK26" s="15" t="s">
        <v>65</v>
      </c>
      <c r="AL26" s="18"/>
      <c r="AM26" s="15" t="s">
        <v>65</v>
      </c>
      <c r="AN26" s="18"/>
      <c r="AO26" s="15" t="s">
        <v>65</v>
      </c>
    </row>
    <row r="27" spans="1:41" x14ac:dyDescent="0.25">
      <c r="A27" s="96"/>
      <c r="B27" s="122"/>
      <c r="C27" s="13"/>
      <c r="D27" s="16" t="s">
        <v>66</v>
      </c>
      <c r="E27" s="13"/>
      <c r="F27" s="16" t="s">
        <v>66</v>
      </c>
      <c r="G27" s="13"/>
      <c r="H27" s="16" t="s">
        <v>66</v>
      </c>
      <c r="I27" s="14"/>
      <c r="J27" s="16" t="s">
        <v>66</v>
      </c>
      <c r="K27" s="14"/>
      <c r="L27" s="16" t="s">
        <v>66</v>
      </c>
      <c r="M27" s="14"/>
      <c r="N27" s="16" t="s">
        <v>66</v>
      </c>
      <c r="O27" s="14"/>
      <c r="P27" s="16" t="s">
        <v>66</v>
      </c>
      <c r="Q27" s="19"/>
      <c r="R27" s="16" t="s">
        <v>66</v>
      </c>
      <c r="S27" s="19"/>
      <c r="T27" s="16" t="s">
        <v>66</v>
      </c>
      <c r="U27" s="9"/>
      <c r="V27" s="96"/>
      <c r="W27" s="122"/>
      <c r="X27" s="13"/>
      <c r="Y27" s="16" t="s">
        <v>66</v>
      </c>
      <c r="Z27" s="13"/>
      <c r="AA27" s="16" t="s">
        <v>66</v>
      </c>
      <c r="AB27" s="13"/>
      <c r="AC27" s="16" t="s">
        <v>66</v>
      </c>
      <c r="AD27" s="14"/>
      <c r="AE27" s="16" t="s">
        <v>66</v>
      </c>
      <c r="AF27" s="14"/>
      <c r="AG27" s="16" t="s">
        <v>66</v>
      </c>
      <c r="AH27" s="14"/>
      <c r="AI27" s="16" t="s">
        <v>66</v>
      </c>
      <c r="AJ27" s="14"/>
      <c r="AK27" s="16" t="s">
        <v>66</v>
      </c>
      <c r="AL27" s="19"/>
      <c r="AM27" s="16" t="s">
        <v>66</v>
      </c>
      <c r="AN27" s="19"/>
      <c r="AO27" s="16" t="s">
        <v>66</v>
      </c>
    </row>
    <row r="28" spans="1:41" x14ac:dyDescent="0.25">
      <c r="A28" s="96"/>
      <c r="B28" s="122" t="s">
        <v>55</v>
      </c>
      <c r="C28" s="11"/>
      <c r="D28" s="15" t="s">
        <v>65</v>
      </c>
      <c r="E28" s="11"/>
      <c r="F28" s="15" t="s">
        <v>65</v>
      </c>
      <c r="G28" s="11"/>
      <c r="H28" s="15" t="s">
        <v>65</v>
      </c>
      <c r="I28" s="12"/>
      <c r="J28" s="15" t="s">
        <v>65</v>
      </c>
      <c r="K28" s="12"/>
      <c r="L28" s="15" t="s">
        <v>65</v>
      </c>
      <c r="M28" s="12"/>
      <c r="N28" s="15" t="s">
        <v>65</v>
      </c>
      <c r="O28" s="12"/>
      <c r="P28" s="15" t="s">
        <v>65</v>
      </c>
      <c r="Q28" s="18"/>
      <c r="R28" s="15" t="s">
        <v>65</v>
      </c>
      <c r="S28" s="18"/>
      <c r="T28" s="15" t="s">
        <v>65</v>
      </c>
      <c r="U28" s="9"/>
      <c r="V28" s="96"/>
      <c r="W28" s="122" t="s">
        <v>12</v>
      </c>
      <c r="X28" s="11"/>
      <c r="Y28" s="15" t="s">
        <v>65</v>
      </c>
      <c r="Z28" s="11"/>
      <c r="AA28" s="15" t="s">
        <v>65</v>
      </c>
      <c r="AB28" s="11"/>
      <c r="AC28" s="15" t="s">
        <v>65</v>
      </c>
      <c r="AD28" s="12"/>
      <c r="AE28" s="15" t="s">
        <v>65</v>
      </c>
      <c r="AF28" s="12"/>
      <c r="AG28" s="15" t="s">
        <v>65</v>
      </c>
      <c r="AH28" s="12"/>
      <c r="AI28" s="15" t="s">
        <v>65</v>
      </c>
      <c r="AJ28" s="12"/>
      <c r="AK28" s="15" t="s">
        <v>65</v>
      </c>
      <c r="AL28" s="18"/>
      <c r="AM28" s="15" t="s">
        <v>65</v>
      </c>
      <c r="AN28" s="18"/>
      <c r="AO28" s="15" t="s">
        <v>65</v>
      </c>
    </row>
    <row r="29" spans="1:41" x14ac:dyDescent="0.25">
      <c r="A29" s="96"/>
      <c r="B29" s="122"/>
      <c r="C29" s="13"/>
      <c r="D29" s="16" t="s">
        <v>66</v>
      </c>
      <c r="E29" s="13"/>
      <c r="F29" s="16" t="s">
        <v>66</v>
      </c>
      <c r="G29" s="13"/>
      <c r="H29" s="16" t="s">
        <v>66</v>
      </c>
      <c r="I29" s="14"/>
      <c r="J29" s="16" t="s">
        <v>66</v>
      </c>
      <c r="K29" s="14"/>
      <c r="L29" s="16" t="s">
        <v>66</v>
      </c>
      <c r="M29" s="14"/>
      <c r="N29" s="16" t="s">
        <v>66</v>
      </c>
      <c r="O29" s="14"/>
      <c r="P29" s="16" t="s">
        <v>66</v>
      </c>
      <c r="Q29" s="19"/>
      <c r="R29" s="16" t="s">
        <v>66</v>
      </c>
      <c r="S29" s="19"/>
      <c r="T29" s="16" t="s">
        <v>66</v>
      </c>
      <c r="U29" s="9"/>
      <c r="V29" s="96"/>
      <c r="W29" s="122"/>
      <c r="X29" s="20"/>
      <c r="Y29" s="17" t="s">
        <v>66</v>
      </c>
      <c r="Z29" s="20"/>
      <c r="AA29" s="17" t="s">
        <v>66</v>
      </c>
      <c r="AB29" s="20"/>
      <c r="AC29" s="17" t="s">
        <v>66</v>
      </c>
      <c r="AD29" s="21"/>
      <c r="AE29" s="17" t="s">
        <v>66</v>
      </c>
      <c r="AF29" s="21"/>
      <c r="AG29" s="17" t="s">
        <v>66</v>
      </c>
      <c r="AH29" s="21"/>
      <c r="AI29" s="17" t="s">
        <v>66</v>
      </c>
      <c r="AJ29" s="21"/>
      <c r="AK29" s="17" t="s">
        <v>66</v>
      </c>
      <c r="AL29" s="22"/>
      <c r="AM29" s="17" t="s">
        <v>66</v>
      </c>
      <c r="AN29" s="22"/>
      <c r="AO29" s="17" t="s">
        <v>66</v>
      </c>
    </row>
    <row r="30" spans="1:41" x14ac:dyDescent="0.25">
      <c r="A30" s="96"/>
      <c r="B30" s="122" t="s">
        <v>38</v>
      </c>
      <c r="C30" s="11"/>
      <c r="D30" s="15" t="s">
        <v>65</v>
      </c>
      <c r="E30" s="11"/>
      <c r="F30" s="15" t="s">
        <v>65</v>
      </c>
      <c r="G30" s="11"/>
      <c r="H30" s="15" t="s">
        <v>65</v>
      </c>
      <c r="I30" s="12"/>
      <c r="J30" s="15" t="s">
        <v>65</v>
      </c>
      <c r="K30" s="12"/>
      <c r="L30" s="15" t="s">
        <v>65</v>
      </c>
      <c r="M30" s="12"/>
      <c r="N30" s="15" t="s">
        <v>65</v>
      </c>
      <c r="O30" s="12"/>
      <c r="P30" s="15" t="s">
        <v>65</v>
      </c>
      <c r="Q30" s="18"/>
      <c r="R30" s="15" t="s">
        <v>65</v>
      </c>
      <c r="S30" s="18" t="s">
        <v>27</v>
      </c>
      <c r="T30" s="15" t="s">
        <v>65</v>
      </c>
      <c r="U30" s="9"/>
      <c r="V30" s="96"/>
      <c r="W30" s="9"/>
      <c r="X30" s="9"/>
      <c r="Y30" s="9"/>
      <c r="Z30" s="9"/>
      <c r="AA30" s="9"/>
      <c r="AB30" s="9"/>
      <c r="AC30" s="9"/>
      <c r="AD30" s="9"/>
      <c r="AE30" s="9"/>
      <c r="AF30" s="9"/>
      <c r="AG30" s="9"/>
      <c r="AH30" s="9"/>
      <c r="AI30" s="9"/>
      <c r="AJ30" s="9"/>
      <c r="AK30" s="9"/>
      <c r="AL30" s="9"/>
      <c r="AM30" s="9"/>
      <c r="AN30" s="9"/>
      <c r="AO30" s="9"/>
    </row>
    <row r="31" spans="1:41" x14ac:dyDescent="0.25">
      <c r="A31" s="10"/>
      <c r="B31" s="122"/>
      <c r="C31" s="20"/>
      <c r="D31" s="17" t="s">
        <v>66</v>
      </c>
      <c r="E31" s="20"/>
      <c r="F31" s="17" t="s">
        <v>66</v>
      </c>
      <c r="G31" s="20"/>
      <c r="H31" s="17" t="s">
        <v>66</v>
      </c>
      <c r="I31" s="21"/>
      <c r="J31" s="17" t="s">
        <v>66</v>
      </c>
      <c r="K31" s="21"/>
      <c r="L31" s="17" t="s">
        <v>66</v>
      </c>
      <c r="M31" s="21"/>
      <c r="N31" s="17" t="s">
        <v>66</v>
      </c>
      <c r="O31" s="21"/>
      <c r="P31" s="17" t="s">
        <v>66</v>
      </c>
      <c r="Q31" s="22"/>
      <c r="R31" s="17" t="s">
        <v>66</v>
      </c>
      <c r="S31" s="22"/>
      <c r="T31" s="17" t="s">
        <v>66</v>
      </c>
      <c r="U31" s="9"/>
      <c r="V31" s="10"/>
      <c r="W31" s="9"/>
      <c r="X31" s="9"/>
      <c r="Y31" s="9"/>
      <c r="Z31" s="9"/>
      <c r="AA31" s="9"/>
      <c r="AB31" s="9"/>
      <c r="AC31" s="9"/>
      <c r="AD31" s="9"/>
      <c r="AE31" s="9"/>
      <c r="AF31" s="9"/>
      <c r="AG31" s="9"/>
      <c r="AH31" s="9"/>
      <c r="AI31" s="9"/>
      <c r="AJ31" s="9"/>
      <c r="AK31" s="9"/>
      <c r="AL31" s="9"/>
      <c r="AM31" s="9"/>
      <c r="AN31" s="9"/>
      <c r="AO31" s="9"/>
    </row>
  </sheetData>
  <mergeCells count="50">
    <mergeCell ref="C5:D5"/>
    <mergeCell ref="E5:F5"/>
    <mergeCell ref="G5:H5"/>
    <mergeCell ref="I5:J5"/>
    <mergeCell ref="K5:L5"/>
    <mergeCell ref="C1:AF1"/>
    <mergeCell ref="C3:T3"/>
    <mergeCell ref="X3:AO3"/>
    <mergeCell ref="C4:T4"/>
    <mergeCell ref="X4:AO4"/>
    <mergeCell ref="AJ5:AK5"/>
    <mergeCell ref="AL5:AM5"/>
    <mergeCell ref="M5:N5"/>
    <mergeCell ref="O5:P5"/>
    <mergeCell ref="Q5:R5"/>
    <mergeCell ref="S5:T5"/>
    <mergeCell ref="X5:Y5"/>
    <mergeCell ref="Z5:AA5"/>
    <mergeCell ref="B18:B19"/>
    <mergeCell ref="W18:W19"/>
    <mergeCell ref="AN5:AO5"/>
    <mergeCell ref="A6:A30"/>
    <mergeCell ref="B6:B7"/>
    <mergeCell ref="V6:V30"/>
    <mergeCell ref="W6:W7"/>
    <mergeCell ref="B8:B9"/>
    <mergeCell ref="W8:W9"/>
    <mergeCell ref="B10:B11"/>
    <mergeCell ref="W10:W11"/>
    <mergeCell ref="B12:B13"/>
    <mergeCell ref="AB5:AC5"/>
    <mergeCell ref="AD5:AE5"/>
    <mergeCell ref="AF5:AG5"/>
    <mergeCell ref="AH5:AI5"/>
    <mergeCell ref="W12:W13"/>
    <mergeCell ref="B14:B15"/>
    <mergeCell ref="W14:W15"/>
    <mergeCell ref="B16:B17"/>
    <mergeCell ref="W16:W17"/>
    <mergeCell ref="B20:B21"/>
    <mergeCell ref="W20:W21"/>
    <mergeCell ref="B22:B23"/>
    <mergeCell ref="W22:W23"/>
    <mergeCell ref="B24:B25"/>
    <mergeCell ref="W24:W25"/>
    <mergeCell ref="B26:B27"/>
    <mergeCell ref="W26:W27"/>
    <mergeCell ref="B28:B29"/>
    <mergeCell ref="W28:W29"/>
    <mergeCell ref="B30:B31"/>
  </mergeCells>
  <pageMargins left="0.7" right="0.7" top="0.75" bottom="0.75" header="0.3" footer="0.3"/>
  <ignoredErrors>
    <ignoredError sqref="C5:T5 B6:B31 W4:W29 X5:AO5"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8"/>
  <dimension ref="A1:AU66"/>
  <sheetViews>
    <sheetView topLeftCell="A3" workbookViewId="0">
      <selection activeCell="K17" sqref="K17"/>
    </sheetView>
  </sheetViews>
  <sheetFormatPr baseColWidth="10" defaultColWidth="11.42578125" defaultRowHeight="15" x14ac:dyDescent="0.25"/>
  <cols>
    <col min="2" max="2" width="5.28515625" bestFit="1" customWidth="1"/>
    <col min="3" max="3" width="4.5703125" bestFit="1" customWidth="1"/>
    <col min="4" max="4" width="2.140625" bestFit="1" customWidth="1"/>
    <col min="5" max="5" width="5.28515625" bestFit="1" customWidth="1"/>
    <col min="6" max="6" width="2.140625" bestFit="1" customWidth="1"/>
    <col min="7" max="7" width="5.28515625" bestFit="1" customWidth="1"/>
    <col min="8" max="8" width="2.140625" bestFit="1" customWidth="1"/>
    <col min="9" max="9" width="5.28515625" bestFit="1" customWidth="1"/>
    <col min="10" max="10" width="2.140625" bestFit="1" customWidth="1"/>
    <col min="11" max="11" width="5.28515625" bestFit="1" customWidth="1"/>
    <col min="12" max="12" width="2.140625" bestFit="1" customWidth="1"/>
    <col min="13" max="13" width="5.28515625" bestFit="1" customWidth="1"/>
    <col min="14" max="14" width="2.140625" bestFit="1" customWidth="1"/>
    <col min="15" max="15" width="5.28515625" bestFit="1" customWidth="1"/>
    <col min="16" max="16" width="2.140625" bestFit="1" customWidth="1"/>
    <col min="17" max="17" width="5.5703125" bestFit="1" customWidth="1"/>
    <col min="18" max="18" width="2.140625" bestFit="1" customWidth="1"/>
    <col min="19" max="19" width="4.5703125" bestFit="1" customWidth="1"/>
    <col min="20" max="20" width="2.140625" bestFit="1" customWidth="1"/>
    <col min="21" max="21" width="1" customWidth="1"/>
    <col min="22" max="22" width="7.42578125" customWidth="1"/>
    <col min="23" max="23" width="5.5703125" bestFit="1" customWidth="1"/>
    <col min="24" max="24" width="5.28515625" bestFit="1" customWidth="1"/>
    <col min="25" max="25" width="2.140625" bestFit="1" customWidth="1"/>
    <col min="26" max="26" width="5.28515625" bestFit="1" customWidth="1"/>
    <col min="27" max="27" width="2.140625" bestFit="1" customWidth="1"/>
    <col min="28" max="28" width="5.28515625" bestFit="1" customWidth="1"/>
    <col min="29" max="29" width="2.140625" bestFit="1" customWidth="1"/>
    <col min="30" max="30" width="5.28515625" bestFit="1" customWidth="1"/>
    <col min="31" max="31" width="2.140625" bestFit="1" customWidth="1"/>
    <col min="32" max="32" width="4.7109375" customWidth="1"/>
    <col min="33" max="33" width="2.140625" bestFit="1" customWidth="1"/>
    <col min="34" max="34" width="4.140625" customWidth="1"/>
    <col min="35" max="35" width="3.140625" customWidth="1"/>
    <col min="36" max="36" width="5.7109375" customWidth="1"/>
    <col min="37" max="37" width="2.140625" bestFit="1" customWidth="1"/>
    <col min="38" max="38" width="6.5703125" customWidth="1"/>
    <col min="39" max="39" width="2.140625" bestFit="1" customWidth="1"/>
    <col min="40" max="40" width="6.85546875" customWidth="1"/>
    <col min="41" max="41" width="2.140625" bestFit="1" customWidth="1"/>
    <col min="44" max="44" width="12.5703125" bestFit="1" customWidth="1"/>
    <col min="47" max="47" width="12.5703125" bestFit="1" customWidth="1"/>
  </cols>
  <sheetData>
    <row r="1" spans="1:47" ht="23.25" x14ac:dyDescent="0.25">
      <c r="A1" s="4"/>
      <c r="B1" s="4"/>
      <c r="C1" s="95" t="s">
        <v>79</v>
      </c>
      <c r="D1" s="95"/>
      <c r="E1" s="95"/>
      <c r="F1" s="95"/>
      <c r="G1" s="95"/>
      <c r="H1" s="95"/>
      <c r="I1" s="95"/>
      <c r="J1" s="95"/>
      <c r="K1" s="95"/>
      <c r="L1" s="95"/>
      <c r="M1" s="95"/>
      <c r="N1" s="95"/>
      <c r="O1" s="95"/>
      <c r="P1" s="95"/>
      <c r="Q1" s="95"/>
      <c r="R1" s="95"/>
      <c r="S1" s="95"/>
      <c r="T1" s="95"/>
      <c r="U1" s="95"/>
      <c r="V1" s="95"/>
      <c r="W1" s="95"/>
      <c r="X1" s="95"/>
      <c r="Y1" s="95"/>
      <c r="Z1" s="95"/>
      <c r="AA1" s="95"/>
      <c r="AB1" s="95"/>
      <c r="AC1" s="95"/>
      <c r="AD1" s="95"/>
      <c r="AE1" s="95"/>
      <c r="AF1" s="95"/>
      <c r="AG1" s="9"/>
      <c r="AH1" s="9"/>
      <c r="AI1" s="9"/>
      <c r="AJ1" s="9"/>
      <c r="AK1" s="9"/>
      <c r="AL1" s="9"/>
      <c r="AM1" s="9"/>
      <c r="AN1" s="9"/>
      <c r="AO1" s="9"/>
    </row>
    <row r="2" spans="1:47" x14ac:dyDescent="0.25">
      <c r="A2" s="4"/>
      <c r="B2" s="4"/>
      <c r="C2" s="4"/>
      <c r="D2" s="4"/>
      <c r="E2" s="4"/>
      <c r="F2" s="4"/>
      <c r="G2" s="4"/>
      <c r="H2" s="4"/>
      <c r="I2" s="4"/>
      <c r="J2" s="4"/>
      <c r="K2" s="4"/>
      <c r="L2" s="4"/>
      <c r="M2" s="4"/>
      <c r="N2" s="4"/>
      <c r="O2" s="4"/>
      <c r="P2" s="4"/>
      <c r="Q2" s="4"/>
      <c r="R2" s="4"/>
      <c r="S2" s="4"/>
      <c r="T2" s="4"/>
      <c r="U2" s="4"/>
      <c r="V2" s="4"/>
      <c r="W2" s="4"/>
      <c r="X2" s="4"/>
      <c r="Y2" s="4"/>
      <c r="Z2" s="4"/>
      <c r="AA2" s="4"/>
      <c r="AB2" s="4"/>
      <c r="AC2" s="4"/>
      <c r="AD2" s="4"/>
      <c r="AE2" s="4"/>
      <c r="AF2" s="4"/>
      <c r="AG2" s="9"/>
      <c r="AH2" s="9"/>
      <c r="AI2" s="9"/>
      <c r="AJ2" s="9"/>
      <c r="AK2" s="9"/>
      <c r="AL2" s="9"/>
      <c r="AM2" s="9"/>
      <c r="AN2" s="9"/>
      <c r="AO2" s="9"/>
    </row>
    <row r="3" spans="1:47" ht="36" x14ac:dyDescent="0.25">
      <c r="A3" s="4"/>
      <c r="B3" s="5"/>
      <c r="C3" s="97" t="s">
        <v>58</v>
      </c>
      <c r="D3" s="97"/>
      <c r="E3" s="97"/>
      <c r="F3" s="97"/>
      <c r="G3" s="97"/>
      <c r="H3" s="97"/>
      <c r="I3" s="97"/>
      <c r="J3" s="97"/>
      <c r="K3" s="97"/>
      <c r="L3" s="97"/>
      <c r="M3" s="97"/>
      <c r="N3" s="97"/>
      <c r="O3" s="97"/>
      <c r="P3" s="97"/>
      <c r="Q3" s="97"/>
      <c r="R3" s="97"/>
      <c r="S3" s="97"/>
      <c r="T3" s="97"/>
      <c r="V3" s="4"/>
      <c r="W3" s="5"/>
      <c r="X3" s="97" t="s">
        <v>58</v>
      </c>
      <c r="Y3" s="97"/>
      <c r="Z3" s="97"/>
      <c r="AA3" s="97"/>
      <c r="AB3" s="97"/>
      <c r="AC3" s="97"/>
      <c r="AD3" s="97"/>
      <c r="AE3" s="97"/>
      <c r="AF3" s="97"/>
      <c r="AG3" s="97"/>
      <c r="AH3" s="97"/>
      <c r="AI3" s="97"/>
      <c r="AJ3" s="97"/>
      <c r="AK3" s="97"/>
      <c r="AL3" s="97"/>
      <c r="AM3" s="97"/>
      <c r="AN3" s="97"/>
      <c r="AO3" s="97"/>
    </row>
    <row r="4" spans="1:47" ht="15.75" x14ac:dyDescent="0.25">
      <c r="A4" s="4"/>
      <c r="B4" s="5"/>
      <c r="C4" s="98"/>
      <c r="D4" s="98"/>
      <c r="E4" s="98"/>
      <c r="F4" s="98"/>
      <c r="G4" s="98"/>
      <c r="H4" s="98"/>
      <c r="I4" s="98"/>
      <c r="J4" s="98"/>
      <c r="K4" s="98"/>
      <c r="L4" s="98"/>
      <c r="M4" s="98"/>
      <c r="N4" s="98"/>
      <c r="O4" s="98"/>
      <c r="P4" s="98"/>
      <c r="Q4" s="98"/>
      <c r="R4" s="98"/>
      <c r="S4" s="98"/>
      <c r="T4" s="98"/>
      <c r="U4" s="9"/>
      <c r="V4" s="4"/>
      <c r="W4" s="5"/>
      <c r="X4" s="98"/>
      <c r="Y4" s="98"/>
      <c r="Z4" s="98"/>
      <c r="AA4" s="98"/>
      <c r="AB4" s="98"/>
      <c r="AC4" s="98"/>
      <c r="AD4" s="98"/>
      <c r="AE4" s="98"/>
      <c r="AF4" s="98"/>
      <c r="AG4" s="98"/>
      <c r="AH4" s="98"/>
      <c r="AI4" s="98"/>
      <c r="AJ4" s="98"/>
      <c r="AK4" s="98"/>
      <c r="AL4" s="98"/>
      <c r="AM4" s="98"/>
      <c r="AN4" s="98"/>
      <c r="AO4" s="98"/>
    </row>
    <row r="5" spans="1:47" ht="15.75" x14ac:dyDescent="0.25">
      <c r="A5" s="6" t="s">
        <v>51</v>
      </c>
      <c r="B5" s="28"/>
      <c r="C5" s="122" t="s">
        <v>59</v>
      </c>
      <c r="D5" s="122"/>
      <c r="E5" s="122" t="s">
        <v>60</v>
      </c>
      <c r="F5" s="122"/>
      <c r="G5" s="122" t="s">
        <v>61</v>
      </c>
      <c r="H5" s="122"/>
      <c r="I5" s="122" t="s">
        <v>62</v>
      </c>
      <c r="J5" s="122"/>
      <c r="K5" s="122" t="s">
        <v>63</v>
      </c>
      <c r="L5" s="122"/>
      <c r="M5" s="122" t="s">
        <v>64</v>
      </c>
      <c r="N5" s="122"/>
      <c r="O5" s="122" t="s">
        <v>67</v>
      </c>
      <c r="P5" s="122"/>
      <c r="Q5" s="122" t="s">
        <v>68</v>
      </c>
      <c r="R5" s="122"/>
      <c r="S5" s="122" t="s">
        <v>69</v>
      </c>
      <c r="T5" s="122"/>
      <c r="U5" s="9"/>
      <c r="V5" s="6" t="s">
        <v>52</v>
      </c>
      <c r="W5" s="28"/>
      <c r="X5" s="122" t="s">
        <v>59</v>
      </c>
      <c r="Y5" s="122"/>
      <c r="Z5" s="122" t="s">
        <v>60</v>
      </c>
      <c r="AA5" s="122"/>
      <c r="AB5" s="122" t="s">
        <v>61</v>
      </c>
      <c r="AC5" s="122"/>
      <c r="AD5" s="122" t="s">
        <v>62</v>
      </c>
      <c r="AE5" s="122"/>
      <c r="AF5" s="122" t="s">
        <v>63</v>
      </c>
      <c r="AG5" s="122"/>
      <c r="AH5" s="122" t="s">
        <v>64</v>
      </c>
      <c r="AI5" s="122"/>
      <c r="AJ5" s="123" t="s">
        <v>54</v>
      </c>
      <c r="AK5" s="124"/>
      <c r="AL5" s="122" t="s">
        <v>55</v>
      </c>
      <c r="AM5" s="122"/>
      <c r="AN5" s="122" t="s">
        <v>38</v>
      </c>
      <c r="AO5" s="122"/>
    </row>
    <row r="6" spans="1:47" x14ac:dyDescent="0.25">
      <c r="A6" s="96" t="s">
        <v>0</v>
      </c>
      <c r="B6" s="122" t="s">
        <v>2</v>
      </c>
      <c r="C6" s="11"/>
      <c r="D6" s="15" t="s">
        <v>65</v>
      </c>
      <c r="E6" s="11">
        <v>3</v>
      </c>
      <c r="F6" s="15" t="s">
        <v>65</v>
      </c>
      <c r="G6" s="11">
        <v>2</v>
      </c>
      <c r="H6" s="15" t="s">
        <v>65</v>
      </c>
      <c r="I6" s="12">
        <v>2</v>
      </c>
      <c r="J6" s="15" t="s">
        <v>65</v>
      </c>
      <c r="K6" s="12">
        <v>3</v>
      </c>
      <c r="L6" s="15" t="s">
        <v>65</v>
      </c>
      <c r="M6" s="12">
        <v>2</v>
      </c>
      <c r="N6" s="15" t="s">
        <v>65</v>
      </c>
      <c r="O6" s="12">
        <v>2</v>
      </c>
      <c r="P6" s="15" t="s">
        <v>65</v>
      </c>
      <c r="Q6" s="34">
        <v>2</v>
      </c>
      <c r="R6" s="15" t="s">
        <v>65</v>
      </c>
      <c r="S6" s="34">
        <v>2</v>
      </c>
      <c r="T6" s="15" t="s">
        <v>65</v>
      </c>
      <c r="U6" s="9"/>
      <c r="V6" s="96" t="s">
        <v>0</v>
      </c>
      <c r="W6" s="122" t="s">
        <v>3</v>
      </c>
      <c r="X6" s="11"/>
      <c r="Y6" s="15" t="s">
        <v>65</v>
      </c>
      <c r="Z6" s="11"/>
      <c r="AA6" s="15" t="s">
        <v>65</v>
      </c>
      <c r="AB6" s="11"/>
      <c r="AC6" s="15" t="s">
        <v>65</v>
      </c>
      <c r="AD6" s="12"/>
      <c r="AE6" s="15" t="s">
        <v>65</v>
      </c>
      <c r="AF6" s="12"/>
      <c r="AG6" s="15" t="s">
        <v>65</v>
      </c>
      <c r="AH6" s="12"/>
      <c r="AI6" s="15" t="s">
        <v>65</v>
      </c>
      <c r="AJ6" s="12"/>
      <c r="AK6" s="15" t="s">
        <v>65</v>
      </c>
      <c r="AL6" s="18"/>
      <c r="AM6" s="15" t="s">
        <v>65</v>
      </c>
      <c r="AN6" s="18"/>
      <c r="AO6" s="15" t="s">
        <v>65</v>
      </c>
    </row>
    <row r="7" spans="1:47" x14ac:dyDescent="0.25">
      <c r="A7" s="96"/>
      <c r="B7" s="122"/>
      <c r="C7" s="13"/>
      <c r="D7" s="16" t="s">
        <v>66</v>
      </c>
      <c r="E7" s="13">
        <v>2</v>
      </c>
      <c r="F7" s="16" t="s">
        <v>66</v>
      </c>
      <c r="G7" s="13">
        <v>2</v>
      </c>
      <c r="H7" s="16" t="s">
        <v>66</v>
      </c>
      <c r="I7" s="14">
        <v>2</v>
      </c>
      <c r="J7" s="16" t="s">
        <v>66</v>
      </c>
      <c r="K7" s="14">
        <v>3</v>
      </c>
      <c r="L7" s="16" t="s">
        <v>66</v>
      </c>
      <c r="M7" s="14">
        <v>2</v>
      </c>
      <c r="N7" s="16" t="s">
        <v>66</v>
      </c>
      <c r="O7" s="14">
        <v>2</v>
      </c>
      <c r="P7" s="16" t="s">
        <v>66</v>
      </c>
      <c r="Q7" s="35">
        <v>2</v>
      </c>
      <c r="R7" s="16" t="s">
        <v>66</v>
      </c>
      <c r="S7" s="35">
        <v>2</v>
      </c>
      <c r="T7" s="16" t="s">
        <v>66</v>
      </c>
      <c r="U7" s="9"/>
      <c r="V7" s="96"/>
      <c r="W7" s="122"/>
      <c r="X7" s="13"/>
      <c r="Y7" s="16" t="s">
        <v>66</v>
      </c>
      <c r="Z7" s="13"/>
      <c r="AA7" s="16" t="s">
        <v>66</v>
      </c>
      <c r="AB7" s="13"/>
      <c r="AC7" s="16" t="s">
        <v>66</v>
      </c>
      <c r="AD7" s="14"/>
      <c r="AE7" s="16" t="s">
        <v>66</v>
      </c>
      <c r="AF7" s="14"/>
      <c r="AG7" s="16" t="s">
        <v>66</v>
      </c>
      <c r="AH7" s="14"/>
      <c r="AI7" s="16" t="s">
        <v>66</v>
      </c>
      <c r="AJ7" s="14"/>
      <c r="AK7" s="16" t="s">
        <v>66</v>
      </c>
      <c r="AL7" s="19"/>
      <c r="AM7" s="16" t="s">
        <v>66</v>
      </c>
      <c r="AN7" s="19"/>
      <c r="AO7" s="16" t="s">
        <v>66</v>
      </c>
    </row>
    <row r="8" spans="1:47" x14ac:dyDescent="0.25">
      <c r="A8" s="96"/>
      <c r="B8" s="122" t="s">
        <v>29</v>
      </c>
      <c r="C8" s="11"/>
      <c r="D8" s="15" t="s">
        <v>65</v>
      </c>
      <c r="E8" s="11">
        <v>2</v>
      </c>
      <c r="F8" s="15" t="s">
        <v>65</v>
      </c>
      <c r="G8" s="11">
        <v>3</v>
      </c>
      <c r="H8" s="15" t="s">
        <v>65</v>
      </c>
      <c r="I8" s="12">
        <v>1</v>
      </c>
      <c r="J8" s="15" t="s">
        <v>65</v>
      </c>
      <c r="K8" s="12">
        <v>1</v>
      </c>
      <c r="L8" s="15" t="s">
        <v>65</v>
      </c>
      <c r="M8" s="12">
        <v>2</v>
      </c>
      <c r="N8" s="15" t="s">
        <v>65</v>
      </c>
      <c r="O8" s="12">
        <v>2</v>
      </c>
      <c r="P8" s="15" t="s">
        <v>65</v>
      </c>
      <c r="Q8" s="34">
        <v>2</v>
      </c>
      <c r="R8" s="15" t="s">
        <v>65</v>
      </c>
      <c r="S8" s="34">
        <v>2</v>
      </c>
      <c r="T8" s="15" t="s">
        <v>65</v>
      </c>
      <c r="U8" s="9"/>
      <c r="V8" s="96"/>
      <c r="W8" s="122" t="s">
        <v>4</v>
      </c>
      <c r="X8" s="11"/>
      <c r="Y8" s="15" t="s">
        <v>65</v>
      </c>
      <c r="Z8" s="11"/>
      <c r="AA8" s="15" t="s">
        <v>65</v>
      </c>
      <c r="AB8" s="11"/>
      <c r="AC8" s="15" t="s">
        <v>65</v>
      </c>
      <c r="AD8" s="12"/>
      <c r="AE8" s="15" t="s">
        <v>65</v>
      </c>
      <c r="AF8" s="12"/>
      <c r="AG8" s="15" t="s">
        <v>65</v>
      </c>
      <c r="AH8" s="12"/>
      <c r="AI8" s="15" t="s">
        <v>65</v>
      </c>
      <c r="AJ8" s="12"/>
      <c r="AK8" s="15" t="s">
        <v>65</v>
      </c>
      <c r="AL8" s="18"/>
      <c r="AM8" s="15" t="s">
        <v>65</v>
      </c>
      <c r="AN8" s="18"/>
      <c r="AO8" s="15" t="s">
        <v>65</v>
      </c>
    </row>
    <row r="9" spans="1:47" x14ac:dyDescent="0.25">
      <c r="A9" s="96"/>
      <c r="B9" s="122"/>
      <c r="C9" s="13"/>
      <c r="D9" s="16" t="s">
        <v>66</v>
      </c>
      <c r="E9" s="13">
        <v>3</v>
      </c>
      <c r="F9" s="16" t="s">
        <v>66</v>
      </c>
      <c r="G9" s="13">
        <v>2</v>
      </c>
      <c r="H9" s="16" t="s">
        <v>66</v>
      </c>
      <c r="I9" s="14">
        <v>4</v>
      </c>
      <c r="J9" s="16" t="s">
        <v>66</v>
      </c>
      <c r="K9" s="14">
        <v>2</v>
      </c>
      <c r="L9" s="16" t="s">
        <v>66</v>
      </c>
      <c r="M9" s="14">
        <v>2</v>
      </c>
      <c r="N9" s="16" t="s">
        <v>66</v>
      </c>
      <c r="O9" s="14">
        <v>3</v>
      </c>
      <c r="P9" s="16" t="s">
        <v>66</v>
      </c>
      <c r="Q9" s="35">
        <v>2</v>
      </c>
      <c r="R9" s="16" t="s">
        <v>66</v>
      </c>
      <c r="S9" s="35">
        <v>3</v>
      </c>
      <c r="T9" s="16" t="s">
        <v>66</v>
      </c>
      <c r="U9" s="9"/>
      <c r="V9" s="96"/>
      <c r="W9" s="122"/>
      <c r="X9" s="13"/>
      <c r="Y9" s="16" t="s">
        <v>66</v>
      </c>
      <c r="Z9" s="13"/>
      <c r="AA9" s="16" t="s">
        <v>66</v>
      </c>
      <c r="AB9" s="13"/>
      <c r="AC9" s="16" t="s">
        <v>66</v>
      </c>
      <c r="AD9" s="14"/>
      <c r="AE9" s="16" t="s">
        <v>66</v>
      </c>
      <c r="AF9" s="14"/>
      <c r="AG9" s="16" t="s">
        <v>66</v>
      </c>
      <c r="AH9" s="14"/>
      <c r="AI9" s="16" t="s">
        <v>66</v>
      </c>
      <c r="AJ9" s="14"/>
      <c r="AK9" s="16" t="s">
        <v>66</v>
      </c>
      <c r="AL9" s="19"/>
      <c r="AM9" s="16" t="s">
        <v>66</v>
      </c>
      <c r="AN9" s="19"/>
      <c r="AO9" s="16" t="s">
        <v>66</v>
      </c>
      <c r="AR9" s="39"/>
      <c r="AU9" s="39"/>
    </row>
    <row r="10" spans="1:47" x14ac:dyDescent="0.25">
      <c r="A10" s="96"/>
      <c r="B10" s="122" t="s">
        <v>30</v>
      </c>
      <c r="C10" s="11"/>
      <c r="D10" s="15" t="s">
        <v>65</v>
      </c>
      <c r="E10" s="11">
        <v>2</v>
      </c>
      <c r="F10" s="15" t="s">
        <v>65</v>
      </c>
      <c r="G10" s="11">
        <v>2</v>
      </c>
      <c r="H10" s="15" t="s">
        <v>65</v>
      </c>
      <c r="I10" s="12">
        <v>3</v>
      </c>
      <c r="J10" s="15" t="s">
        <v>65</v>
      </c>
      <c r="K10" s="12">
        <v>2</v>
      </c>
      <c r="L10" s="15" t="s">
        <v>65</v>
      </c>
      <c r="M10" s="12">
        <v>2</v>
      </c>
      <c r="N10" s="15" t="s">
        <v>65</v>
      </c>
      <c r="O10" s="12">
        <v>2</v>
      </c>
      <c r="P10" s="15" t="s">
        <v>65</v>
      </c>
      <c r="Q10" s="34">
        <v>3</v>
      </c>
      <c r="R10" s="15" t="s">
        <v>65</v>
      </c>
      <c r="S10" s="34">
        <v>3</v>
      </c>
      <c r="T10" s="15" t="s">
        <v>65</v>
      </c>
      <c r="U10" s="9"/>
      <c r="V10" s="96"/>
      <c r="W10" s="122" t="s">
        <v>5</v>
      </c>
      <c r="X10" s="11"/>
      <c r="Y10" s="15" t="s">
        <v>65</v>
      </c>
      <c r="Z10" s="11"/>
      <c r="AA10" s="15" t="s">
        <v>65</v>
      </c>
      <c r="AB10" s="11"/>
      <c r="AC10" s="15" t="s">
        <v>65</v>
      </c>
      <c r="AD10" s="12"/>
      <c r="AE10" s="15" t="s">
        <v>65</v>
      </c>
      <c r="AF10" s="12"/>
      <c r="AG10" s="15" t="s">
        <v>65</v>
      </c>
      <c r="AH10" s="12"/>
      <c r="AI10" s="15" t="s">
        <v>65</v>
      </c>
      <c r="AJ10" s="12"/>
      <c r="AK10" s="15" t="s">
        <v>65</v>
      </c>
      <c r="AL10" s="18"/>
      <c r="AM10" s="15" t="s">
        <v>65</v>
      </c>
      <c r="AN10" s="18"/>
      <c r="AO10" s="15" t="s">
        <v>65</v>
      </c>
      <c r="AR10" s="39"/>
      <c r="AU10" s="39"/>
    </row>
    <row r="11" spans="1:47" x14ac:dyDescent="0.25">
      <c r="A11" s="96"/>
      <c r="B11" s="122"/>
      <c r="C11" s="13"/>
      <c r="D11" s="16" t="s">
        <v>66</v>
      </c>
      <c r="E11" s="13">
        <v>2</v>
      </c>
      <c r="F11" s="16" t="s">
        <v>66</v>
      </c>
      <c r="G11" s="13">
        <v>3</v>
      </c>
      <c r="H11" s="16" t="s">
        <v>66</v>
      </c>
      <c r="I11" s="14">
        <v>2</v>
      </c>
      <c r="J11" s="16" t="s">
        <v>66</v>
      </c>
      <c r="K11" s="14">
        <v>3</v>
      </c>
      <c r="L11" s="16" t="s">
        <v>66</v>
      </c>
      <c r="M11" s="14">
        <v>2</v>
      </c>
      <c r="N11" s="16" t="s">
        <v>66</v>
      </c>
      <c r="O11" s="14">
        <v>3</v>
      </c>
      <c r="P11" s="16" t="s">
        <v>66</v>
      </c>
      <c r="Q11" s="35">
        <v>2</v>
      </c>
      <c r="R11" s="16" t="s">
        <v>66</v>
      </c>
      <c r="S11" s="35">
        <v>2</v>
      </c>
      <c r="T11" s="16" t="s">
        <v>66</v>
      </c>
      <c r="U11" s="9"/>
      <c r="V11" s="96"/>
      <c r="W11" s="122"/>
      <c r="X11" s="13"/>
      <c r="Y11" s="16" t="s">
        <v>66</v>
      </c>
      <c r="Z11" s="13"/>
      <c r="AA11" s="16" t="s">
        <v>66</v>
      </c>
      <c r="AB11" s="13"/>
      <c r="AC11" s="16" t="s">
        <v>66</v>
      </c>
      <c r="AD11" s="14"/>
      <c r="AE11" s="16" t="s">
        <v>66</v>
      </c>
      <c r="AF11" s="14"/>
      <c r="AG11" s="16" t="s">
        <v>66</v>
      </c>
      <c r="AH11" s="14"/>
      <c r="AI11" s="16" t="s">
        <v>66</v>
      </c>
      <c r="AJ11" s="14"/>
      <c r="AK11" s="16" t="s">
        <v>66</v>
      </c>
      <c r="AL11" s="19"/>
      <c r="AM11" s="16" t="s">
        <v>66</v>
      </c>
      <c r="AN11" s="19"/>
      <c r="AO11" s="16" t="s">
        <v>66</v>
      </c>
      <c r="AR11" s="39"/>
      <c r="AU11" s="39"/>
    </row>
    <row r="12" spans="1:47" x14ac:dyDescent="0.25">
      <c r="A12" s="96"/>
      <c r="B12" s="122" t="s">
        <v>31</v>
      </c>
      <c r="C12" s="11"/>
      <c r="D12" s="15" t="s">
        <v>65</v>
      </c>
      <c r="E12" s="11">
        <v>3</v>
      </c>
      <c r="F12" s="15" t="s">
        <v>65</v>
      </c>
      <c r="G12" s="11">
        <v>2</v>
      </c>
      <c r="H12" s="15" t="s">
        <v>65</v>
      </c>
      <c r="I12" s="12">
        <v>4</v>
      </c>
      <c r="J12" s="15" t="s">
        <v>65</v>
      </c>
      <c r="K12" s="12">
        <v>2</v>
      </c>
      <c r="L12" s="15" t="s">
        <v>65</v>
      </c>
      <c r="M12" s="12">
        <v>2</v>
      </c>
      <c r="N12" s="15" t="s">
        <v>65</v>
      </c>
      <c r="O12" s="12">
        <v>2</v>
      </c>
      <c r="P12" s="15" t="s">
        <v>65</v>
      </c>
      <c r="Q12" s="34">
        <v>2</v>
      </c>
      <c r="R12" s="15" t="s">
        <v>65</v>
      </c>
      <c r="S12" s="34">
        <v>2</v>
      </c>
      <c r="T12" s="15" t="s">
        <v>65</v>
      </c>
      <c r="U12" s="9"/>
      <c r="V12" s="96"/>
      <c r="W12" s="122" t="s">
        <v>6</v>
      </c>
      <c r="X12" s="11"/>
      <c r="Y12" s="15" t="s">
        <v>65</v>
      </c>
      <c r="Z12" s="11"/>
      <c r="AA12" s="15" t="s">
        <v>65</v>
      </c>
      <c r="AB12" s="11"/>
      <c r="AC12" s="15" t="s">
        <v>65</v>
      </c>
      <c r="AD12" s="12"/>
      <c r="AE12" s="15" t="s">
        <v>65</v>
      </c>
      <c r="AF12" s="12"/>
      <c r="AG12" s="15" t="s">
        <v>65</v>
      </c>
      <c r="AH12" s="12"/>
      <c r="AI12" s="15" t="s">
        <v>65</v>
      </c>
      <c r="AJ12" s="12"/>
      <c r="AK12" s="15" t="s">
        <v>65</v>
      </c>
      <c r="AL12" s="18"/>
      <c r="AM12" s="15" t="s">
        <v>65</v>
      </c>
      <c r="AN12" s="18"/>
      <c r="AO12" s="15" t="s">
        <v>65</v>
      </c>
      <c r="AR12" s="39"/>
      <c r="AU12" s="39"/>
    </row>
    <row r="13" spans="1:47" x14ac:dyDescent="0.25">
      <c r="A13" s="96"/>
      <c r="B13" s="122"/>
      <c r="C13" s="13"/>
      <c r="D13" s="16" t="s">
        <v>66</v>
      </c>
      <c r="E13" s="13">
        <v>3</v>
      </c>
      <c r="F13" s="16" t="s">
        <v>66</v>
      </c>
      <c r="G13" s="13">
        <v>1</v>
      </c>
      <c r="H13" s="16" t="s">
        <v>66</v>
      </c>
      <c r="I13" s="14"/>
      <c r="J13" s="16" t="s">
        <v>66</v>
      </c>
      <c r="K13" s="14">
        <v>1</v>
      </c>
      <c r="L13" s="16" t="s">
        <v>66</v>
      </c>
      <c r="M13" s="14">
        <v>2</v>
      </c>
      <c r="N13" s="16" t="s">
        <v>66</v>
      </c>
      <c r="O13" s="14">
        <v>2</v>
      </c>
      <c r="P13" s="16" t="s">
        <v>66</v>
      </c>
      <c r="Q13" s="35">
        <v>3</v>
      </c>
      <c r="R13" s="16" t="s">
        <v>66</v>
      </c>
      <c r="S13" s="35">
        <v>3</v>
      </c>
      <c r="T13" s="16" t="s">
        <v>66</v>
      </c>
      <c r="U13" s="9"/>
      <c r="V13" s="96"/>
      <c r="W13" s="122"/>
      <c r="X13" s="13"/>
      <c r="Y13" s="16" t="s">
        <v>66</v>
      </c>
      <c r="Z13" s="13"/>
      <c r="AA13" s="16" t="s">
        <v>66</v>
      </c>
      <c r="AB13" s="13"/>
      <c r="AC13" s="16" t="s">
        <v>66</v>
      </c>
      <c r="AD13" s="14"/>
      <c r="AE13" s="16" t="s">
        <v>66</v>
      </c>
      <c r="AF13" s="14"/>
      <c r="AG13" s="16" t="s">
        <v>66</v>
      </c>
      <c r="AH13" s="14"/>
      <c r="AI13" s="16" t="s">
        <v>66</v>
      </c>
      <c r="AJ13" s="14"/>
      <c r="AK13" s="16" t="s">
        <v>66</v>
      </c>
      <c r="AL13" s="19"/>
      <c r="AM13" s="16" t="s">
        <v>66</v>
      </c>
      <c r="AN13" s="19"/>
      <c r="AO13" s="16" t="s">
        <v>66</v>
      </c>
      <c r="AR13" s="39"/>
      <c r="AU13" s="39"/>
    </row>
    <row r="14" spans="1:47" x14ac:dyDescent="0.25">
      <c r="A14" s="96"/>
      <c r="B14" s="122" t="s">
        <v>32</v>
      </c>
      <c r="C14" s="11"/>
      <c r="D14" s="15" t="s">
        <v>65</v>
      </c>
      <c r="E14" s="11">
        <v>2</v>
      </c>
      <c r="F14" s="15" t="s">
        <v>65</v>
      </c>
      <c r="G14" s="11">
        <v>3</v>
      </c>
      <c r="H14" s="15" t="s">
        <v>65</v>
      </c>
      <c r="I14" s="12">
        <v>3</v>
      </c>
      <c r="J14" s="15" t="s">
        <v>65</v>
      </c>
      <c r="K14" s="12">
        <v>3</v>
      </c>
      <c r="L14" s="15" t="s">
        <v>65</v>
      </c>
      <c r="M14" s="12">
        <v>2</v>
      </c>
      <c r="N14" s="15" t="s">
        <v>65</v>
      </c>
      <c r="O14" s="12">
        <v>3</v>
      </c>
      <c r="P14" s="15" t="s">
        <v>65</v>
      </c>
      <c r="Q14" s="34">
        <v>1</v>
      </c>
      <c r="R14" s="15" t="s">
        <v>65</v>
      </c>
      <c r="S14" s="34">
        <v>1</v>
      </c>
      <c r="T14" s="15" t="s">
        <v>65</v>
      </c>
      <c r="U14" s="9"/>
      <c r="V14" s="96"/>
      <c r="W14" s="122" t="s">
        <v>7</v>
      </c>
      <c r="X14" s="11"/>
      <c r="Y14" s="15" t="s">
        <v>65</v>
      </c>
      <c r="Z14" s="11"/>
      <c r="AA14" s="15" t="s">
        <v>65</v>
      </c>
      <c r="AB14" s="11"/>
      <c r="AC14" s="15" t="s">
        <v>65</v>
      </c>
      <c r="AD14" s="12"/>
      <c r="AE14" s="15" t="s">
        <v>65</v>
      </c>
      <c r="AF14" s="12"/>
      <c r="AG14" s="15" t="s">
        <v>65</v>
      </c>
      <c r="AH14" s="12"/>
      <c r="AI14" s="15" t="s">
        <v>65</v>
      </c>
      <c r="AJ14" s="12"/>
      <c r="AK14" s="15" t="s">
        <v>65</v>
      </c>
      <c r="AL14" s="18"/>
      <c r="AM14" s="15" t="s">
        <v>65</v>
      </c>
      <c r="AN14" s="18"/>
      <c r="AO14" s="15" t="s">
        <v>65</v>
      </c>
      <c r="AR14" s="39"/>
      <c r="AU14" s="39"/>
    </row>
    <row r="15" spans="1:47" x14ac:dyDescent="0.25">
      <c r="A15" s="96"/>
      <c r="B15" s="122"/>
      <c r="C15" s="13"/>
      <c r="D15" s="16" t="s">
        <v>66</v>
      </c>
      <c r="E15" s="13">
        <v>2</v>
      </c>
      <c r="F15" s="16" t="s">
        <v>66</v>
      </c>
      <c r="G15" s="13">
        <v>3</v>
      </c>
      <c r="H15" s="16" t="s">
        <v>66</v>
      </c>
      <c r="I15" s="14">
        <v>3</v>
      </c>
      <c r="J15" s="16" t="s">
        <v>66</v>
      </c>
      <c r="K15" s="14">
        <v>2</v>
      </c>
      <c r="L15" s="16" t="s">
        <v>66</v>
      </c>
      <c r="M15" s="14">
        <v>2</v>
      </c>
      <c r="N15" s="16" t="s">
        <v>66</v>
      </c>
      <c r="O15" s="14">
        <v>2</v>
      </c>
      <c r="P15" s="16" t="s">
        <v>66</v>
      </c>
      <c r="Q15" s="35">
        <v>3</v>
      </c>
      <c r="R15" s="16" t="s">
        <v>66</v>
      </c>
      <c r="S15" s="35">
        <v>1</v>
      </c>
      <c r="T15" s="16" t="s">
        <v>66</v>
      </c>
      <c r="U15" s="9"/>
      <c r="V15" s="96"/>
      <c r="W15" s="122"/>
      <c r="X15" s="13"/>
      <c r="Y15" s="16" t="s">
        <v>66</v>
      </c>
      <c r="Z15" s="13"/>
      <c r="AA15" s="16" t="s">
        <v>66</v>
      </c>
      <c r="AB15" s="13"/>
      <c r="AC15" s="16" t="s">
        <v>66</v>
      </c>
      <c r="AD15" s="14"/>
      <c r="AE15" s="16" t="s">
        <v>66</v>
      </c>
      <c r="AF15" s="14"/>
      <c r="AG15" s="16" t="s">
        <v>66</v>
      </c>
      <c r="AH15" s="14"/>
      <c r="AI15" s="16" t="s">
        <v>66</v>
      </c>
      <c r="AJ15" s="14"/>
      <c r="AK15" s="16" t="s">
        <v>66</v>
      </c>
      <c r="AL15" s="19"/>
      <c r="AM15" s="16" t="s">
        <v>66</v>
      </c>
      <c r="AN15" s="19"/>
      <c r="AO15" s="16" t="s">
        <v>66</v>
      </c>
    </row>
    <row r="16" spans="1:47" x14ac:dyDescent="0.25">
      <c r="A16" s="96"/>
      <c r="B16" s="122" t="s">
        <v>33</v>
      </c>
      <c r="C16" s="11"/>
      <c r="D16" s="15" t="s">
        <v>65</v>
      </c>
      <c r="E16" s="11">
        <v>2</v>
      </c>
      <c r="F16" s="15" t="s">
        <v>65</v>
      </c>
      <c r="G16" s="11">
        <v>2</v>
      </c>
      <c r="H16" s="15" t="s">
        <v>65</v>
      </c>
      <c r="I16" s="12">
        <v>2</v>
      </c>
      <c r="J16" s="15" t="s">
        <v>65</v>
      </c>
      <c r="K16" s="12">
        <v>1</v>
      </c>
      <c r="L16" s="15" t="s">
        <v>65</v>
      </c>
      <c r="M16" s="12">
        <v>3</v>
      </c>
      <c r="N16" s="15" t="s">
        <v>65</v>
      </c>
      <c r="O16" s="12">
        <v>2</v>
      </c>
      <c r="P16" s="15" t="s">
        <v>65</v>
      </c>
      <c r="Q16" s="34">
        <v>3</v>
      </c>
      <c r="R16" s="15" t="s">
        <v>65</v>
      </c>
      <c r="S16" s="34">
        <v>1</v>
      </c>
      <c r="T16" s="15" t="s">
        <v>65</v>
      </c>
      <c r="U16" s="9"/>
      <c r="V16" s="96"/>
      <c r="W16" s="122" t="s">
        <v>8</v>
      </c>
      <c r="X16" s="11"/>
      <c r="Y16" s="15" t="s">
        <v>65</v>
      </c>
      <c r="Z16" s="11"/>
      <c r="AA16" s="15" t="s">
        <v>65</v>
      </c>
      <c r="AB16" s="11"/>
      <c r="AC16" s="15" t="s">
        <v>65</v>
      </c>
      <c r="AD16" s="12"/>
      <c r="AE16" s="15" t="s">
        <v>65</v>
      </c>
      <c r="AF16" s="12"/>
      <c r="AG16" s="15" t="s">
        <v>65</v>
      </c>
      <c r="AH16" s="12"/>
      <c r="AI16" s="15" t="s">
        <v>65</v>
      </c>
      <c r="AJ16" s="12"/>
      <c r="AK16" s="15" t="s">
        <v>65</v>
      </c>
      <c r="AL16" s="18"/>
      <c r="AM16" s="15" t="s">
        <v>65</v>
      </c>
      <c r="AN16" s="18"/>
      <c r="AO16" s="15" t="s">
        <v>65</v>
      </c>
    </row>
    <row r="17" spans="1:41" x14ac:dyDescent="0.25">
      <c r="A17" s="96"/>
      <c r="B17" s="122"/>
      <c r="C17" s="13"/>
      <c r="D17" s="16" t="s">
        <v>66</v>
      </c>
      <c r="E17" s="13">
        <v>2</v>
      </c>
      <c r="F17" s="16" t="s">
        <v>66</v>
      </c>
      <c r="G17" s="13">
        <v>2</v>
      </c>
      <c r="H17" s="16" t="s">
        <v>66</v>
      </c>
      <c r="I17" s="14">
        <v>2</v>
      </c>
      <c r="J17" s="16" t="s">
        <v>66</v>
      </c>
      <c r="K17" s="14">
        <v>3</v>
      </c>
      <c r="L17" s="16" t="s">
        <v>66</v>
      </c>
      <c r="M17" s="14">
        <v>2</v>
      </c>
      <c r="N17" s="16" t="s">
        <v>66</v>
      </c>
      <c r="O17" s="14">
        <v>2</v>
      </c>
      <c r="P17" s="16" t="s">
        <v>66</v>
      </c>
      <c r="Q17" s="35">
        <v>2</v>
      </c>
      <c r="R17" s="16" t="s">
        <v>66</v>
      </c>
      <c r="S17" s="35">
        <v>3</v>
      </c>
      <c r="T17" s="16" t="s">
        <v>66</v>
      </c>
      <c r="U17" s="9"/>
      <c r="V17" s="96"/>
      <c r="W17" s="122"/>
      <c r="X17" s="13"/>
      <c r="Y17" s="16" t="s">
        <v>66</v>
      </c>
      <c r="Z17" s="13"/>
      <c r="AA17" s="16" t="s">
        <v>66</v>
      </c>
      <c r="AB17" s="13"/>
      <c r="AC17" s="16" t="s">
        <v>66</v>
      </c>
      <c r="AD17" s="14"/>
      <c r="AE17" s="16" t="s">
        <v>66</v>
      </c>
      <c r="AF17" s="14"/>
      <c r="AG17" s="16" t="s">
        <v>66</v>
      </c>
      <c r="AH17" s="14"/>
      <c r="AI17" s="16" t="s">
        <v>66</v>
      </c>
      <c r="AJ17" s="14"/>
      <c r="AK17" s="16" t="s">
        <v>66</v>
      </c>
      <c r="AL17" s="19"/>
      <c r="AM17" s="16" t="s">
        <v>66</v>
      </c>
      <c r="AN17" s="19"/>
      <c r="AO17" s="16" t="s">
        <v>66</v>
      </c>
    </row>
    <row r="18" spans="1:41" x14ac:dyDescent="0.25">
      <c r="A18" s="96"/>
      <c r="B18" s="122" t="s">
        <v>34</v>
      </c>
      <c r="C18" s="11"/>
      <c r="D18" s="15" t="s">
        <v>65</v>
      </c>
      <c r="E18" s="11">
        <v>2</v>
      </c>
      <c r="F18" s="15" t="s">
        <v>65</v>
      </c>
      <c r="G18" s="11">
        <v>1</v>
      </c>
      <c r="H18" s="15" t="s">
        <v>65</v>
      </c>
      <c r="I18" s="12">
        <v>2</v>
      </c>
      <c r="J18" s="15" t="s">
        <v>65</v>
      </c>
      <c r="K18" s="12">
        <v>2</v>
      </c>
      <c r="L18" s="15" t="s">
        <v>65</v>
      </c>
      <c r="M18" s="12">
        <v>2</v>
      </c>
      <c r="N18" s="15" t="s">
        <v>65</v>
      </c>
      <c r="O18" s="12">
        <v>1</v>
      </c>
      <c r="P18" s="15" t="s">
        <v>65</v>
      </c>
      <c r="Q18" s="34">
        <v>3</v>
      </c>
      <c r="R18" s="15" t="s">
        <v>65</v>
      </c>
      <c r="S18" s="34">
        <v>3</v>
      </c>
      <c r="T18" s="15" t="s">
        <v>65</v>
      </c>
      <c r="U18" s="9"/>
      <c r="V18" s="96"/>
      <c r="W18" s="122" t="s">
        <v>9</v>
      </c>
      <c r="X18" s="11"/>
      <c r="Y18" s="15" t="s">
        <v>65</v>
      </c>
      <c r="Z18" s="11"/>
      <c r="AA18" s="15" t="s">
        <v>65</v>
      </c>
      <c r="AB18" s="11"/>
      <c r="AC18" s="15" t="s">
        <v>65</v>
      </c>
      <c r="AD18" s="12"/>
      <c r="AE18" s="15" t="s">
        <v>65</v>
      </c>
      <c r="AF18" s="12"/>
      <c r="AG18" s="15" t="s">
        <v>65</v>
      </c>
      <c r="AH18" s="12"/>
      <c r="AI18" s="15" t="s">
        <v>65</v>
      </c>
      <c r="AJ18" s="12"/>
      <c r="AK18" s="15" t="s">
        <v>65</v>
      </c>
      <c r="AL18" s="18"/>
      <c r="AM18" s="15" t="s">
        <v>65</v>
      </c>
      <c r="AN18" s="18"/>
      <c r="AO18" s="15" t="s">
        <v>65</v>
      </c>
    </row>
    <row r="19" spans="1:41" x14ac:dyDescent="0.25">
      <c r="A19" s="96"/>
      <c r="B19" s="122"/>
      <c r="C19" s="13"/>
      <c r="D19" s="16" t="s">
        <v>66</v>
      </c>
      <c r="E19" s="13">
        <v>2</v>
      </c>
      <c r="F19" s="16" t="s">
        <v>66</v>
      </c>
      <c r="G19" s="13">
        <v>3</v>
      </c>
      <c r="H19" s="16" t="s">
        <v>66</v>
      </c>
      <c r="I19" s="14">
        <v>3</v>
      </c>
      <c r="J19" s="16" t="s">
        <v>66</v>
      </c>
      <c r="K19" s="14">
        <v>3</v>
      </c>
      <c r="L19" s="16" t="s">
        <v>66</v>
      </c>
      <c r="M19" s="14">
        <v>2</v>
      </c>
      <c r="N19" s="16" t="s">
        <v>66</v>
      </c>
      <c r="O19" s="14">
        <v>3</v>
      </c>
      <c r="P19" s="16" t="s">
        <v>66</v>
      </c>
      <c r="Q19" s="35">
        <v>1</v>
      </c>
      <c r="R19" s="16" t="s">
        <v>66</v>
      </c>
      <c r="S19" s="35">
        <v>2</v>
      </c>
      <c r="T19" s="16" t="s">
        <v>66</v>
      </c>
      <c r="U19" s="9"/>
      <c r="V19" s="96"/>
      <c r="W19" s="122"/>
      <c r="X19" s="13"/>
      <c r="Y19" s="16" t="s">
        <v>66</v>
      </c>
      <c r="Z19" s="13"/>
      <c r="AA19" s="16" t="s">
        <v>66</v>
      </c>
      <c r="AB19" s="13"/>
      <c r="AC19" s="16" t="s">
        <v>66</v>
      </c>
      <c r="AD19" s="14"/>
      <c r="AE19" s="16" t="s">
        <v>66</v>
      </c>
      <c r="AF19" s="14"/>
      <c r="AG19" s="16" t="s">
        <v>66</v>
      </c>
      <c r="AH19" s="14"/>
      <c r="AI19" s="16" t="s">
        <v>66</v>
      </c>
      <c r="AJ19" s="14"/>
      <c r="AK19" s="16" t="s">
        <v>66</v>
      </c>
      <c r="AL19" s="19"/>
      <c r="AM19" s="16" t="s">
        <v>66</v>
      </c>
      <c r="AN19" s="19"/>
      <c r="AO19" s="16" t="s">
        <v>66</v>
      </c>
    </row>
    <row r="20" spans="1:41" x14ac:dyDescent="0.25">
      <c r="A20" s="96"/>
      <c r="B20" s="122" t="s">
        <v>35</v>
      </c>
      <c r="C20" s="11"/>
      <c r="D20" s="15" t="s">
        <v>65</v>
      </c>
      <c r="E20" s="11">
        <v>2</v>
      </c>
      <c r="F20" s="15" t="s">
        <v>65</v>
      </c>
      <c r="G20" s="11">
        <v>3</v>
      </c>
      <c r="H20" s="15" t="s">
        <v>65</v>
      </c>
      <c r="I20" s="12">
        <v>2</v>
      </c>
      <c r="J20" s="15" t="s">
        <v>65</v>
      </c>
      <c r="K20" s="12">
        <v>2</v>
      </c>
      <c r="L20" s="15" t="s">
        <v>65</v>
      </c>
      <c r="M20" s="12">
        <v>3</v>
      </c>
      <c r="N20" s="15" t="s">
        <v>65</v>
      </c>
      <c r="O20" s="12">
        <v>1</v>
      </c>
      <c r="P20" s="15" t="s">
        <v>65</v>
      </c>
      <c r="Q20" s="34">
        <v>2</v>
      </c>
      <c r="R20" s="15" t="s">
        <v>65</v>
      </c>
      <c r="S20" s="34">
        <v>3</v>
      </c>
      <c r="T20" s="15" t="s">
        <v>65</v>
      </c>
      <c r="U20" s="9"/>
      <c r="V20" s="96"/>
      <c r="W20" s="122" t="s">
        <v>10</v>
      </c>
      <c r="X20" s="11"/>
      <c r="Y20" s="15" t="s">
        <v>65</v>
      </c>
      <c r="Z20" s="11"/>
      <c r="AA20" s="15" t="s">
        <v>65</v>
      </c>
      <c r="AB20" s="11"/>
      <c r="AC20" s="15" t="s">
        <v>65</v>
      </c>
      <c r="AD20" s="12"/>
      <c r="AE20" s="15" t="s">
        <v>65</v>
      </c>
      <c r="AF20" s="12"/>
      <c r="AG20" s="15" t="s">
        <v>65</v>
      </c>
      <c r="AH20" s="12"/>
      <c r="AI20" s="15" t="s">
        <v>65</v>
      </c>
      <c r="AJ20" s="12"/>
      <c r="AK20" s="15" t="s">
        <v>65</v>
      </c>
      <c r="AL20" s="18"/>
      <c r="AM20" s="15" t="s">
        <v>65</v>
      </c>
      <c r="AN20" s="18"/>
      <c r="AO20" s="15" t="s">
        <v>65</v>
      </c>
    </row>
    <row r="21" spans="1:41" x14ac:dyDescent="0.25">
      <c r="A21" s="96"/>
      <c r="B21" s="122"/>
      <c r="C21" s="13"/>
      <c r="D21" s="16" t="s">
        <v>66</v>
      </c>
      <c r="E21" s="13">
        <v>2</v>
      </c>
      <c r="F21" s="16" t="s">
        <v>66</v>
      </c>
      <c r="G21" s="13">
        <v>2</v>
      </c>
      <c r="H21" s="16" t="s">
        <v>66</v>
      </c>
      <c r="I21" s="14">
        <v>2</v>
      </c>
      <c r="J21" s="16" t="s">
        <v>66</v>
      </c>
      <c r="K21" s="14">
        <v>2</v>
      </c>
      <c r="L21" s="16" t="s">
        <v>66</v>
      </c>
      <c r="M21" s="14">
        <v>2</v>
      </c>
      <c r="N21" s="16" t="s">
        <v>66</v>
      </c>
      <c r="O21" s="14">
        <v>2</v>
      </c>
      <c r="P21" s="16" t="s">
        <v>66</v>
      </c>
      <c r="Q21" s="35">
        <v>2</v>
      </c>
      <c r="R21" s="16" t="s">
        <v>66</v>
      </c>
      <c r="S21" s="35">
        <v>2</v>
      </c>
      <c r="T21" s="16" t="s">
        <v>66</v>
      </c>
      <c r="U21" s="9"/>
      <c r="V21" s="96"/>
      <c r="W21" s="122"/>
      <c r="X21" s="13"/>
      <c r="Y21" s="16" t="s">
        <v>66</v>
      </c>
      <c r="Z21" s="13"/>
      <c r="AA21" s="16" t="s">
        <v>66</v>
      </c>
      <c r="AB21" s="13"/>
      <c r="AC21" s="16" t="s">
        <v>66</v>
      </c>
      <c r="AD21" s="14"/>
      <c r="AE21" s="16" t="s">
        <v>66</v>
      </c>
      <c r="AF21" s="14"/>
      <c r="AG21" s="16" t="s">
        <v>66</v>
      </c>
      <c r="AH21" s="14"/>
      <c r="AI21" s="16" t="s">
        <v>66</v>
      </c>
      <c r="AJ21" s="14"/>
      <c r="AK21" s="16" t="s">
        <v>66</v>
      </c>
      <c r="AL21" s="19"/>
      <c r="AM21" s="16" t="s">
        <v>66</v>
      </c>
      <c r="AN21" s="19"/>
      <c r="AO21" s="16" t="s">
        <v>66</v>
      </c>
    </row>
    <row r="22" spans="1:41" x14ac:dyDescent="0.25">
      <c r="A22" s="96"/>
      <c r="B22" s="122" t="s">
        <v>36</v>
      </c>
      <c r="C22" s="11"/>
      <c r="D22" s="15" t="s">
        <v>65</v>
      </c>
      <c r="E22" s="11">
        <v>2</v>
      </c>
      <c r="F22" s="15" t="s">
        <v>65</v>
      </c>
      <c r="G22" s="11">
        <v>3</v>
      </c>
      <c r="H22" s="15" t="s">
        <v>65</v>
      </c>
      <c r="I22" s="12">
        <v>2</v>
      </c>
      <c r="J22" s="15" t="s">
        <v>65</v>
      </c>
      <c r="K22" s="12">
        <v>3</v>
      </c>
      <c r="L22" s="15" t="s">
        <v>65</v>
      </c>
      <c r="M22" s="12">
        <v>2</v>
      </c>
      <c r="N22" s="15" t="s">
        <v>65</v>
      </c>
      <c r="O22" s="12">
        <v>1</v>
      </c>
      <c r="P22" s="15" t="s">
        <v>65</v>
      </c>
      <c r="Q22" s="34">
        <v>2</v>
      </c>
      <c r="R22" s="15" t="s">
        <v>65</v>
      </c>
      <c r="S22" s="34">
        <v>2</v>
      </c>
      <c r="T22" s="15" t="s">
        <v>65</v>
      </c>
      <c r="U22" s="9"/>
      <c r="V22" s="96"/>
      <c r="W22" s="128"/>
      <c r="X22" s="51"/>
      <c r="Y22" s="51"/>
      <c r="Z22" s="51"/>
      <c r="AA22" s="51"/>
      <c r="AB22" s="51"/>
      <c r="AC22" s="51"/>
      <c r="AD22" s="51"/>
      <c r="AE22" s="51"/>
      <c r="AF22" s="51"/>
      <c r="AG22" s="51"/>
      <c r="AH22" s="51"/>
      <c r="AI22" s="51"/>
      <c r="AJ22" s="51"/>
      <c r="AK22" s="51"/>
      <c r="AL22" s="52"/>
      <c r="AM22" s="51"/>
      <c r="AN22" s="52"/>
      <c r="AO22" s="51"/>
    </row>
    <row r="23" spans="1:41" x14ac:dyDescent="0.25">
      <c r="A23" s="96"/>
      <c r="B23" s="122"/>
      <c r="C23" s="13"/>
      <c r="D23" s="16" t="s">
        <v>66</v>
      </c>
      <c r="E23" s="13">
        <v>2</v>
      </c>
      <c r="F23" s="16" t="s">
        <v>66</v>
      </c>
      <c r="G23" s="13">
        <v>2</v>
      </c>
      <c r="H23" s="16" t="s">
        <v>66</v>
      </c>
      <c r="I23" s="14">
        <v>2</v>
      </c>
      <c r="J23" s="16" t="s">
        <v>66</v>
      </c>
      <c r="K23" s="14">
        <v>1</v>
      </c>
      <c r="L23" s="16" t="s">
        <v>66</v>
      </c>
      <c r="M23" s="14">
        <v>2</v>
      </c>
      <c r="N23" s="16" t="s">
        <v>66</v>
      </c>
      <c r="O23" s="14">
        <v>3</v>
      </c>
      <c r="P23" s="16" t="s">
        <v>66</v>
      </c>
      <c r="Q23" s="35">
        <v>3</v>
      </c>
      <c r="R23" s="16" t="s">
        <v>66</v>
      </c>
      <c r="S23" s="35">
        <v>3</v>
      </c>
      <c r="T23" s="16" t="s">
        <v>66</v>
      </c>
      <c r="U23" s="9"/>
      <c r="V23" s="96"/>
      <c r="W23" s="128"/>
      <c r="X23" s="51"/>
      <c r="Y23" s="51"/>
      <c r="Z23" s="51"/>
      <c r="AA23" s="51"/>
      <c r="AB23" s="51"/>
      <c r="AC23" s="51"/>
      <c r="AD23" s="51"/>
      <c r="AE23" s="51"/>
      <c r="AF23" s="51"/>
      <c r="AG23" s="51"/>
      <c r="AH23" s="51"/>
      <c r="AI23" s="51"/>
      <c r="AJ23" s="51"/>
      <c r="AK23" s="51"/>
      <c r="AL23" s="52"/>
      <c r="AM23" s="51"/>
      <c r="AN23" s="52"/>
      <c r="AO23" s="51"/>
    </row>
    <row r="24" spans="1:41" x14ac:dyDescent="0.25">
      <c r="A24" s="96"/>
      <c r="B24" s="122" t="s">
        <v>37</v>
      </c>
      <c r="C24" s="11"/>
      <c r="D24" s="15" t="s">
        <v>65</v>
      </c>
      <c r="E24" s="11">
        <v>3</v>
      </c>
      <c r="F24" s="15" t="s">
        <v>65</v>
      </c>
      <c r="G24" s="11">
        <v>2</v>
      </c>
      <c r="H24" s="15" t="s">
        <v>65</v>
      </c>
      <c r="I24" s="12">
        <v>2</v>
      </c>
      <c r="J24" s="15" t="s">
        <v>65</v>
      </c>
      <c r="K24" s="12">
        <v>2</v>
      </c>
      <c r="L24" s="15" t="s">
        <v>65</v>
      </c>
      <c r="M24" s="12">
        <v>3</v>
      </c>
      <c r="N24" s="15" t="s">
        <v>65</v>
      </c>
      <c r="O24" s="12">
        <v>2</v>
      </c>
      <c r="P24" s="15" t="s">
        <v>65</v>
      </c>
      <c r="Q24" s="34">
        <v>2</v>
      </c>
      <c r="R24" s="15" t="s">
        <v>65</v>
      </c>
      <c r="S24" s="34">
        <v>2</v>
      </c>
      <c r="T24" s="15" t="s">
        <v>65</v>
      </c>
      <c r="U24" s="9"/>
      <c r="V24" s="96"/>
      <c r="W24" s="128"/>
      <c r="X24" s="51"/>
      <c r="Y24" s="51"/>
      <c r="Z24" s="51"/>
      <c r="AA24" s="51"/>
      <c r="AB24" s="51"/>
      <c r="AC24" s="51"/>
      <c r="AD24" s="51"/>
      <c r="AE24" s="51"/>
      <c r="AF24" s="51"/>
      <c r="AG24" s="51"/>
      <c r="AH24" s="51"/>
      <c r="AI24" s="51"/>
      <c r="AJ24" s="51"/>
      <c r="AK24" s="51"/>
      <c r="AL24" s="52"/>
      <c r="AM24" s="51"/>
      <c r="AN24" s="52"/>
      <c r="AO24" s="51"/>
    </row>
    <row r="25" spans="1:41" x14ac:dyDescent="0.25">
      <c r="A25" s="96"/>
      <c r="B25" s="122"/>
      <c r="C25" s="13"/>
      <c r="D25" s="16" t="s">
        <v>66</v>
      </c>
      <c r="E25" s="13">
        <v>3</v>
      </c>
      <c r="F25" s="16" t="s">
        <v>66</v>
      </c>
      <c r="G25" s="13">
        <v>3</v>
      </c>
      <c r="H25" s="16" t="s">
        <v>66</v>
      </c>
      <c r="I25" s="14">
        <v>3</v>
      </c>
      <c r="J25" s="16" t="s">
        <v>66</v>
      </c>
      <c r="K25" s="14">
        <v>2</v>
      </c>
      <c r="L25" s="16" t="s">
        <v>66</v>
      </c>
      <c r="M25" s="14">
        <v>3</v>
      </c>
      <c r="N25" s="16" t="s">
        <v>66</v>
      </c>
      <c r="O25" s="14">
        <v>2</v>
      </c>
      <c r="P25" s="16" t="s">
        <v>66</v>
      </c>
      <c r="Q25" s="35">
        <v>1</v>
      </c>
      <c r="R25" s="16" t="s">
        <v>66</v>
      </c>
      <c r="S25" s="35">
        <v>2</v>
      </c>
      <c r="T25" s="16" t="s">
        <v>66</v>
      </c>
      <c r="U25" s="9"/>
      <c r="V25" s="96"/>
      <c r="W25" s="128"/>
      <c r="X25" s="51"/>
      <c r="Y25" s="51"/>
      <c r="Z25" s="51"/>
      <c r="AA25" s="51"/>
      <c r="AB25" s="51"/>
      <c r="AC25" s="51"/>
      <c r="AD25" s="51"/>
      <c r="AE25" s="51"/>
      <c r="AF25" s="51"/>
      <c r="AG25" s="51"/>
      <c r="AH25" s="51"/>
      <c r="AI25" s="51"/>
      <c r="AJ25" s="51"/>
      <c r="AK25" s="51"/>
      <c r="AL25" s="52"/>
      <c r="AM25" s="51"/>
      <c r="AN25" s="52"/>
      <c r="AO25" s="51"/>
    </row>
    <row r="26" spans="1:41" x14ac:dyDescent="0.25">
      <c r="A26" s="96"/>
      <c r="B26" s="122" t="s">
        <v>54</v>
      </c>
      <c r="C26" s="11"/>
      <c r="D26" s="15" t="s">
        <v>65</v>
      </c>
      <c r="E26" s="11">
        <v>4</v>
      </c>
      <c r="F26" s="15" t="s">
        <v>65</v>
      </c>
      <c r="G26" s="11">
        <v>2</v>
      </c>
      <c r="H26" s="15" t="s">
        <v>65</v>
      </c>
      <c r="I26" s="12">
        <v>2</v>
      </c>
      <c r="J26" s="15" t="s">
        <v>65</v>
      </c>
      <c r="K26" s="12">
        <v>3</v>
      </c>
      <c r="L26" s="15" t="s">
        <v>65</v>
      </c>
      <c r="M26" s="12">
        <v>2</v>
      </c>
      <c r="N26" s="15" t="s">
        <v>65</v>
      </c>
      <c r="O26" s="12">
        <v>2</v>
      </c>
      <c r="P26" s="15" t="s">
        <v>65</v>
      </c>
      <c r="Q26" s="34">
        <v>2</v>
      </c>
      <c r="R26" s="15" t="s">
        <v>65</v>
      </c>
      <c r="S26" s="34">
        <v>3</v>
      </c>
      <c r="T26" s="15" t="s">
        <v>65</v>
      </c>
      <c r="U26" s="9"/>
      <c r="V26" s="96"/>
      <c r="W26" s="128"/>
      <c r="X26" s="51"/>
      <c r="Y26" s="51"/>
      <c r="Z26" s="51"/>
      <c r="AA26" s="51"/>
      <c r="AB26" s="51"/>
      <c r="AC26" s="51"/>
      <c r="AD26" s="51"/>
      <c r="AE26" s="51"/>
      <c r="AF26" s="51"/>
      <c r="AG26" s="51"/>
      <c r="AH26" s="51"/>
      <c r="AI26" s="51"/>
      <c r="AJ26" s="51"/>
      <c r="AK26" s="51"/>
      <c r="AL26" s="52"/>
      <c r="AM26" s="51"/>
      <c r="AN26" s="52"/>
      <c r="AO26" s="51"/>
    </row>
    <row r="27" spans="1:41" x14ac:dyDescent="0.25">
      <c r="A27" s="96"/>
      <c r="B27" s="122"/>
      <c r="C27" s="13"/>
      <c r="D27" s="16" t="s">
        <v>66</v>
      </c>
      <c r="E27" s="13">
        <v>4</v>
      </c>
      <c r="F27" s="16" t="s">
        <v>66</v>
      </c>
      <c r="G27" s="13">
        <v>2</v>
      </c>
      <c r="H27" s="16" t="s">
        <v>66</v>
      </c>
      <c r="I27" s="14">
        <v>2</v>
      </c>
      <c r="J27" s="16" t="s">
        <v>66</v>
      </c>
      <c r="K27" s="14">
        <v>2</v>
      </c>
      <c r="L27" s="16" t="s">
        <v>66</v>
      </c>
      <c r="M27" s="14">
        <v>2</v>
      </c>
      <c r="N27" s="16" t="s">
        <v>66</v>
      </c>
      <c r="O27" s="14">
        <v>2</v>
      </c>
      <c r="P27" s="16" t="s">
        <v>66</v>
      </c>
      <c r="Q27" s="35">
        <v>3</v>
      </c>
      <c r="R27" s="16" t="s">
        <v>66</v>
      </c>
      <c r="S27" s="35">
        <v>1</v>
      </c>
      <c r="T27" s="16" t="s">
        <v>66</v>
      </c>
      <c r="U27" s="9"/>
      <c r="V27" s="96"/>
      <c r="W27" s="128"/>
      <c r="X27" s="51"/>
      <c r="Y27" s="51"/>
      <c r="Z27" s="51"/>
      <c r="AA27" s="51"/>
      <c r="AB27" s="51"/>
      <c r="AC27" s="51"/>
      <c r="AD27" s="51"/>
      <c r="AE27" s="51"/>
      <c r="AF27" s="51"/>
      <c r="AG27" s="51"/>
      <c r="AH27" s="51"/>
      <c r="AI27" s="51"/>
      <c r="AJ27" s="51"/>
      <c r="AK27" s="51"/>
      <c r="AL27" s="52"/>
      <c r="AM27" s="51"/>
      <c r="AN27" s="52"/>
      <c r="AO27" s="51"/>
    </row>
    <row r="28" spans="1:41" x14ac:dyDescent="0.25">
      <c r="A28" s="96"/>
      <c r="B28" s="122" t="s">
        <v>55</v>
      </c>
      <c r="C28" s="11"/>
      <c r="D28" s="15" t="s">
        <v>65</v>
      </c>
      <c r="E28" s="11">
        <v>4</v>
      </c>
      <c r="F28" s="15" t="s">
        <v>65</v>
      </c>
      <c r="G28" s="11">
        <v>2</v>
      </c>
      <c r="H28" s="15" t="s">
        <v>65</v>
      </c>
      <c r="I28" s="12">
        <v>3</v>
      </c>
      <c r="J28" s="15" t="s">
        <v>65</v>
      </c>
      <c r="K28" s="12">
        <v>3</v>
      </c>
      <c r="L28" s="15" t="s">
        <v>65</v>
      </c>
      <c r="M28" s="12">
        <v>2</v>
      </c>
      <c r="N28" s="15" t="s">
        <v>65</v>
      </c>
      <c r="O28" s="12">
        <v>2</v>
      </c>
      <c r="P28" s="15" t="s">
        <v>65</v>
      </c>
      <c r="Q28" s="34">
        <v>2</v>
      </c>
      <c r="R28" s="15" t="s">
        <v>65</v>
      </c>
      <c r="S28" s="34">
        <v>2</v>
      </c>
      <c r="T28" s="15" t="s">
        <v>65</v>
      </c>
      <c r="U28" s="9"/>
      <c r="V28" s="96"/>
      <c r="W28" s="128"/>
      <c r="X28" s="51"/>
      <c r="Y28" s="51"/>
      <c r="Z28" s="51"/>
      <c r="AA28" s="51"/>
      <c r="AB28" s="51"/>
      <c r="AC28" s="51"/>
      <c r="AD28" s="51"/>
      <c r="AE28" s="51"/>
      <c r="AF28" s="51"/>
      <c r="AG28" s="51"/>
      <c r="AH28" s="51"/>
      <c r="AI28" s="51"/>
      <c r="AJ28" s="51"/>
      <c r="AK28" s="51"/>
      <c r="AL28" s="52"/>
      <c r="AM28" s="51"/>
      <c r="AN28" s="52"/>
      <c r="AO28" s="51"/>
    </row>
    <row r="29" spans="1:41" x14ac:dyDescent="0.25">
      <c r="A29" s="96"/>
      <c r="B29" s="122"/>
      <c r="C29" s="13"/>
      <c r="D29" s="16" t="s">
        <v>66</v>
      </c>
      <c r="E29" s="13">
        <v>4</v>
      </c>
      <c r="F29" s="16" t="s">
        <v>66</v>
      </c>
      <c r="G29" s="13">
        <v>2</v>
      </c>
      <c r="H29" s="16" t="s">
        <v>66</v>
      </c>
      <c r="I29" s="14">
        <v>2</v>
      </c>
      <c r="J29" s="16" t="s">
        <v>66</v>
      </c>
      <c r="K29" s="14">
        <v>3</v>
      </c>
      <c r="L29" s="16" t="s">
        <v>66</v>
      </c>
      <c r="M29" s="14">
        <v>3</v>
      </c>
      <c r="N29" s="16" t="s">
        <v>66</v>
      </c>
      <c r="O29" s="14">
        <v>1</v>
      </c>
      <c r="P29" s="16" t="s">
        <v>66</v>
      </c>
      <c r="Q29" s="35">
        <v>2</v>
      </c>
      <c r="R29" s="16" t="s">
        <v>66</v>
      </c>
      <c r="S29" s="35">
        <v>2</v>
      </c>
      <c r="T29" s="16" t="s">
        <v>66</v>
      </c>
      <c r="U29" s="9"/>
      <c r="V29" s="96"/>
      <c r="W29" s="128"/>
      <c r="X29" s="53"/>
      <c r="Y29" s="53"/>
      <c r="Z29" s="53"/>
      <c r="AA29" s="53"/>
      <c r="AB29" s="53"/>
      <c r="AC29" s="53"/>
      <c r="AD29" s="53"/>
      <c r="AE29" s="53"/>
      <c r="AF29" s="53"/>
      <c r="AG29" s="53"/>
      <c r="AH29" s="53"/>
      <c r="AI29" s="53"/>
      <c r="AJ29" s="53"/>
      <c r="AK29" s="53"/>
      <c r="AL29" s="52"/>
      <c r="AM29" s="53"/>
      <c r="AN29" s="52"/>
      <c r="AO29" s="53"/>
    </row>
    <row r="30" spans="1:41" x14ac:dyDescent="0.25">
      <c r="A30" s="96"/>
      <c r="B30" s="122" t="s">
        <v>38</v>
      </c>
      <c r="C30" s="11"/>
      <c r="D30" s="15" t="s">
        <v>65</v>
      </c>
      <c r="E30" s="11">
        <v>4</v>
      </c>
      <c r="F30" s="15" t="s">
        <v>65</v>
      </c>
      <c r="G30" s="11">
        <v>2</v>
      </c>
      <c r="H30" s="15" t="s">
        <v>65</v>
      </c>
      <c r="I30" s="12">
        <v>1</v>
      </c>
      <c r="J30" s="15" t="s">
        <v>65</v>
      </c>
      <c r="K30" s="12">
        <v>2</v>
      </c>
      <c r="L30" s="15" t="s">
        <v>65</v>
      </c>
      <c r="M30" s="12">
        <v>2</v>
      </c>
      <c r="N30" s="15" t="s">
        <v>65</v>
      </c>
      <c r="O30" s="12">
        <v>2</v>
      </c>
      <c r="P30" s="15" t="s">
        <v>65</v>
      </c>
      <c r="Q30" s="34">
        <v>2</v>
      </c>
      <c r="R30" s="15" t="s">
        <v>65</v>
      </c>
      <c r="S30" s="34">
        <v>3</v>
      </c>
      <c r="T30" s="15" t="s">
        <v>65</v>
      </c>
      <c r="U30" s="9"/>
      <c r="V30" s="96"/>
      <c r="W30" s="9"/>
      <c r="X30" s="9"/>
      <c r="Y30" s="9"/>
      <c r="Z30" s="9"/>
      <c r="AA30" s="9"/>
      <c r="AB30" s="9"/>
      <c r="AC30" s="9"/>
      <c r="AD30" s="9"/>
      <c r="AE30" s="9"/>
      <c r="AF30" s="9"/>
      <c r="AG30" s="9"/>
      <c r="AH30" s="9"/>
      <c r="AI30" s="9"/>
      <c r="AJ30" s="9"/>
      <c r="AK30" s="9"/>
      <c r="AL30" s="9"/>
      <c r="AM30" s="9"/>
      <c r="AN30" s="9"/>
      <c r="AO30" s="9"/>
    </row>
    <row r="31" spans="1:41" x14ac:dyDescent="0.25">
      <c r="A31" s="10"/>
      <c r="B31" s="122"/>
      <c r="C31" s="20"/>
      <c r="D31" s="17" t="s">
        <v>66</v>
      </c>
      <c r="E31" s="20">
        <v>4</v>
      </c>
      <c r="F31" s="17" t="s">
        <v>66</v>
      </c>
      <c r="G31" s="13">
        <v>2</v>
      </c>
      <c r="H31" s="17" t="s">
        <v>66</v>
      </c>
      <c r="I31" s="14">
        <v>1</v>
      </c>
      <c r="J31" s="17" t="s">
        <v>66</v>
      </c>
      <c r="K31" s="21">
        <v>3</v>
      </c>
      <c r="L31" s="17" t="s">
        <v>66</v>
      </c>
      <c r="M31" s="14">
        <v>3</v>
      </c>
      <c r="N31" s="17" t="s">
        <v>66</v>
      </c>
      <c r="O31" s="14">
        <v>2</v>
      </c>
      <c r="P31" s="17" t="s">
        <v>66</v>
      </c>
      <c r="Q31" s="35">
        <v>2</v>
      </c>
      <c r="R31" s="17" t="s">
        <v>66</v>
      </c>
      <c r="S31" s="35">
        <v>2</v>
      </c>
      <c r="T31" s="17" t="s">
        <v>66</v>
      </c>
      <c r="U31" s="9"/>
      <c r="V31" s="10"/>
      <c r="W31" s="9"/>
      <c r="X31" s="9"/>
      <c r="Y31" s="9"/>
      <c r="Z31" s="9"/>
      <c r="AA31" s="9"/>
      <c r="AB31" s="9"/>
      <c r="AC31" s="9"/>
      <c r="AD31" s="9"/>
      <c r="AE31" s="9"/>
      <c r="AF31" s="9"/>
      <c r="AG31" s="9"/>
      <c r="AH31" s="9"/>
      <c r="AI31" s="9"/>
      <c r="AJ31" s="9"/>
      <c r="AK31" s="9"/>
      <c r="AL31" s="9"/>
      <c r="AM31" s="9"/>
      <c r="AN31" s="9"/>
      <c r="AO31" s="9"/>
    </row>
    <row r="32" spans="1:41" x14ac:dyDescent="0.25">
      <c r="A32" s="9"/>
      <c r="B32" s="9"/>
      <c r="C32" s="9"/>
      <c r="D32" s="9"/>
      <c r="E32" s="9"/>
      <c r="F32" s="9"/>
      <c r="G32" s="9"/>
      <c r="H32" s="9"/>
      <c r="I32" s="9"/>
      <c r="J32" s="9"/>
      <c r="K32" s="9"/>
      <c r="L32" s="9"/>
      <c r="M32" s="9"/>
      <c r="N32" s="9"/>
      <c r="O32" s="9"/>
      <c r="P32" s="9"/>
      <c r="Q32" s="9"/>
      <c r="R32" s="9"/>
      <c r="S32" s="9"/>
      <c r="T32" s="9"/>
      <c r="U32" s="9"/>
      <c r="V32" s="9"/>
      <c r="W32" s="9"/>
      <c r="X32" s="9"/>
      <c r="Y32" s="9"/>
      <c r="Z32" s="9"/>
      <c r="AA32" s="9"/>
      <c r="AB32" s="9"/>
      <c r="AC32" s="9"/>
      <c r="AD32" s="9"/>
      <c r="AE32" s="9"/>
      <c r="AF32" s="9"/>
      <c r="AG32" s="9"/>
      <c r="AH32" s="9"/>
      <c r="AI32" s="9"/>
      <c r="AJ32" s="9"/>
      <c r="AK32" s="9"/>
      <c r="AL32" s="9"/>
      <c r="AM32" s="9"/>
      <c r="AN32" s="9"/>
      <c r="AO32" s="9"/>
    </row>
    <row r="33" spans="1:41" x14ac:dyDescent="0.25">
      <c r="A33" s="9"/>
      <c r="B33" s="9"/>
      <c r="C33" s="9"/>
      <c r="D33" s="9"/>
      <c r="E33" s="9"/>
      <c r="F33" s="9"/>
      <c r="G33" s="9"/>
      <c r="H33" s="9"/>
      <c r="I33" s="9"/>
      <c r="J33" s="9"/>
      <c r="K33" s="9"/>
      <c r="L33" s="9"/>
      <c r="M33" s="9"/>
      <c r="N33" s="9"/>
      <c r="O33" s="9"/>
      <c r="P33" s="9"/>
      <c r="Q33" s="9"/>
      <c r="R33" s="9"/>
      <c r="S33" s="9"/>
      <c r="T33" s="9"/>
      <c r="U33" s="9"/>
      <c r="V33" s="9"/>
      <c r="W33" s="9"/>
      <c r="X33" s="9"/>
      <c r="Y33" s="9"/>
      <c r="Z33" s="9"/>
      <c r="AA33" s="9"/>
      <c r="AB33" s="9"/>
      <c r="AC33" s="9"/>
      <c r="AD33" s="9"/>
      <c r="AE33" s="9"/>
      <c r="AF33" s="9"/>
      <c r="AG33" s="9"/>
      <c r="AH33" s="9"/>
      <c r="AI33" s="9"/>
      <c r="AJ33" s="9"/>
      <c r="AK33" s="9"/>
      <c r="AL33" s="9"/>
      <c r="AM33" s="9"/>
      <c r="AN33" s="9"/>
      <c r="AO33" s="9"/>
    </row>
    <row r="34" spans="1:41" x14ac:dyDescent="0.25">
      <c r="A34" s="9"/>
      <c r="B34" s="9"/>
      <c r="C34" s="9"/>
      <c r="D34" s="9"/>
      <c r="E34" s="9"/>
      <c r="F34" s="9"/>
      <c r="G34" s="9"/>
      <c r="H34" s="9"/>
      <c r="I34" s="9"/>
      <c r="J34" s="9"/>
      <c r="K34" s="9"/>
      <c r="L34" s="9"/>
      <c r="M34" s="9"/>
      <c r="N34" s="9"/>
      <c r="O34" s="9"/>
      <c r="P34" s="9"/>
      <c r="Q34" s="9"/>
      <c r="R34" s="9"/>
      <c r="S34" s="9"/>
      <c r="T34" s="9"/>
      <c r="U34" s="9"/>
      <c r="V34" s="9"/>
      <c r="W34" s="9"/>
      <c r="X34" s="9"/>
      <c r="Y34" s="9"/>
      <c r="Z34" s="9"/>
      <c r="AA34" s="9"/>
      <c r="AB34" s="9"/>
      <c r="AC34" s="9"/>
      <c r="AD34" s="9"/>
      <c r="AE34" s="9"/>
      <c r="AF34" s="9"/>
      <c r="AG34" s="9"/>
      <c r="AH34" s="9"/>
      <c r="AI34" s="9"/>
      <c r="AJ34" s="9"/>
      <c r="AK34" s="9"/>
      <c r="AL34" s="9"/>
      <c r="AM34" s="9"/>
      <c r="AN34" s="9"/>
      <c r="AO34" s="9"/>
    </row>
    <row r="35" spans="1:41" x14ac:dyDescent="0.25">
      <c r="A35" s="9"/>
      <c r="B35" s="9"/>
      <c r="C35" s="9"/>
      <c r="D35" s="9"/>
      <c r="E35" s="9"/>
      <c r="F35" s="9"/>
      <c r="G35" s="9"/>
      <c r="H35" s="9"/>
      <c r="I35" s="9"/>
      <c r="J35" s="9"/>
      <c r="K35" s="9"/>
      <c r="L35" s="9"/>
      <c r="M35" s="9"/>
      <c r="N35" s="9"/>
      <c r="O35" s="9"/>
      <c r="P35" s="9"/>
      <c r="Q35" s="9"/>
      <c r="R35" s="9"/>
      <c r="S35" s="9"/>
      <c r="T35" s="9"/>
      <c r="U35" s="9"/>
      <c r="V35" s="9"/>
      <c r="W35" s="9"/>
      <c r="X35" s="9"/>
      <c r="Y35" s="9"/>
      <c r="Z35" s="9"/>
      <c r="AA35" s="9"/>
      <c r="AB35" s="9"/>
      <c r="AC35" s="9"/>
      <c r="AD35" s="9"/>
      <c r="AE35" s="9"/>
      <c r="AF35" s="9"/>
      <c r="AG35" s="9"/>
      <c r="AH35" s="9"/>
      <c r="AI35" s="9"/>
      <c r="AJ35" s="9"/>
      <c r="AK35" s="9"/>
      <c r="AL35" s="9"/>
      <c r="AM35" s="9"/>
      <c r="AN35" s="9"/>
      <c r="AO35" s="9"/>
    </row>
    <row r="36" spans="1:41" ht="23.25" x14ac:dyDescent="0.25">
      <c r="A36" s="4"/>
      <c r="B36" s="4"/>
      <c r="C36" s="95" t="s">
        <v>80</v>
      </c>
      <c r="D36" s="95"/>
      <c r="E36" s="95"/>
      <c r="F36" s="95"/>
      <c r="G36" s="95"/>
      <c r="H36" s="95"/>
      <c r="I36" s="95"/>
      <c r="J36" s="95"/>
      <c r="K36" s="95"/>
      <c r="L36" s="95"/>
      <c r="M36" s="95"/>
      <c r="N36" s="95"/>
      <c r="O36" s="95"/>
      <c r="P36" s="95"/>
      <c r="Q36" s="95"/>
      <c r="R36" s="95"/>
      <c r="S36" s="95"/>
      <c r="T36" s="95"/>
      <c r="U36" s="95"/>
      <c r="V36" s="95"/>
      <c r="W36" s="95"/>
      <c r="X36" s="95"/>
      <c r="Y36" s="95"/>
      <c r="Z36" s="95"/>
      <c r="AA36" s="95"/>
      <c r="AB36" s="95"/>
      <c r="AC36" s="95"/>
      <c r="AD36" s="95"/>
      <c r="AE36" s="95"/>
      <c r="AF36" s="95"/>
      <c r="AG36" s="9"/>
      <c r="AH36" s="9"/>
      <c r="AI36" s="9"/>
      <c r="AJ36" s="9"/>
      <c r="AK36" s="9"/>
      <c r="AL36" s="9"/>
      <c r="AM36" s="9"/>
      <c r="AN36" s="9"/>
      <c r="AO36" s="9"/>
    </row>
    <row r="37" spans="1:41" ht="18.75" x14ac:dyDescent="0.3">
      <c r="A37" s="4"/>
      <c r="B37" s="127" t="s">
        <v>80</v>
      </c>
      <c r="C37" s="127"/>
      <c r="D37" s="127"/>
      <c r="E37" s="127"/>
      <c r="F37" s="127"/>
      <c r="G37" s="127"/>
      <c r="H37" s="127"/>
      <c r="I37" s="127"/>
      <c r="J37" s="127"/>
      <c r="K37" s="127"/>
      <c r="L37" s="127"/>
      <c r="M37" s="127"/>
      <c r="N37" s="127"/>
      <c r="O37" s="127"/>
      <c r="P37" s="127"/>
      <c r="Q37" s="127"/>
      <c r="R37" s="127"/>
      <c r="S37" s="127"/>
      <c r="T37" s="127"/>
      <c r="U37" s="4"/>
      <c r="V37" s="4"/>
      <c r="W37" s="4"/>
      <c r="X37" s="4"/>
      <c r="Y37" s="4"/>
      <c r="Z37" s="4"/>
      <c r="AA37" s="4"/>
      <c r="AB37" s="4"/>
      <c r="AC37" s="4"/>
      <c r="AD37" s="4"/>
      <c r="AE37" s="4"/>
      <c r="AF37" s="4"/>
      <c r="AG37" s="9"/>
      <c r="AH37" s="9"/>
      <c r="AI37" s="9"/>
      <c r="AJ37" s="9"/>
      <c r="AK37" s="9"/>
      <c r="AL37" s="9"/>
      <c r="AM37" s="9"/>
      <c r="AN37" s="9"/>
      <c r="AO37" s="9"/>
    </row>
    <row r="38" spans="1:41" ht="36" x14ac:dyDescent="0.25">
      <c r="A38" s="4"/>
      <c r="B38" s="5"/>
      <c r="C38" s="97" t="s">
        <v>58</v>
      </c>
      <c r="D38" s="97"/>
      <c r="E38" s="97"/>
      <c r="F38" s="97"/>
      <c r="G38" s="97"/>
      <c r="H38" s="97"/>
      <c r="I38" s="97"/>
      <c r="J38" s="97"/>
      <c r="K38" s="97"/>
      <c r="L38" s="97"/>
      <c r="M38" s="97"/>
      <c r="N38" s="97"/>
      <c r="O38" s="97"/>
      <c r="P38" s="97"/>
      <c r="Q38" s="97"/>
      <c r="R38" s="97"/>
      <c r="S38" s="97"/>
      <c r="T38" s="97"/>
      <c r="V38" s="4"/>
      <c r="W38" s="5"/>
      <c r="X38" s="97" t="s">
        <v>58</v>
      </c>
      <c r="Y38" s="97"/>
      <c r="Z38" s="97"/>
      <c r="AA38" s="97"/>
      <c r="AB38" s="97"/>
      <c r="AC38" s="97"/>
      <c r="AD38" s="97"/>
      <c r="AE38" s="97"/>
      <c r="AF38" s="97"/>
      <c r="AG38" s="97"/>
      <c r="AH38" s="97"/>
      <c r="AI38" s="97"/>
      <c r="AJ38" s="97"/>
      <c r="AK38" s="97"/>
      <c r="AL38" s="97"/>
      <c r="AM38" s="97"/>
      <c r="AN38" s="97"/>
      <c r="AO38" s="97"/>
    </row>
    <row r="39" spans="1:41" ht="15.75" x14ac:dyDescent="0.25">
      <c r="A39" s="4"/>
      <c r="B39" s="5"/>
      <c r="C39" s="98"/>
      <c r="D39" s="98"/>
      <c r="E39" s="98"/>
      <c r="F39" s="98"/>
      <c r="G39" s="98"/>
      <c r="H39" s="98"/>
      <c r="I39" s="98"/>
      <c r="J39" s="98"/>
      <c r="K39" s="98"/>
      <c r="L39" s="98"/>
      <c r="M39" s="98"/>
      <c r="N39" s="98"/>
      <c r="O39" s="98"/>
      <c r="P39" s="98"/>
      <c r="Q39" s="98"/>
      <c r="R39" s="98"/>
      <c r="S39" s="98"/>
      <c r="T39" s="98"/>
      <c r="U39" s="9"/>
      <c r="V39" s="4"/>
      <c r="W39" s="5"/>
      <c r="X39" s="98"/>
      <c r="Y39" s="98"/>
      <c r="Z39" s="98"/>
      <c r="AA39" s="98"/>
      <c r="AB39" s="98"/>
      <c r="AC39" s="98"/>
      <c r="AD39" s="98"/>
      <c r="AE39" s="98"/>
      <c r="AF39" s="98"/>
      <c r="AG39" s="98"/>
      <c r="AH39" s="98"/>
      <c r="AI39" s="98"/>
      <c r="AJ39" s="98"/>
      <c r="AK39" s="98"/>
      <c r="AL39" s="98"/>
      <c r="AM39" s="98"/>
      <c r="AN39" s="98"/>
      <c r="AO39" s="98"/>
    </row>
    <row r="40" spans="1:41" ht="15.75" x14ac:dyDescent="0.25">
      <c r="A40" s="6" t="s">
        <v>51</v>
      </c>
      <c r="B40" s="28"/>
      <c r="C40" s="122" t="s">
        <v>59</v>
      </c>
      <c r="D40" s="122"/>
      <c r="E40" s="122" t="s">
        <v>60</v>
      </c>
      <c r="F40" s="122"/>
      <c r="G40" s="122" t="s">
        <v>61</v>
      </c>
      <c r="H40" s="122"/>
      <c r="I40" s="122" t="s">
        <v>62</v>
      </c>
      <c r="J40" s="122"/>
      <c r="K40" s="122" t="s">
        <v>63</v>
      </c>
      <c r="L40" s="122"/>
      <c r="M40" s="122" t="s">
        <v>64</v>
      </c>
      <c r="N40" s="122"/>
      <c r="O40" s="122" t="s">
        <v>67</v>
      </c>
      <c r="P40" s="122"/>
      <c r="Q40" s="122" t="s">
        <v>68</v>
      </c>
      <c r="R40" s="122"/>
      <c r="S40" s="122" t="s">
        <v>69</v>
      </c>
      <c r="T40" s="122"/>
      <c r="U40" s="9"/>
      <c r="V40" s="6" t="s">
        <v>52</v>
      </c>
      <c r="W40" s="28"/>
      <c r="X40" s="122" t="s">
        <v>59</v>
      </c>
      <c r="Y40" s="122"/>
      <c r="Z40" s="122" t="s">
        <v>60</v>
      </c>
      <c r="AA40" s="122"/>
      <c r="AB40" s="122" t="s">
        <v>61</v>
      </c>
      <c r="AC40" s="122"/>
      <c r="AD40" s="122" t="s">
        <v>62</v>
      </c>
      <c r="AE40" s="122"/>
      <c r="AF40" s="122" t="s">
        <v>63</v>
      </c>
      <c r="AG40" s="122"/>
      <c r="AH40" s="122" t="s">
        <v>64</v>
      </c>
      <c r="AI40" s="122"/>
      <c r="AJ40" s="123" t="s">
        <v>54</v>
      </c>
      <c r="AK40" s="124"/>
      <c r="AL40" s="122" t="s">
        <v>55</v>
      </c>
      <c r="AM40" s="122"/>
      <c r="AN40" s="122" t="s">
        <v>38</v>
      </c>
      <c r="AO40" s="122"/>
    </row>
    <row r="41" spans="1:41" ht="15" customHeight="1" x14ac:dyDescent="0.25">
      <c r="A41" s="96" t="s">
        <v>0</v>
      </c>
      <c r="B41" s="122" t="s">
        <v>2</v>
      </c>
      <c r="C41" s="120"/>
      <c r="D41" s="15" t="s">
        <v>65</v>
      </c>
      <c r="E41" s="120" t="str">
        <f>IF(QUOTIENT(E6+E7,2)&lt;2,2-QUOTIENT(E6+E7,2),"")</f>
        <v/>
      </c>
      <c r="F41" s="15" t="s">
        <v>65</v>
      </c>
      <c r="G41" s="120" t="str">
        <f>IF(QUOTIENT(G6+G7,2)&lt;2,2-QUOTIENT(G6+G7,2),"")</f>
        <v/>
      </c>
      <c r="H41" s="15" t="s">
        <v>65</v>
      </c>
      <c r="I41" s="120" t="str">
        <f>IF(QUOTIENT(I6+I7,2)&lt;2,2-QUOTIENT(I6+I7,2),"")</f>
        <v/>
      </c>
      <c r="J41" s="15" t="s">
        <v>65</v>
      </c>
      <c r="K41" s="120" t="str">
        <f>IF(QUOTIENT(K6+K7,2)&lt;2,2-QUOTIENT(K6+K7,2),"")</f>
        <v/>
      </c>
      <c r="L41" s="15" t="s">
        <v>65</v>
      </c>
      <c r="M41" s="120" t="str">
        <f>IF(QUOTIENT(M6+M7,2)&lt;2,2-QUOTIENT(M6+M7,2),"")</f>
        <v/>
      </c>
      <c r="N41" s="15" t="s">
        <v>65</v>
      </c>
      <c r="O41" s="120" t="str">
        <f>IF(QUOTIENT(O6+O7,2)&lt;2,2-QUOTIENT(O6+O7,2),"")</f>
        <v/>
      </c>
      <c r="P41" s="15" t="s">
        <v>65</v>
      </c>
      <c r="Q41" s="120" t="str">
        <f>IF(QUOTIENT(Q6+Q7,2)&lt;2,2-QUOTIENT(Q6+Q7,2),"")</f>
        <v/>
      </c>
      <c r="R41" s="15" t="s">
        <v>65</v>
      </c>
      <c r="S41" s="120" t="str">
        <f>IF(QUOTIENT(S6+S7,2)&lt;2,2-QUOTIENT(S6+S7,2),"")</f>
        <v/>
      </c>
      <c r="T41" s="15" t="s">
        <v>65</v>
      </c>
      <c r="U41" s="9"/>
      <c r="V41" s="96" t="s">
        <v>0</v>
      </c>
      <c r="W41" s="122" t="s">
        <v>3</v>
      </c>
      <c r="X41" s="125"/>
      <c r="Y41" s="15" t="s">
        <v>65</v>
      </c>
      <c r="Z41" s="120">
        <f>IF(QUOTIENT(Z6+Z7,2)&lt;2,2-QUOTIENT(Z6+Z7,2),"")</f>
        <v>2</v>
      </c>
      <c r="AA41" s="15" t="s">
        <v>65</v>
      </c>
      <c r="AB41" s="120">
        <f>IF(QUOTIENT(AB6+AB7,2)&lt;2,2-QUOTIENT(AB6+AB7,2),"")</f>
        <v>2</v>
      </c>
      <c r="AC41" s="15" t="s">
        <v>65</v>
      </c>
      <c r="AD41" s="120">
        <f>IF(QUOTIENT(AD6+AD7,2)&lt;2,2-QUOTIENT(AD6+AD7,2),"")</f>
        <v>2</v>
      </c>
      <c r="AE41" s="15" t="s">
        <v>65</v>
      </c>
      <c r="AF41" s="120">
        <f>IF(QUOTIENT(AF6+AF7,2)&lt;2,2-QUOTIENT(AF6+AF7,2),"")</f>
        <v>2</v>
      </c>
      <c r="AG41" s="15" t="s">
        <v>65</v>
      </c>
      <c r="AH41" s="120">
        <f>IF(QUOTIENT(AH6+AH7,2)&lt;2,2-QUOTIENT(AH6+AH7,2),"")</f>
        <v>2</v>
      </c>
      <c r="AI41" s="15" t="s">
        <v>65</v>
      </c>
      <c r="AJ41" s="120">
        <f>IF(QUOTIENT(AJ6+AJ7,2)&lt;2,2-QUOTIENT(AJ6+AJ7,2),"")</f>
        <v>2</v>
      </c>
      <c r="AK41" s="15" t="s">
        <v>65</v>
      </c>
      <c r="AL41" s="120">
        <f>IF(QUOTIENT(AL6+AL7,2)&lt;2,2-QUOTIENT(AL6+AL7,2),"")</f>
        <v>2</v>
      </c>
      <c r="AM41" s="15" t="s">
        <v>65</v>
      </c>
      <c r="AN41" s="120">
        <f>IF(QUOTIENT(AN6+AN7,2)&lt;2,2-QUOTIENT(AN6+AN7,2),"")</f>
        <v>2</v>
      </c>
      <c r="AO41" s="15" t="s">
        <v>65</v>
      </c>
    </row>
    <row r="42" spans="1:41" ht="15" customHeight="1" x14ac:dyDescent="0.25">
      <c r="A42" s="96"/>
      <c r="B42" s="122"/>
      <c r="C42" s="121"/>
      <c r="D42" s="16" t="s">
        <v>66</v>
      </c>
      <c r="E42" s="121"/>
      <c r="F42" s="16" t="s">
        <v>66</v>
      </c>
      <c r="G42" s="121"/>
      <c r="H42" s="16" t="s">
        <v>66</v>
      </c>
      <c r="I42" s="121"/>
      <c r="J42" s="16" t="s">
        <v>66</v>
      </c>
      <c r="K42" s="121"/>
      <c r="L42" s="16" t="s">
        <v>66</v>
      </c>
      <c r="M42" s="121"/>
      <c r="N42" s="16" t="s">
        <v>66</v>
      </c>
      <c r="O42" s="121"/>
      <c r="P42" s="16" t="s">
        <v>66</v>
      </c>
      <c r="Q42" s="121"/>
      <c r="R42" s="16" t="s">
        <v>66</v>
      </c>
      <c r="S42" s="121"/>
      <c r="T42" s="16" t="s">
        <v>66</v>
      </c>
      <c r="U42" s="9"/>
      <c r="V42" s="96"/>
      <c r="W42" s="122"/>
      <c r="X42" s="126"/>
      <c r="Y42" s="16" t="s">
        <v>66</v>
      </c>
      <c r="Z42" s="121"/>
      <c r="AA42" s="16" t="s">
        <v>66</v>
      </c>
      <c r="AB42" s="121"/>
      <c r="AC42" s="16" t="s">
        <v>66</v>
      </c>
      <c r="AD42" s="121"/>
      <c r="AE42" s="16" t="s">
        <v>66</v>
      </c>
      <c r="AF42" s="121"/>
      <c r="AG42" s="16" t="s">
        <v>66</v>
      </c>
      <c r="AH42" s="121"/>
      <c r="AI42" s="16" t="s">
        <v>66</v>
      </c>
      <c r="AJ42" s="121"/>
      <c r="AK42" s="16" t="s">
        <v>66</v>
      </c>
      <c r="AL42" s="121"/>
      <c r="AM42" s="16" t="s">
        <v>66</v>
      </c>
      <c r="AN42" s="121"/>
      <c r="AO42" s="16" t="s">
        <v>66</v>
      </c>
    </row>
    <row r="43" spans="1:41" ht="15" customHeight="1" x14ac:dyDescent="0.25">
      <c r="A43" s="96"/>
      <c r="B43" s="122" t="s">
        <v>29</v>
      </c>
      <c r="C43" s="120"/>
      <c r="D43" s="15" t="s">
        <v>65</v>
      </c>
      <c r="E43" s="120" t="str">
        <f>IF(QUOTIENT(E8+E9,2)&lt;2,2-QUOTIENT(E8+E9,2),"")</f>
        <v/>
      </c>
      <c r="F43" s="15" t="s">
        <v>65</v>
      </c>
      <c r="G43" s="120" t="str">
        <f>IF(QUOTIENT(G8+G9,2)&lt;2,2-QUOTIENT(G8+G9,2),"")</f>
        <v/>
      </c>
      <c r="H43" s="15" t="s">
        <v>65</v>
      </c>
      <c r="I43" s="120" t="str">
        <f>IF(QUOTIENT(I8+I9,2)&lt;2,2-QUOTIENT(I8+I9,2),"")</f>
        <v/>
      </c>
      <c r="J43" s="15" t="s">
        <v>65</v>
      </c>
      <c r="K43" s="120">
        <f>IF(QUOTIENT(K8+K9,2)&lt;2,2-QUOTIENT(K8+K9,2),"")</f>
        <v>1</v>
      </c>
      <c r="L43" s="15" t="s">
        <v>65</v>
      </c>
      <c r="M43" s="120" t="str">
        <f>IF(QUOTIENT(M8+M9,2)&lt;2,2-QUOTIENT(M8+M9,2),"")</f>
        <v/>
      </c>
      <c r="N43" s="15" t="s">
        <v>65</v>
      </c>
      <c r="O43" s="120" t="str">
        <f>IF(QUOTIENT(O8+O9,2)&lt;2,2-QUOTIENT(O8+O9,2),"")</f>
        <v/>
      </c>
      <c r="P43" s="15" t="s">
        <v>65</v>
      </c>
      <c r="Q43" s="120" t="str">
        <f>IF(QUOTIENT(Q8+Q9,2)&lt;2,2-QUOTIENT(Q8+Q9,2),"")</f>
        <v/>
      </c>
      <c r="R43" s="15" t="s">
        <v>65</v>
      </c>
      <c r="S43" s="120" t="str">
        <f>IF(QUOTIENT(S8+S9,2)&lt;2,2-QUOTIENT(S8+S9,2),"")</f>
        <v/>
      </c>
      <c r="T43" s="15" t="s">
        <v>65</v>
      </c>
      <c r="U43" s="9"/>
      <c r="V43" s="96"/>
      <c r="W43" s="122" t="s">
        <v>4</v>
      </c>
      <c r="X43" s="125"/>
      <c r="Y43" s="15" t="s">
        <v>65</v>
      </c>
      <c r="Z43" s="120">
        <f>IF(QUOTIENT(Z8+Z9,2)&lt;2,2-QUOTIENT(Z8+Z9,2),"")</f>
        <v>2</v>
      </c>
      <c r="AA43" s="15" t="s">
        <v>65</v>
      </c>
      <c r="AB43" s="120">
        <f>IF(QUOTIENT(AB8+AB9,2)&lt;2,2-QUOTIENT(AB8+AB9,2),"")</f>
        <v>2</v>
      </c>
      <c r="AC43" s="15" t="s">
        <v>65</v>
      </c>
      <c r="AD43" s="120">
        <f>IF(QUOTIENT(AD8+AD9,2)&lt;2,2-QUOTIENT(AD8+AD9,2),"")</f>
        <v>2</v>
      </c>
      <c r="AE43" s="15" t="s">
        <v>65</v>
      </c>
      <c r="AF43" s="120">
        <f>IF(QUOTIENT(AF8+AF9,2)&lt;2,2-QUOTIENT(AF8+AF9,2),"")</f>
        <v>2</v>
      </c>
      <c r="AG43" s="15" t="s">
        <v>65</v>
      </c>
      <c r="AH43" s="120">
        <f>IF(QUOTIENT(AH8+AH9,2)&lt;2,2-QUOTIENT(AH8+AH9,2),"")</f>
        <v>2</v>
      </c>
      <c r="AI43" s="15" t="s">
        <v>65</v>
      </c>
      <c r="AJ43" s="120">
        <f>IF(QUOTIENT(AJ8+AJ9,2)&lt;2,2-QUOTIENT(AJ8+AJ9,2),"")</f>
        <v>2</v>
      </c>
      <c r="AK43" s="15" t="s">
        <v>65</v>
      </c>
      <c r="AL43" s="120">
        <f>IF(QUOTIENT(AL8+AL9,2)&lt;2,2-QUOTIENT(AL8+AL9,2),"")</f>
        <v>2</v>
      </c>
      <c r="AM43" s="15" t="s">
        <v>65</v>
      </c>
      <c r="AN43" s="120">
        <f>IF(QUOTIENT(AN8+AN9,2)&lt;2,2-QUOTIENT(AN8+AN9,2),"")</f>
        <v>2</v>
      </c>
      <c r="AO43" s="15" t="s">
        <v>65</v>
      </c>
    </row>
    <row r="44" spans="1:41" ht="15" customHeight="1" x14ac:dyDescent="0.25">
      <c r="A44" s="96"/>
      <c r="B44" s="122"/>
      <c r="C44" s="121"/>
      <c r="D44" s="16" t="s">
        <v>66</v>
      </c>
      <c r="E44" s="121"/>
      <c r="F44" s="16" t="s">
        <v>66</v>
      </c>
      <c r="G44" s="121"/>
      <c r="H44" s="16" t="s">
        <v>66</v>
      </c>
      <c r="I44" s="121"/>
      <c r="J44" s="16" t="s">
        <v>66</v>
      </c>
      <c r="K44" s="121"/>
      <c r="L44" s="16" t="s">
        <v>66</v>
      </c>
      <c r="M44" s="121"/>
      <c r="N44" s="16" t="s">
        <v>66</v>
      </c>
      <c r="O44" s="121"/>
      <c r="P44" s="16" t="s">
        <v>66</v>
      </c>
      <c r="Q44" s="121"/>
      <c r="R44" s="16" t="s">
        <v>66</v>
      </c>
      <c r="S44" s="121"/>
      <c r="T44" s="16" t="s">
        <v>66</v>
      </c>
      <c r="U44" s="9"/>
      <c r="V44" s="96"/>
      <c r="W44" s="122"/>
      <c r="X44" s="126"/>
      <c r="Y44" s="16" t="s">
        <v>66</v>
      </c>
      <c r="Z44" s="121"/>
      <c r="AA44" s="16" t="s">
        <v>66</v>
      </c>
      <c r="AB44" s="121"/>
      <c r="AC44" s="16" t="s">
        <v>66</v>
      </c>
      <c r="AD44" s="121"/>
      <c r="AE44" s="16" t="s">
        <v>66</v>
      </c>
      <c r="AF44" s="121"/>
      <c r="AG44" s="16" t="s">
        <v>66</v>
      </c>
      <c r="AH44" s="121"/>
      <c r="AI44" s="16" t="s">
        <v>66</v>
      </c>
      <c r="AJ44" s="121"/>
      <c r="AK44" s="16" t="s">
        <v>66</v>
      </c>
      <c r="AL44" s="121"/>
      <c r="AM44" s="16" t="s">
        <v>66</v>
      </c>
      <c r="AN44" s="121"/>
      <c r="AO44" s="16" t="s">
        <v>66</v>
      </c>
    </row>
    <row r="45" spans="1:41" ht="15" customHeight="1" x14ac:dyDescent="0.25">
      <c r="A45" s="96"/>
      <c r="B45" s="122" t="s">
        <v>30</v>
      </c>
      <c r="C45" s="120"/>
      <c r="D45" s="15" t="s">
        <v>65</v>
      </c>
      <c r="E45" s="120" t="str">
        <f>IF(QUOTIENT(E10+E11,2)&lt;2,2-QUOTIENT(E10+E11,2),"")</f>
        <v/>
      </c>
      <c r="F45" s="15" t="s">
        <v>65</v>
      </c>
      <c r="G45" s="120" t="str">
        <f>IF(QUOTIENT(G10+G11,2)&lt;2,2-QUOTIENT(G10+G11,2),"")</f>
        <v/>
      </c>
      <c r="H45" s="15" t="s">
        <v>65</v>
      </c>
      <c r="I45" s="120" t="str">
        <f>IF(QUOTIENT(I10+I11,2)&lt;2,2-QUOTIENT(I10+I11,2),"")</f>
        <v/>
      </c>
      <c r="J45" s="15" t="s">
        <v>65</v>
      </c>
      <c r="K45" s="120" t="str">
        <f>IF(QUOTIENT(K10+K11,2)&lt;2,2-QUOTIENT(K10+K11,2),"")</f>
        <v/>
      </c>
      <c r="L45" s="15" t="s">
        <v>65</v>
      </c>
      <c r="M45" s="120" t="str">
        <f>IF(QUOTIENT(M10+M11,2)&lt;2,2-QUOTIENT(M10+M11,2),"")</f>
        <v/>
      </c>
      <c r="N45" s="15" t="s">
        <v>65</v>
      </c>
      <c r="O45" s="120" t="str">
        <f>IF(QUOTIENT(O10+O11,2)&lt;2,2-QUOTIENT(O10+O11,2),"")</f>
        <v/>
      </c>
      <c r="P45" s="15" t="s">
        <v>65</v>
      </c>
      <c r="Q45" s="120" t="str">
        <f>IF(QUOTIENT(Q10+Q11,2)&lt;2,2-QUOTIENT(Q10+Q11,2),"")</f>
        <v/>
      </c>
      <c r="R45" s="15" t="s">
        <v>65</v>
      </c>
      <c r="S45" s="120" t="str">
        <f>IF(QUOTIENT(S10+S11,2)&lt;2,2-QUOTIENT(S10+S11,2),"")</f>
        <v/>
      </c>
      <c r="T45" s="15" t="s">
        <v>65</v>
      </c>
      <c r="U45" s="9"/>
      <c r="V45" s="96"/>
      <c r="W45" s="122" t="s">
        <v>5</v>
      </c>
      <c r="X45" s="125"/>
      <c r="Y45" s="15" t="s">
        <v>65</v>
      </c>
      <c r="Z45" s="120">
        <f>IF(QUOTIENT(Z10+Z11,2)&lt;2,2-QUOTIENT(Z10+Z11,2),"")</f>
        <v>2</v>
      </c>
      <c r="AA45" s="15" t="s">
        <v>65</v>
      </c>
      <c r="AB45" s="120">
        <f>IF(QUOTIENT(AB10+AB11,2)&lt;2,2-QUOTIENT(AB10+AB11,2),"")</f>
        <v>2</v>
      </c>
      <c r="AC45" s="15" t="s">
        <v>65</v>
      </c>
      <c r="AD45" s="120">
        <f>IF(QUOTIENT(AD10+AD11,2)&lt;2,2-QUOTIENT(AD10+AD11,2),"")</f>
        <v>2</v>
      </c>
      <c r="AE45" s="15" t="s">
        <v>65</v>
      </c>
      <c r="AF45" s="120">
        <f>IF(QUOTIENT(AF10+AF11,2)&lt;2,2-QUOTIENT(AF10+AF11,2),"")</f>
        <v>2</v>
      </c>
      <c r="AG45" s="15" t="s">
        <v>65</v>
      </c>
      <c r="AH45" s="120">
        <f>IF(QUOTIENT(AH10+AH11,2)&lt;2,2-QUOTIENT(AH10+AH11,2),"")</f>
        <v>2</v>
      </c>
      <c r="AI45" s="15" t="s">
        <v>65</v>
      </c>
      <c r="AJ45" s="120">
        <f>IF(QUOTIENT(AJ10+AJ11,2)&lt;2,2-QUOTIENT(AJ10+AJ11,2),"")</f>
        <v>2</v>
      </c>
      <c r="AK45" s="15" t="s">
        <v>65</v>
      </c>
      <c r="AL45" s="120">
        <f>IF(QUOTIENT(AL10+AL11,2)&lt;2,2-QUOTIENT(AL10+AL11,2),"")</f>
        <v>2</v>
      </c>
      <c r="AM45" s="15" t="s">
        <v>65</v>
      </c>
      <c r="AN45" s="120">
        <f>IF(QUOTIENT(AN10+AN11,2)&lt;2,2-QUOTIENT(AN10+AN11,2),"")</f>
        <v>2</v>
      </c>
      <c r="AO45" s="15" t="s">
        <v>65</v>
      </c>
    </row>
    <row r="46" spans="1:41" ht="15" customHeight="1" x14ac:dyDescent="0.25">
      <c r="A46" s="96"/>
      <c r="B46" s="122"/>
      <c r="C46" s="121"/>
      <c r="D46" s="16" t="s">
        <v>66</v>
      </c>
      <c r="E46" s="121"/>
      <c r="F46" s="16" t="s">
        <v>66</v>
      </c>
      <c r="G46" s="121"/>
      <c r="H46" s="16" t="s">
        <v>66</v>
      </c>
      <c r="I46" s="121"/>
      <c r="J46" s="16" t="s">
        <v>66</v>
      </c>
      <c r="K46" s="121"/>
      <c r="L46" s="16" t="s">
        <v>66</v>
      </c>
      <c r="M46" s="121"/>
      <c r="N46" s="16" t="s">
        <v>66</v>
      </c>
      <c r="O46" s="121"/>
      <c r="P46" s="16" t="s">
        <v>66</v>
      </c>
      <c r="Q46" s="121"/>
      <c r="R46" s="16" t="s">
        <v>66</v>
      </c>
      <c r="S46" s="121"/>
      <c r="T46" s="16" t="s">
        <v>66</v>
      </c>
      <c r="U46" s="9"/>
      <c r="V46" s="96"/>
      <c r="W46" s="122"/>
      <c r="X46" s="126"/>
      <c r="Y46" s="16" t="s">
        <v>66</v>
      </c>
      <c r="Z46" s="121"/>
      <c r="AA46" s="16" t="s">
        <v>66</v>
      </c>
      <c r="AB46" s="121"/>
      <c r="AC46" s="16" t="s">
        <v>66</v>
      </c>
      <c r="AD46" s="121"/>
      <c r="AE46" s="16" t="s">
        <v>66</v>
      </c>
      <c r="AF46" s="121"/>
      <c r="AG46" s="16" t="s">
        <v>66</v>
      </c>
      <c r="AH46" s="121"/>
      <c r="AI46" s="16" t="s">
        <v>66</v>
      </c>
      <c r="AJ46" s="121"/>
      <c r="AK46" s="16" t="s">
        <v>66</v>
      </c>
      <c r="AL46" s="121"/>
      <c r="AM46" s="16" t="s">
        <v>66</v>
      </c>
      <c r="AN46" s="121"/>
      <c r="AO46" s="16" t="s">
        <v>66</v>
      </c>
    </row>
    <row r="47" spans="1:41" ht="15" customHeight="1" x14ac:dyDescent="0.25">
      <c r="A47" s="96"/>
      <c r="B47" s="122" t="s">
        <v>31</v>
      </c>
      <c r="C47" s="120"/>
      <c r="D47" s="15" t="s">
        <v>65</v>
      </c>
      <c r="E47" s="120" t="str">
        <f>IF(QUOTIENT(E12+E13,2)&lt;2,2-QUOTIENT(E12+E13,2),"")</f>
        <v/>
      </c>
      <c r="F47" s="15" t="s">
        <v>65</v>
      </c>
      <c r="G47" s="120">
        <f>IF(QUOTIENT(G12+G13,2)&lt;2,2-QUOTIENT(G12+G13,2),"")</f>
        <v>1</v>
      </c>
      <c r="H47" s="15" t="s">
        <v>65</v>
      </c>
      <c r="I47" s="120" t="str">
        <f>IF(QUOTIENT(I12+I13,2)&lt;2,2-QUOTIENT(I12+I13,2),"")</f>
        <v/>
      </c>
      <c r="J47" s="15" t="s">
        <v>65</v>
      </c>
      <c r="K47" s="120">
        <f>IF(QUOTIENT(K12+K13,2)&lt;2,2-QUOTIENT(K12+K13,2),"")</f>
        <v>1</v>
      </c>
      <c r="L47" s="15" t="s">
        <v>65</v>
      </c>
      <c r="M47" s="120" t="str">
        <f>IF(QUOTIENT(M12+M13,2)&lt;2,2-QUOTIENT(M12+M13,2),"")</f>
        <v/>
      </c>
      <c r="N47" s="15" t="s">
        <v>65</v>
      </c>
      <c r="O47" s="120" t="str">
        <f>IF(QUOTIENT(O12+O13,2)&lt;2,2-QUOTIENT(O12+O13,2),"")</f>
        <v/>
      </c>
      <c r="P47" s="15" t="s">
        <v>65</v>
      </c>
      <c r="Q47" s="120" t="str">
        <f>IF(QUOTIENT(Q12+Q13,2)&lt;2,2-QUOTIENT(Q12+Q13,2),"")</f>
        <v/>
      </c>
      <c r="R47" s="15" t="s">
        <v>65</v>
      </c>
      <c r="S47" s="120" t="str">
        <f>IF(QUOTIENT(S12+S13,2)&lt;2,2-QUOTIENT(S12+S13,2),"")</f>
        <v/>
      </c>
      <c r="T47" s="15" t="s">
        <v>65</v>
      </c>
      <c r="U47" s="9"/>
      <c r="V47" s="96"/>
      <c r="W47" s="122" t="s">
        <v>6</v>
      </c>
      <c r="X47" s="125"/>
      <c r="Y47" s="15" t="s">
        <v>65</v>
      </c>
      <c r="Z47" s="120">
        <f>IF(QUOTIENT(Z12+Z13,2)&lt;2,2-QUOTIENT(Z12+Z13,2),"")</f>
        <v>2</v>
      </c>
      <c r="AA47" s="15" t="s">
        <v>65</v>
      </c>
      <c r="AB47" s="120">
        <f>IF(QUOTIENT(AB12+AB13,2)&lt;2,2-QUOTIENT(AB12+AB13,2),"")</f>
        <v>2</v>
      </c>
      <c r="AC47" s="15" t="s">
        <v>65</v>
      </c>
      <c r="AD47" s="120">
        <f>IF(QUOTIENT(AD12+AD13,2)&lt;2,2-QUOTIENT(AD12+AD13,2),"")</f>
        <v>2</v>
      </c>
      <c r="AE47" s="15" t="s">
        <v>65</v>
      </c>
      <c r="AF47" s="120">
        <f>IF(QUOTIENT(AF12+AF13,2)&lt;2,2-QUOTIENT(AF12+AF13,2),"")</f>
        <v>2</v>
      </c>
      <c r="AG47" s="15" t="s">
        <v>65</v>
      </c>
      <c r="AH47" s="120">
        <f>IF(QUOTIENT(AH12+AH13,2)&lt;2,2-QUOTIENT(AH12+AH13,2),"")</f>
        <v>2</v>
      </c>
      <c r="AI47" s="15" t="s">
        <v>65</v>
      </c>
      <c r="AJ47" s="120">
        <f>IF(QUOTIENT(AJ12+AJ13,2)&lt;2,2-QUOTIENT(AJ12+AJ13,2),"")</f>
        <v>2</v>
      </c>
      <c r="AK47" s="15" t="s">
        <v>65</v>
      </c>
      <c r="AL47" s="120">
        <f>IF(QUOTIENT(AL12+AL13,2)&lt;2,2-QUOTIENT(AL12+AL13,2),"")</f>
        <v>2</v>
      </c>
      <c r="AM47" s="15" t="s">
        <v>65</v>
      </c>
      <c r="AN47" s="120">
        <f>IF(QUOTIENT(AN12+AN13,2)&lt;2,2-QUOTIENT(AN12+AN13,2),"")</f>
        <v>2</v>
      </c>
      <c r="AO47" s="15" t="s">
        <v>65</v>
      </c>
    </row>
    <row r="48" spans="1:41" ht="15" customHeight="1" x14ac:dyDescent="0.25">
      <c r="A48" s="96"/>
      <c r="B48" s="122"/>
      <c r="C48" s="121"/>
      <c r="D48" s="16" t="s">
        <v>66</v>
      </c>
      <c r="E48" s="121"/>
      <c r="F48" s="16" t="s">
        <v>66</v>
      </c>
      <c r="G48" s="121"/>
      <c r="H48" s="16" t="s">
        <v>66</v>
      </c>
      <c r="I48" s="121"/>
      <c r="J48" s="16" t="s">
        <v>66</v>
      </c>
      <c r="K48" s="121"/>
      <c r="L48" s="16" t="s">
        <v>66</v>
      </c>
      <c r="M48" s="121"/>
      <c r="N48" s="16" t="s">
        <v>66</v>
      </c>
      <c r="O48" s="121"/>
      <c r="P48" s="16" t="s">
        <v>66</v>
      </c>
      <c r="Q48" s="121"/>
      <c r="R48" s="16" t="s">
        <v>66</v>
      </c>
      <c r="S48" s="121"/>
      <c r="T48" s="16" t="s">
        <v>66</v>
      </c>
      <c r="U48" s="9"/>
      <c r="V48" s="96"/>
      <c r="W48" s="122"/>
      <c r="X48" s="126"/>
      <c r="Y48" s="16" t="s">
        <v>66</v>
      </c>
      <c r="Z48" s="121"/>
      <c r="AA48" s="16" t="s">
        <v>66</v>
      </c>
      <c r="AB48" s="121"/>
      <c r="AC48" s="16" t="s">
        <v>66</v>
      </c>
      <c r="AD48" s="121"/>
      <c r="AE48" s="16" t="s">
        <v>66</v>
      </c>
      <c r="AF48" s="121"/>
      <c r="AG48" s="16" t="s">
        <v>66</v>
      </c>
      <c r="AH48" s="121"/>
      <c r="AI48" s="16" t="s">
        <v>66</v>
      </c>
      <c r="AJ48" s="121"/>
      <c r="AK48" s="16" t="s">
        <v>66</v>
      </c>
      <c r="AL48" s="121"/>
      <c r="AM48" s="16" t="s">
        <v>66</v>
      </c>
      <c r="AN48" s="121"/>
      <c r="AO48" s="16" t="s">
        <v>66</v>
      </c>
    </row>
    <row r="49" spans="1:41" ht="15" customHeight="1" x14ac:dyDescent="0.25">
      <c r="A49" s="96"/>
      <c r="B49" s="122" t="s">
        <v>32</v>
      </c>
      <c r="C49" s="120"/>
      <c r="D49" s="15" t="s">
        <v>65</v>
      </c>
      <c r="E49" s="120" t="str">
        <f>IF(QUOTIENT(E14+E15,2)&lt;2,2-QUOTIENT(E14+E15,2),"")</f>
        <v/>
      </c>
      <c r="F49" s="15" t="s">
        <v>65</v>
      </c>
      <c r="G49" s="120" t="str">
        <f>IF(QUOTIENT(G14+G15,2)&lt;2,2-QUOTIENT(G14+G15,2),"")</f>
        <v/>
      </c>
      <c r="H49" s="15" t="s">
        <v>65</v>
      </c>
      <c r="I49" s="120" t="str">
        <f>IF(QUOTIENT(I14+I15,2)&lt;2,2-QUOTIENT(I14+I15,2),"")</f>
        <v/>
      </c>
      <c r="J49" s="15" t="s">
        <v>65</v>
      </c>
      <c r="K49" s="120" t="str">
        <f>IF(QUOTIENT(K14+K15,2)&lt;2,2-QUOTIENT(K14+K15,2),"")</f>
        <v/>
      </c>
      <c r="L49" s="15" t="s">
        <v>65</v>
      </c>
      <c r="M49" s="120" t="str">
        <f>IF(QUOTIENT(M14+M15,2)&lt;2,2-QUOTIENT(M14+M15,2),"")</f>
        <v/>
      </c>
      <c r="N49" s="15" t="s">
        <v>65</v>
      </c>
      <c r="O49" s="120" t="str">
        <f>IF(QUOTIENT(O14+O15,2)&lt;2,2-QUOTIENT(O14+O15,2),"")</f>
        <v/>
      </c>
      <c r="P49" s="15" t="s">
        <v>65</v>
      </c>
      <c r="Q49" s="120" t="str">
        <f>IF(QUOTIENT(Q14+Q15,2)&lt;2,2-QUOTIENT(Q14+Q15,2),"")</f>
        <v/>
      </c>
      <c r="R49" s="15" t="s">
        <v>65</v>
      </c>
      <c r="S49" s="120">
        <f>IF(QUOTIENT(S14+S15,2)&lt;2,2-QUOTIENT(S14+S15,2),"")</f>
        <v>1</v>
      </c>
      <c r="T49" s="15" t="s">
        <v>65</v>
      </c>
      <c r="U49" s="9"/>
      <c r="V49" s="96"/>
      <c r="W49" s="122" t="s">
        <v>7</v>
      </c>
      <c r="X49" s="125"/>
      <c r="Y49" s="15" t="s">
        <v>65</v>
      </c>
      <c r="Z49" s="120">
        <f>IF(QUOTIENT(Z14+Z15,2)&lt;2,2-QUOTIENT(Z14+Z15,2),"")</f>
        <v>2</v>
      </c>
      <c r="AA49" s="15" t="s">
        <v>65</v>
      </c>
      <c r="AB49" s="120">
        <f>IF(QUOTIENT(AB14+AB15,2)&lt;2,2-QUOTIENT(AB14+AB15,2),"")</f>
        <v>2</v>
      </c>
      <c r="AC49" s="15" t="s">
        <v>65</v>
      </c>
      <c r="AD49" s="120">
        <f>IF(QUOTIENT(AD14+AD15,2)&lt;2,2-QUOTIENT(AD14+AD15,2),"")</f>
        <v>2</v>
      </c>
      <c r="AE49" s="15" t="s">
        <v>65</v>
      </c>
      <c r="AF49" s="120">
        <f>IF(QUOTIENT(AF14+AF15,2)&lt;2,2-QUOTIENT(AF14+AF15,2),"")</f>
        <v>2</v>
      </c>
      <c r="AG49" s="15" t="s">
        <v>65</v>
      </c>
      <c r="AH49" s="120">
        <f>IF(QUOTIENT(AH14+AH15,2)&lt;2,2-QUOTIENT(AH14+AH15,2),"")</f>
        <v>2</v>
      </c>
      <c r="AI49" s="15" t="s">
        <v>65</v>
      </c>
      <c r="AJ49" s="120">
        <f>IF(QUOTIENT(AJ14+AJ15,2)&lt;2,2-QUOTIENT(AJ14+AJ15,2),"")</f>
        <v>2</v>
      </c>
      <c r="AK49" s="15" t="s">
        <v>65</v>
      </c>
      <c r="AL49" s="120">
        <f>IF(QUOTIENT(AL14+AL15,2)&lt;2,2-QUOTIENT(AL14+AL15,2),"")</f>
        <v>2</v>
      </c>
      <c r="AM49" s="15" t="s">
        <v>65</v>
      </c>
      <c r="AN49" s="120">
        <f>IF(QUOTIENT(AN14+AN15,2)&lt;2,2-QUOTIENT(AN14+AN15,2),"")</f>
        <v>2</v>
      </c>
      <c r="AO49" s="15" t="s">
        <v>65</v>
      </c>
    </row>
    <row r="50" spans="1:41" ht="15" customHeight="1" x14ac:dyDescent="0.25">
      <c r="A50" s="96"/>
      <c r="B50" s="122"/>
      <c r="C50" s="121"/>
      <c r="D50" s="16" t="s">
        <v>66</v>
      </c>
      <c r="E50" s="121"/>
      <c r="F50" s="16" t="s">
        <v>66</v>
      </c>
      <c r="G50" s="121"/>
      <c r="H50" s="16" t="s">
        <v>66</v>
      </c>
      <c r="I50" s="121"/>
      <c r="J50" s="16" t="s">
        <v>66</v>
      </c>
      <c r="K50" s="121"/>
      <c r="L50" s="16" t="s">
        <v>66</v>
      </c>
      <c r="M50" s="121"/>
      <c r="N50" s="16" t="s">
        <v>66</v>
      </c>
      <c r="O50" s="121"/>
      <c r="P50" s="16" t="s">
        <v>66</v>
      </c>
      <c r="Q50" s="121"/>
      <c r="R50" s="16" t="s">
        <v>66</v>
      </c>
      <c r="S50" s="121"/>
      <c r="T50" s="16" t="s">
        <v>66</v>
      </c>
      <c r="U50" s="9"/>
      <c r="V50" s="96"/>
      <c r="W50" s="122"/>
      <c r="X50" s="126"/>
      <c r="Y50" s="16" t="s">
        <v>66</v>
      </c>
      <c r="Z50" s="121"/>
      <c r="AA50" s="16" t="s">
        <v>66</v>
      </c>
      <c r="AB50" s="121"/>
      <c r="AC50" s="16" t="s">
        <v>66</v>
      </c>
      <c r="AD50" s="121"/>
      <c r="AE50" s="16" t="s">
        <v>66</v>
      </c>
      <c r="AF50" s="121"/>
      <c r="AG50" s="16" t="s">
        <v>66</v>
      </c>
      <c r="AH50" s="121"/>
      <c r="AI50" s="16" t="s">
        <v>66</v>
      </c>
      <c r="AJ50" s="121"/>
      <c r="AK50" s="16" t="s">
        <v>66</v>
      </c>
      <c r="AL50" s="121"/>
      <c r="AM50" s="16" t="s">
        <v>66</v>
      </c>
      <c r="AN50" s="121"/>
      <c r="AO50" s="16" t="s">
        <v>66</v>
      </c>
    </row>
    <row r="51" spans="1:41" ht="15" customHeight="1" x14ac:dyDescent="0.25">
      <c r="A51" s="96"/>
      <c r="B51" s="122" t="s">
        <v>33</v>
      </c>
      <c r="C51" s="120"/>
      <c r="D51" s="15" t="s">
        <v>65</v>
      </c>
      <c r="E51" s="120" t="str">
        <f>IF(QUOTIENT(E16+E17,2)&lt;2,2-QUOTIENT(E16+E17,2),"")</f>
        <v/>
      </c>
      <c r="F51" s="15" t="s">
        <v>65</v>
      </c>
      <c r="G51" s="120" t="str">
        <f>IF(QUOTIENT(G16+G17,2)&lt;2,2-QUOTIENT(G16+G17,2),"")</f>
        <v/>
      </c>
      <c r="H51" s="15" t="s">
        <v>65</v>
      </c>
      <c r="I51" s="120" t="str">
        <f>IF(QUOTIENT(I16+I17,2)&lt;2,2-QUOTIENT(I16+I17,2),"")</f>
        <v/>
      </c>
      <c r="J51" s="15" t="s">
        <v>65</v>
      </c>
      <c r="K51" s="120" t="str">
        <f>IF(QUOTIENT(K16+K17,2)&lt;2,2-QUOTIENT(K16+K17,2),"")</f>
        <v/>
      </c>
      <c r="L51" s="15" t="s">
        <v>65</v>
      </c>
      <c r="M51" s="120" t="str">
        <f>IF(QUOTIENT(M16+M17,2)&lt;2,2-QUOTIENT(M16+M17,2),"")</f>
        <v/>
      </c>
      <c r="N51" s="15" t="s">
        <v>65</v>
      </c>
      <c r="O51" s="120" t="str">
        <f>IF(QUOTIENT(O16+O17,2)&lt;2,2-QUOTIENT(O16+O17,2),"")</f>
        <v/>
      </c>
      <c r="P51" s="15" t="s">
        <v>65</v>
      </c>
      <c r="Q51" s="120" t="str">
        <f>IF(QUOTIENT(Q16+Q17,2)&lt;2,2-QUOTIENT(Q16+Q17,2),"")</f>
        <v/>
      </c>
      <c r="R51" s="15" t="s">
        <v>65</v>
      </c>
      <c r="S51" s="120" t="str">
        <f>IF(QUOTIENT(S16+S17,2)&lt;2,2-QUOTIENT(S16+S17,2),"")</f>
        <v/>
      </c>
      <c r="T51" s="15" t="s">
        <v>65</v>
      </c>
      <c r="U51" s="9"/>
      <c r="V51" s="96"/>
      <c r="W51" s="122" t="s">
        <v>8</v>
      </c>
      <c r="X51" s="125"/>
      <c r="Y51" s="15" t="s">
        <v>65</v>
      </c>
      <c r="Z51" s="120">
        <f>IF(QUOTIENT(Z16+Z17,2)&lt;2,2-QUOTIENT(Z16+Z17,2),"")</f>
        <v>2</v>
      </c>
      <c r="AA51" s="15" t="s">
        <v>65</v>
      </c>
      <c r="AB51" s="120">
        <f>IF(QUOTIENT(AB16+AB17,2)&lt;2,2-QUOTIENT(AB16+AB17,2),"")</f>
        <v>2</v>
      </c>
      <c r="AC51" s="15" t="s">
        <v>65</v>
      </c>
      <c r="AD51" s="120">
        <f>IF(QUOTIENT(AD16+AD17,2)&lt;2,2-QUOTIENT(AD16+AD17,2),"")</f>
        <v>2</v>
      </c>
      <c r="AE51" s="15" t="s">
        <v>65</v>
      </c>
      <c r="AF51" s="120">
        <f>IF(QUOTIENT(AF16+AF17,2)&lt;2,2-QUOTIENT(AF16+AF17,2),"")</f>
        <v>2</v>
      </c>
      <c r="AG51" s="15" t="s">
        <v>65</v>
      </c>
      <c r="AH51" s="120">
        <f>IF(QUOTIENT(AH16+AH17,2)&lt;2,2-QUOTIENT(AH16+AH17,2),"")</f>
        <v>2</v>
      </c>
      <c r="AI51" s="15" t="s">
        <v>65</v>
      </c>
      <c r="AJ51" s="120">
        <f>IF(QUOTIENT(AJ16+AJ17,2)&lt;2,2-QUOTIENT(AJ16+AJ17,2),"")</f>
        <v>2</v>
      </c>
      <c r="AK51" s="15" t="s">
        <v>65</v>
      </c>
      <c r="AL51" s="120">
        <f>IF(QUOTIENT(AL16+AL17,2)&lt;2,2-QUOTIENT(AL16+AL17,2),"")</f>
        <v>2</v>
      </c>
      <c r="AM51" s="15" t="s">
        <v>65</v>
      </c>
      <c r="AN51" s="120">
        <f>IF(QUOTIENT(AN16+AN17,2)&lt;2,2-QUOTIENT(AN16+AN17,2),"")</f>
        <v>2</v>
      </c>
      <c r="AO51" s="15" t="s">
        <v>65</v>
      </c>
    </row>
    <row r="52" spans="1:41" ht="15" customHeight="1" x14ac:dyDescent="0.25">
      <c r="A52" s="96"/>
      <c r="B52" s="122"/>
      <c r="C52" s="121"/>
      <c r="D52" s="16" t="s">
        <v>66</v>
      </c>
      <c r="E52" s="121"/>
      <c r="F52" s="16" t="s">
        <v>66</v>
      </c>
      <c r="G52" s="121"/>
      <c r="H52" s="16" t="s">
        <v>66</v>
      </c>
      <c r="I52" s="121"/>
      <c r="J52" s="16" t="s">
        <v>66</v>
      </c>
      <c r="K52" s="121"/>
      <c r="L52" s="16" t="s">
        <v>66</v>
      </c>
      <c r="M52" s="121"/>
      <c r="N52" s="16" t="s">
        <v>66</v>
      </c>
      <c r="O52" s="121"/>
      <c r="P52" s="16" t="s">
        <v>66</v>
      </c>
      <c r="Q52" s="121"/>
      <c r="R52" s="16" t="s">
        <v>66</v>
      </c>
      <c r="S52" s="121"/>
      <c r="T52" s="16" t="s">
        <v>66</v>
      </c>
      <c r="U52" s="9"/>
      <c r="V52" s="96"/>
      <c r="W52" s="122"/>
      <c r="X52" s="126"/>
      <c r="Y52" s="16" t="s">
        <v>66</v>
      </c>
      <c r="Z52" s="121"/>
      <c r="AA52" s="16" t="s">
        <v>66</v>
      </c>
      <c r="AB52" s="121"/>
      <c r="AC52" s="16" t="s">
        <v>66</v>
      </c>
      <c r="AD52" s="121"/>
      <c r="AE52" s="16" t="s">
        <v>66</v>
      </c>
      <c r="AF52" s="121"/>
      <c r="AG52" s="16" t="s">
        <v>66</v>
      </c>
      <c r="AH52" s="121"/>
      <c r="AI52" s="16" t="s">
        <v>66</v>
      </c>
      <c r="AJ52" s="121"/>
      <c r="AK52" s="16" t="s">
        <v>66</v>
      </c>
      <c r="AL52" s="121"/>
      <c r="AM52" s="16" t="s">
        <v>66</v>
      </c>
      <c r="AN52" s="121"/>
      <c r="AO52" s="16" t="s">
        <v>66</v>
      </c>
    </row>
    <row r="53" spans="1:41" ht="15" customHeight="1" x14ac:dyDescent="0.25">
      <c r="A53" s="96"/>
      <c r="B53" s="122" t="s">
        <v>34</v>
      </c>
      <c r="C53" s="120"/>
      <c r="D53" s="15" t="s">
        <v>65</v>
      </c>
      <c r="E53" s="120" t="str">
        <f>IF(QUOTIENT(E18+E19,2)&lt;2,2-QUOTIENT(E18+E19,2),"")</f>
        <v/>
      </c>
      <c r="F53" s="15" t="s">
        <v>65</v>
      </c>
      <c r="G53" s="120" t="str">
        <f>IF(QUOTIENT(G18+G19,2)&lt;2,2-QUOTIENT(G18+G19,2),"")</f>
        <v/>
      </c>
      <c r="H53" s="15" t="s">
        <v>65</v>
      </c>
      <c r="I53" s="120" t="str">
        <f>IF(QUOTIENT(I18+I19,2)&lt;2,2-QUOTIENT(I18+I19,2),"")</f>
        <v/>
      </c>
      <c r="J53" s="15" t="s">
        <v>65</v>
      </c>
      <c r="K53" s="120" t="str">
        <f>IF(QUOTIENT(K18+K19,2)&lt;2,2-QUOTIENT(K18+K19,2),"")</f>
        <v/>
      </c>
      <c r="L53" s="15" t="s">
        <v>65</v>
      </c>
      <c r="M53" s="120" t="str">
        <f>IF(QUOTIENT(M18+M19,2)&lt;2,2-QUOTIENT(M18+M19,2),"")</f>
        <v/>
      </c>
      <c r="N53" s="15" t="s">
        <v>65</v>
      </c>
      <c r="O53" s="120" t="str">
        <f>IF(QUOTIENT(O18+O19,2)&lt;2,2-QUOTIENT(O18+O19,2),"")</f>
        <v/>
      </c>
      <c r="P53" s="15" t="s">
        <v>65</v>
      </c>
      <c r="Q53" s="120" t="str">
        <f>IF(QUOTIENT(Q18+Q19,2)&lt;2,2-QUOTIENT(Q18+Q19,2),"")</f>
        <v/>
      </c>
      <c r="R53" s="15" t="s">
        <v>65</v>
      </c>
      <c r="S53" s="120" t="str">
        <f>IF(QUOTIENT(S18+S19,2)&lt;2,2-QUOTIENT(S18+S19,2),"")</f>
        <v/>
      </c>
      <c r="T53" s="15" t="s">
        <v>65</v>
      </c>
      <c r="U53" s="9"/>
      <c r="V53" s="96"/>
      <c r="W53" s="122" t="s">
        <v>9</v>
      </c>
      <c r="X53" s="125"/>
      <c r="Y53" s="15" t="s">
        <v>65</v>
      </c>
      <c r="Z53" s="120">
        <f>IF(QUOTIENT(Z18+Z19,2)&lt;2,2-QUOTIENT(Z18+Z19,2),"")</f>
        <v>2</v>
      </c>
      <c r="AA53" s="15" t="s">
        <v>65</v>
      </c>
      <c r="AB53" s="120">
        <f>IF(QUOTIENT(AB18+AB19,2)&lt;2,2-QUOTIENT(AB18+AB19,2),"")</f>
        <v>2</v>
      </c>
      <c r="AC53" s="15" t="s">
        <v>65</v>
      </c>
      <c r="AD53" s="120">
        <f>IF(QUOTIENT(AD18+AD19,2)&lt;2,2-QUOTIENT(AD18+AD19,2),"")</f>
        <v>2</v>
      </c>
      <c r="AE53" s="15" t="s">
        <v>65</v>
      </c>
      <c r="AF53" s="120">
        <f>IF(QUOTIENT(AF18+AF19,2)&lt;2,2-QUOTIENT(AF18+AF19,2),"")</f>
        <v>2</v>
      </c>
      <c r="AG53" s="15" t="s">
        <v>65</v>
      </c>
      <c r="AH53" s="120">
        <f>IF(QUOTIENT(AH18+AH19,2)&lt;2,2-QUOTIENT(AH18+AH19,2),"")</f>
        <v>2</v>
      </c>
      <c r="AI53" s="15" t="s">
        <v>65</v>
      </c>
      <c r="AJ53" s="120">
        <f>IF(QUOTIENT(AJ18+AJ19,2)&lt;2,2-QUOTIENT(AJ18+AJ19,2),"")</f>
        <v>2</v>
      </c>
      <c r="AK53" s="15" t="s">
        <v>65</v>
      </c>
      <c r="AL53" s="120">
        <f>IF(QUOTIENT(AL18+AL19,2)&lt;2,2-QUOTIENT(AL18+AL19,2),"")</f>
        <v>2</v>
      </c>
      <c r="AM53" s="15" t="s">
        <v>65</v>
      </c>
      <c r="AN53" s="120">
        <f>IF(QUOTIENT(AN18+AN19,2)&lt;2,2-QUOTIENT(AN18+AN19,2),"")</f>
        <v>2</v>
      </c>
      <c r="AO53" s="15" t="s">
        <v>65</v>
      </c>
    </row>
    <row r="54" spans="1:41" ht="15" customHeight="1" x14ac:dyDescent="0.25">
      <c r="A54" s="96"/>
      <c r="B54" s="122"/>
      <c r="C54" s="121"/>
      <c r="D54" s="16" t="s">
        <v>66</v>
      </c>
      <c r="E54" s="121"/>
      <c r="F54" s="16" t="s">
        <v>66</v>
      </c>
      <c r="G54" s="121"/>
      <c r="H54" s="16" t="s">
        <v>66</v>
      </c>
      <c r="I54" s="121"/>
      <c r="J54" s="16" t="s">
        <v>66</v>
      </c>
      <c r="K54" s="121"/>
      <c r="L54" s="16" t="s">
        <v>66</v>
      </c>
      <c r="M54" s="121"/>
      <c r="N54" s="16" t="s">
        <v>66</v>
      </c>
      <c r="O54" s="121"/>
      <c r="P54" s="16" t="s">
        <v>66</v>
      </c>
      <c r="Q54" s="121"/>
      <c r="R54" s="16" t="s">
        <v>66</v>
      </c>
      <c r="S54" s="121"/>
      <c r="T54" s="16" t="s">
        <v>66</v>
      </c>
      <c r="U54" s="9"/>
      <c r="V54" s="96"/>
      <c r="W54" s="122"/>
      <c r="X54" s="126"/>
      <c r="Y54" s="16" t="s">
        <v>66</v>
      </c>
      <c r="Z54" s="121"/>
      <c r="AA54" s="16" t="s">
        <v>66</v>
      </c>
      <c r="AB54" s="121"/>
      <c r="AC54" s="16" t="s">
        <v>66</v>
      </c>
      <c r="AD54" s="121"/>
      <c r="AE54" s="16" t="s">
        <v>66</v>
      </c>
      <c r="AF54" s="121"/>
      <c r="AG54" s="16" t="s">
        <v>66</v>
      </c>
      <c r="AH54" s="121"/>
      <c r="AI54" s="16" t="s">
        <v>66</v>
      </c>
      <c r="AJ54" s="121"/>
      <c r="AK54" s="16" t="s">
        <v>66</v>
      </c>
      <c r="AL54" s="121"/>
      <c r="AM54" s="16" t="s">
        <v>66</v>
      </c>
      <c r="AN54" s="121"/>
      <c r="AO54" s="16" t="s">
        <v>66</v>
      </c>
    </row>
    <row r="55" spans="1:41" ht="15" customHeight="1" x14ac:dyDescent="0.25">
      <c r="A55" s="96"/>
      <c r="B55" s="122" t="s">
        <v>35</v>
      </c>
      <c r="C55" s="120"/>
      <c r="D55" s="15" t="s">
        <v>65</v>
      </c>
      <c r="E55" s="120" t="str">
        <f>IF(QUOTIENT(E20+E21,2)&lt;2,2-QUOTIENT(E20+E21,2),"")</f>
        <v/>
      </c>
      <c r="F55" s="15" t="s">
        <v>65</v>
      </c>
      <c r="G55" s="120" t="str">
        <f>IF(QUOTIENT(G20+G21,2)&lt;2,2-QUOTIENT(G20+G21,2),"")</f>
        <v/>
      </c>
      <c r="H55" s="15" t="s">
        <v>65</v>
      </c>
      <c r="I55" s="120" t="str">
        <f>IF(QUOTIENT(I20+I21,2)&lt;2,2-QUOTIENT(I20+I21,2),"")</f>
        <v/>
      </c>
      <c r="J55" s="15" t="s">
        <v>65</v>
      </c>
      <c r="K55" s="120" t="str">
        <f>IF(QUOTIENT(K20+K21,2)&lt;2,2-QUOTIENT(K20+K21,2),"")</f>
        <v/>
      </c>
      <c r="L55" s="15" t="s">
        <v>65</v>
      </c>
      <c r="M55" s="120" t="str">
        <f>IF(QUOTIENT(M20+M21,2)&lt;2,2-QUOTIENT(M20+M21,2),"")</f>
        <v/>
      </c>
      <c r="N55" s="15" t="s">
        <v>65</v>
      </c>
      <c r="O55" s="120">
        <f>IF(QUOTIENT(O20+O21,2)&lt;2,2-QUOTIENT(O20+O21,2),"")</f>
        <v>1</v>
      </c>
      <c r="P55" s="15" t="s">
        <v>65</v>
      </c>
      <c r="Q55" s="120" t="str">
        <f>IF(QUOTIENT(Q20+Q21,2)&lt;2,2-QUOTIENT(Q20+Q21,2),"")</f>
        <v/>
      </c>
      <c r="R55" s="15" t="s">
        <v>65</v>
      </c>
      <c r="S55" s="120" t="str">
        <f>IF(QUOTIENT(S20+S21,2)&lt;2,2-QUOTIENT(S20+S21,2),"")</f>
        <v/>
      </c>
      <c r="T55" s="15" t="s">
        <v>65</v>
      </c>
      <c r="U55" s="9"/>
      <c r="V55" s="96"/>
      <c r="W55" s="122" t="s">
        <v>10</v>
      </c>
      <c r="X55" s="125"/>
      <c r="Y55" s="15" t="s">
        <v>65</v>
      </c>
      <c r="Z55" s="120">
        <f>IF(QUOTIENT(Z20+Z21,2)&lt;2,2-QUOTIENT(Z20+Z21,2),"")</f>
        <v>2</v>
      </c>
      <c r="AA55" s="15" t="s">
        <v>65</v>
      </c>
      <c r="AB55" s="120">
        <f>IF(QUOTIENT(AB20+AB21,2)&lt;2,2-QUOTIENT(AB20+AB21,2),"")</f>
        <v>2</v>
      </c>
      <c r="AC55" s="15" t="s">
        <v>65</v>
      </c>
      <c r="AD55" s="120">
        <f>IF(QUOTIENT(AD20+AD21,2)&lt;2,2-QUOTIENT(AD20+AD21,2),"")</f>
        <v>2</v>
      </c>
      <c r="AE55" s="15" t="s">
        <v>65</v>
      </c>
      <c r="AF55" s="120">
        <f>IF(QUOTIENT(AF20+AF21,2)&lt;2,2-QUOTIENT(AF20+AF21,2),"")</f>
        <v>2</v>
      </c>
      <c r="AG55" s="15" t="s">
        <v>65</v>
      </c>
      <c r="AH55" s="120">
        <f>IF(QUOTIENT(AH20+AH21,2)&lt;2,2-QUOTIENT(AH20+AH21,2),"")</f>
        <v>2</v>
      </c>
      <c r="AI55" s="15" t="s">
        <v>65</v>
      </c>
      <c r="AJ55" s="120">
        <f>IF(QUOTIENT(AJ20+AJ21,2)&lt;2,2-QUOTIENT(AJ20+AJ21,2),"")</f>
        <v>2</v>
      </c>
      <c r="AK55" s="15" t="s">
        <v>65</v>
      </c>
      <c r="AL55" s="120">
        <f>IF(QUOTIENT(AL20+AL21,2)&lt;2,2-QUOTIENT(AL20+AL21,2),"")</f>
        <v>2</v>
      </c>
      <c r="AM55" s="15" t="s">
        <v>65</v>
      </c>
      <c r="AN55" s="120">
        <f>IF(QUOTIENT(AN20+AN21,2)&lt;2,2-QUOTIENT(AN20+AN21,2),"")</f>
        <v>2</v>
      </c>
      <c r="AO55" s="15" t="s">
        <v>65</v>
      </c>
    </row>
    <row r="56" spans="1:41" ht="15" customHeight="1" x14ac:dyDescent="0.25">
      <c r="A56" s="96"/>
      <c r="B56" s="122"/>
      <c r="C56" s="121"/>
      <c r="D56" s="16" t="s">
        <v>66</v>
      </c>
      <c r="E56" s="121"/>
      <c r="F56" s="16" t="s">
        <v>66</v>
      </c>
      <c r="G56" s="121"/>
      <c r="H56" s="16" t="s">
        <v>66</v>
      </c>
      <c r="I56" s="121"/>
      <c r="J56" s="16" t="s">
        <v>66</v>
      </c>
      <c r="K56" s="121"/>
      <c r="L56" s="16" t="s">
        <v>66</v>
      </c>
      <c r="M56" s="121"/>
      <c r="N56" s="16" t="s">
        <v>66</v>
      </c>
      <c r="O56" s="121"/>
      <c r="P56" s="16" t="s">
        <v>66</v>
      </c>
      <c r="Q56" s="121"/>
      <c r="R56" s="16" t="s">
        <v>66</v>
      </c>
      <c r="S56" s="121"/>
      <c r="T56" s="16" t="s">
        <v>66</v>
      </c>
      <c r="U56" s="9"/>
      <c r="V56" s="96"/>
      <c r="W56" s="122"/>
      <c r="X56" s="126"/>
      <c r="Y56" s="16" t="s">
        <v>66</v>
      </c>
      <c r="Z56" s="121"/>
      <c r="AA56" s="16" t="s">
        <v>66</v>
      </c>
      <c r="AB56" s="121"/>
      <c r="AC56" s="16" t="s">
        <v>66</v>
      </c>
      <c r="AD56" s="121"/>
      <c r="AE56" s="16" t="s">
        <v>66</v>
      </c>
      <c r="AF56" s="121"/>
      <c r="AG56" s="16" t="s">
        <v>66</v>
      </c>
      <c r="AH56" s="121"/>
      <c r="AI56" s="16" t="s">
        <v>66</v>
      </c>
      <c r="AJ56" s="121"/>
      <c r="AK56" s="16" t="s">
        <v>66</v>
      </c>
      <c r="AL56" s="121"/>
      <c r="AM56" s="16" t="s">
        <v>66</v>
      </c>
      <c r="AN56" s="121"/>
      <c r="AO56" s="16" t="s">
        <v>66</v>
      </c>
    </row>
    <row r="57" spans="1:41" ht="15" customHeight="1" x14ac:dyDescent="0.25">
      <c r="A57" s="96"/>
      <c r="B57" s="122" t="s">
        <v>36</v>
      </c>
      <c r="C57" s="120"/>
      <c r="D57" s="15" t="s">
        <v>65</v>
      </c>
      <c r="E57" s="120" t="str">
        <f>IF(QUOTIENT(E22+E23,2)&lt;2,2-QUOTIENT(E22+E23,2),"")</f>
        <v/>
      </c>
      <c r="F57" s="15" t="s">
        <v>65</v>
      </c>
      <c r="G57" s="120" t="str">
        <f>IF(QUOTIENT(G22+G23,2)&lt;2,2-QUOTIENT(G22+G23,2),"")</f>
        <v/>
      </c>
      <c r="H57" s="15" t="s">
        <v>65</v>
      </c>
      <c r="I57" s="120" t="str">
        <f>IF(QUOTIENT(I22+I23,2)&lt;2,2-QUOTIENT(I22+I23,2),"")</f>
        <v/>
      </c>
      <c r="J57" s="15" t="s">
        <v>65</v>
      </c>
      <c r="K57" s="120" t="str">
        <f>IF(QUOTIENT(K22+K23,2)&lt;2,2-QUOTIENT(K22+K23,2),"")</f>
        <v/>
      </c>
      <c r="L57" s="15" t="s">
        <v>65</v>
      </c>
      <c r="M57" s="120" t="str">
        <f>IF(QUOTIENT(M22+M23,2)&lt;2,2-QUOTIENT(M22+M23,2),"")</f>
        <v/>
      </c>
      <c r="N57" s="15" t="s">
        <v>65</v>
      </c>
      <c r="O57" s="120" t="str">
        <f>IF(QUOTIENT(O22+O23,2)&lt;2,2-QUOTIENT(O22+O23,2),"")</f>
        <v/>
      </c>
      <c r="P57" s="15" t="s">
        <v>65</v>
      </c>
      <c r="Q57" s="120" t="str">
        <f>IF(QUOTIENT(Q22+Q23,2)&lt;2,2-QUOTIENT(Q22+Q23,2),"")</f>
        <v/>
      </c>
      <c r="R57" s="15" t="s">
        <v>65</v>
      </c>
      <c r="S57" s="120" t="str">
        <f>IF(QUOTIENT(S22+S23,2)&lt;2,2-QUOTIENT(S22+S23,2),"")</f>
        <v/>
      </c>
      <c r="T57" s="15" t="s">
        <v>65</v>
      </c>
      <c r="U57" s="9"/>
      <c r="V57" s="96"/>
      <c r="W57" s="9"/>
      <c r="X57" s="9"/>
      <c r="Y57" s="9"/>
      <c r="Z57" s="9"/>
      <c r="AA57" s="9"/>
      <c r="AB57" s="9"/>
      <c r="AC57" s="9"/>
      <c r="AD57" s="9"/>
      <c r="AE57" s="9"/>
      <c r="AF57" s="9"/>
      <c r="AG57" s="9"/>
      <c r="AH57" s="9"/>
      <c r="AI57" s="9"/>
      <c r="AJ57" s="9"/>
      <c r="AK57" s="9"/>
      <c r="AL57" s="9"/>
      <c r="AM57" s="9"/>
      <c r="AN57" s="9"/>
      <c r="AO57" s="9"/>
    </row>
    <row r="58" spans="1:41" ht="15" customHeight="1" x14ac:dyDescent="0.25">
      <c r="A58" s="96"/>
      <c r="B58" s="122"/>
      <c r="C58" s="121"/>
      <c r="D58" s="16" t="s">
        <v>66</v>
      </c>
      <c r="E58" s="121"/>
      <c r="F58" s="16" t="s">
        <v>66</v>
      </c>
      <c r="G58" s="121"/>
      <c r="H58" s="16" t="s">
        <v>66</v>
      </c>
      <c r="I58" s="121"/>
      <c r="J58" s="16" t="s">
        <v>66</v>
      </c>
      <c r="K58" s="121"/>
      <c r="L58" s="16" t="s">
        <v>66</v>
      </c>
      <c r="M58" s="121"/>
      <c r="N58" s="16" t="s">
        <v>66</v>
      </c>
      <c r="O58" s="121"/>
      <c r="P58" s="16" t="s">
        <v>66</v>
      </c>
      <c r="Q58" s="121"/>
      <c r="R58" s="16" t="s">
        <v>66</v>
      </c>
      <c r="S58" s="121"/>
      <c r="T58" s="16" t="s">
        <v>66</v>
      </c>
      <c r="U58" s="9"/>
      <c r="V58" s="96"/>
      <c r="W58" s="9"/>
      <c r="X58" s="9"/>
      <c r="Y58" s="9"/>
      <c r="Z58" s="9"/>
      <c r="AA58" s="9"/>
      <c r="AB58" s="9"/>
      <c r="AC58" s="9"/>
      <c r="AD58" s="9"/>
      <c r="AE58" s="9"/>
      <c r="AF58" s="9"/>
      <c r="AG58" s="9"/>
      <c r="AH58" s="9"/>
      <c r="AI58" s="9"/>
      <c r="AJ58" s="9"/>
      <c r="AK58" s="9"/>
      <c r="AL58" s="9"/>
      <c r="AM58" s="9"/>
      <c r="AN58" s="9"/>
      <c r="AO58" s="9"/>
    </row>
    <row r="59" spans="1:41" ht="15" customHeight="1" x14ac:dyDescent="0.25">
      <c r="A59" s="96"/>
      <c r="B59" s="122" t="s">
        <v>37</v>
      </c>
      <c r="C59" s="120"/>
      <c r="D59" s="15" t="s">
        <v>65</v>
      </c>
      <c r="E59" s="120" t="str">
        <f>IF(QUOTIENT(E24+E25,2)&lt;2,2-QUOTIENT(E24+E25,2),"")</f>
        <v/>
      </c>
      <c r="F59" s="15" t="s">
        <v>65</v>
      </c>
      <c r="G59" s="120" t="str">
        <f>IF(QUOTIENT(G24+G25,2)&lt;2,2-QUOTIENT(G24+G25,2),"")</f>
        <v/>
      </c>
      <c r="H59" s="15" t="s">
        <v>65</v>
      </c>
      <c r="I59" s="120" t="str">
        <f>IF(QUOTIENT(I24+I25,2)&lt;2,2-QUOTIENT(I24+I25,2),"")</f>
        <v/>
      </c>
      <c r="J59" s="15" t="s">
        <v>65</v>
      </c>
      <c r="K59" s="120" t="str">
        <f>IF(QUOTIENT(K24+K25,2)&lt;2,2-QUOTIENT(K24+K25,2),"")</f>
        <v/>
      </c>
      <c r="L59" s="15" t="s">
        <v>65</v>
      </c>
      <c r="M59" s="120" t="str">
        <f>IF(QUOTIENT(M24+M25,2)&lt;2,2-QUOTIENT(M24+M25,2),"")</f>
        <v/>
      </c>
      <c r="N59" s="15" t="s">
        <v>65</v>
      </c>
      <c r="O59" s="120" t="str">
        <f>IF(QUOTIENT(O24+O25,2)&lt;2,2-QUOTIENT(O24+O25,2),"")</f>
        <v/>
      </c>
      <c r="P59" s="15" t="s">
        <v>65</v>
      </c>
      <c r="Q59" s="120">
        <f>IF(QUOTIENT(Q24+Q25,2)&lt;2,2-QUOTIENT(Q24+Q25,2),"")</f>
        <v>1</v>
      </c>
      <c r="R59" s="15" t="s">
        <v>65</v>
      </c>
      <c r="S59" s="120" t="str">
        <f>IF(QUOTIENT(S24+S25,2)&lt;2,2-QUOTIENT(S24+S25,2),"")</f>
        <v/>
      </c>
      <c r="T59" s="15" t="s">
        <v>65</v>
      </c>
      <c r="U59" s="9"/>
      <c r="V59" s="96"/>
    </row>
    <row r="60" spans="1:41" ht="15" customHeight="1" x14ac:dyDescent="0.25">
      <c r="A60" s="96"/>
      <c r="B60" s="122"/>
      <c r="C60" s="121"/>
      <c r="D60" s="16" t="s">
        <v>66</v>
      </c>
      <c r="E60" s="121"/>
      <c r="F60" s="16" t="s">
        <v>66</v>
      </c>
      <c r="G60" s="121"/>
      <c r="H60" s="16" t="s">
        <v>66</v>
      </c>
      <c r="I60" s="121"/>
      <c r="J60" s="16" t="s">
        <v>66</v>
      </c>
      <c r="K60" s="121"/>
      <c r="L60" s="16" t="s">
        <v>66</v>
      </c>
      <c r="M60" s="121"/>
      <c r="N60" s="16" t="s">
        <v>66</v>
      </c>
      <c r="O60" s="121"/>
      <c r="P60" s="16" t="s">
        <v>66</v>
      </c>
      <c r="Q60" s="121"/>
      <c r="R60" s="16" t="s">
        <v>66</v>
      </c>
      <c r="S60" s="121"/>
      <c r="T60" s="16" t="s">
        <v>66</v>
      </c>
      <c r="U60" s="9"/>
      <c r="V60" s="96"/>
    </row>
    <row r="61" spans="1:41" ht="15" customHeight="1" x14ac:dyDescent="0.25">
      <c r="A61" s="96"/>
      <c r="B61" s="122" t="s">
        <v>54</v>
      </c>
      <c r="C61" s="120"/>
      <c r="D61" s="15" t="s">
        <v>65</v>
      </c>
      <c r="E61" s="120" t="str">
        <f>IF(QUOTIENT(E26+E27,2)&lt;2,2-QUOTIENT(E26+E27,2),"")</f>
        <v/>
      </c>
      <c r="F61" s="15" t="s">
        <v>65</v>
      </c>
      <c r="G61" s="120" t="str">
        <f>IF(QUOTIENT(G26+G27,2)&lt;2,2-QUOTIENT(G26+G27,2),"")</f>
        <v/>
      </c>
      <c r="H61" s="15" t="s">
        <v>65</v>
      </c>
      <c r="I61" s="120" t="str">
        <f>IF(QUOTIENT(I26+I27,2)&lt;2,2-QUOTIENT(I26+I27,2),"")</f>
        <v/>
      </c>
      <c r="J61" s="15" t="s">
        <v>65</v>
      </c>
      <c r="K61" s="120" t="str">
        <f>IF(QUOTIENT(K26+K27,2)&lt;2,2-QUOTIENT(K26+K27,2),"")</f>
        <v/>
      </c>
      <c r="L61" s="15" t="s">
        <v>65</v>
      </c>
      <c r="M61" s="120" t="str">
        <f>IF(QUOTIENT(M26+M27,2)&lt;2,2-QUOTIENT(M26+M27,2),"")</f>
        <v/>
      </c>
      <c r="N61" s="15" t="s">
        <v>65</v>
      </c>
      <c r="O61" s="120" t="str">
        <f>IF(QUOTIENT(O26+O27,2)&lt;2,2-QUOTIENT(O26+O27,2),"")</f>
        <v/>
      </c>
      <c r="P61" s="15" t="s">
        <v>65</v>
      </c>
      <c r="Q61" s="120" t="str">
        <f>IF(QUOTIENT(Q26+Q27,2)&lt;2,2-QUOTIENT(Q26+Q27,2),"")</f>
        <v/>
      </c>
      <c r="R61" s="15" t="s">
        <v>65</v>
      </c>
      <c r="S61" s="120" t="str">
        <f>IF(QUOTIENT(S26+S27,2)&lt;2,2-QUOTIENT(S26+S27,2),"")</f>
        <v/>
      </c>
      <c r="T61" s="15" t="s">
        <v>65</v>
      </c>
      <c r="U61" s="9"/>
      <c r="V61" s="96"/>
    </row>
    <row r="62" spans="1:41" ht="15" customHeight="1" x14ac:dyDescent="0.25">
      <c r="A62" s="96"/>
      <c r="B62" s="122"/>
      <c r="C62" s="121"/>
      <c r="D62" s="16" t="s">
        <v>66</v>
      </c>
      <c r="E62" s="121"/>
      <c r="F62" s="16" t="s">
        <v>66</v>
      </c>
      <c r="G62" s="121"/>
      <c r="H62" s="16" t="s">
        <v>66</v>
      </c>
      <c r="I62" s="121"/>
      <c r="J62" s="16" t="s">
        <v>66</v>
      </c>
      <c r="K62" s="121"/>
      <c r="L62" s="16" t="s">
        <v>66</v>
      </c>
      <c r="M62" s="121"/>
      <c r="N62" s="16" t="s">
        <v>66</v>
      </c>
      <c r="O62" s="121"/>
      <c r="P62" s="16" t="s">
        <v>66</v>
      </c>
      <c r="Q62" s="121"/>
      <c r="R62" s="16" t="s">
        <v>66</v>
      </c>
      <c r="S62" s="121"/>
      <c r="T62" s="16" t="s">
        <v>66</v>
      </c>
      <c r="U62" s="9"/>
      <c r="V62" s="96"/>
    </row>
    <row r="63" spans="1:41" ht="15" customHeight="1" x14ac:dyDescent="0.25">
      <c r="A63" s="96"/>
      <c r="B63" s="122" t="s">
        <v>55</v>
      </c>
      <c r="C63" s="120"/>
      <c r="D63" s="15" t="s">
        <v>65</v>
      </c>
      <c r="E63" s="120" t="str">
        <f>IF(QUOTIENT(E28+E29,2)&lt;2,2-QUOTIENT(E28+E29,2),"")</f>
        <v/>
      </c>
      <c r="F63" s="15" t="s">
        <v>65</v>
      </c>
      <c r="G63" s="120" t="str">
        <f>IF(QUOTIENT(G28+G29,2)&lt;2,2-QUOTIENT(G28+G29,2),"")</f>
        <v/>
      </c>
      <c r="H63" s="15" t="s">
        <v>65</v>
      </c>
      <c r="I63" s="120" t="str">
        <f>IF(QUOTIENT(I28+I29,2)&lt;2,2-QUOTIENT(I28+I29,2),"")</f>
        <v/>
      </c>
      <c r="J63" s="15" t="s">
        <v>65</v>
      </c>
      <c r="K63" s="120" t="str">
        <f>IF(QUOTIENT(K28+K29,2)&lt;2,2-QUOTIENT(K28+K29,2),"")</f>
        <v/>
      </c>
      <c r="L63" s="15" t="s">
        <v>65</v>
      </c>
      <c r="M63" s="120" t="str">
        <f>IF(QUOTIENT(M28+M29,2)&lt;2,2-QUOTIENT(M28+M29,2),"")</f>
        <v/>
      </c>
      <c r="N63" s="15" t="s">
        <v>65</v>
      </c>
      <c r="O63" s="120">
        <f>IF(QUOTIENT(O28+O29,2)&lt;2,2-QUOTIENT(O28+O29,2),"")</f>
        <v>1</v>
      </c>
      <c r="P63" s="15" t="s">
        <v>65</v>
      </c>
      <c r="Q63" s="120" t="str">
        <f>IF(QUOTIENT(Q28+Q29,2)&lt;2,2-QUOTIENT(Q28+Q29,2),"")</f>
        <v/>
      </c>
      <c r="R63" s="15" t="s">
        <v>65</v>
      </c>
      <c r="S63" s="120" t="str">
        <f>IF(QUOTIENT(S28+S29,2)&lt;2,2-QUOTIENT(S28+S29,2),"")</f>
        <v/>
      </c>
      <c r="T63" s="15" t="s">
        <v>65</v>
      </c>
      <c r="U63" s="9"/>
      <c r="V63" s="96"/>
    </row>
    <row r="64" spans="1:41" ht="15" customHeight="1" x14ac:dyDescent="0.25">
      <c r="A64" s="96"/>
      <c r="B64" s="122"/>
      <c r="C64" s="121"/>
      <c r="D64" s="16" t="s">
        <v>66</v>
      </c>
      <c r="E64" s="121"/>
      <c r="F64" s="16" t="s">
        <v>66</v>
      </c>
      <c r="G64" s="121"/>
      <c r="H64" s="16" t="s">
        <v>66</v>
      </c>
      <c r="I64" s="121"/>
      <c r="J64" s="16" t="s">
        <v>66</v>
      </c>
      <c r="K64" s="121"/>
      <c r="L64" s="16" t="s">
        <v>66</v>
      </c>
      <c r="M64" s="121"/>
      <c r="N64" s="16" t="s">
        <v>66</v>
      </c>
      <c r="O64" s="121"/>
      <c r="P64" s="16" t="s">
        <v>66</v>
      </c>
      <c r="Q64" s="121"/>
      <c r="R64" s="16" t="s">
        <v>66</v>
      </c>
      <c r="S64" s="121"/>
      <c r="T64" s="16" t="s">
        <v>66</v>
      </c>
      <c r="U64" s="9"/>
      <c r="V64" s="96"/>
    </row>
    <row r="65" spans="1:22" ht="15" customHeight="1" x14ac:dyDescent="0.25">
      <c r="A65" s="96"/>
      <c r="B65" s="122" t="s">
        <v>38</v>
      </c>
      <c r="C65" s="120"/>
      <c r="D65" s="15" t="s">
        <v>65</v>
      </c>
      <c r="E65" s="120" t="str">
        <f>IF(QUOTIENT(E30+E31,2)&lt;2,2-QUOTIENT(E30+E31,2),"")</f>
        <v/>
      </c>
      <c r="F65" s="15" t="s">
        <v>65</v>
      </c>
      <c r="G65" s="120" t="str">
        <f>IF(QUOTIENT(G30+G31,2)&lt;2,2-QUOTIENT(G30+G31,2),"")</f>
        <v/>
      </c>
      <c r="H65" s="15" t="s">
        <v>65</v>
      </c>
      <c r="I65" s="120">
        <f>IF(QUOTIENT(I30+I31,2)&lt;2,2-QUOTIENT(I30+I31,2),"")</f>
        <v>1</v>
      </c>
      <c r="J65" s="15" t="s">
        <v>65</v>
      </c>
      <c r="K65" s="120" t="str">
        <f>IF(QUOTIENT(K30+K31,2)&lt;2,2-QUOTIENT(K30+K31,2),"")</f>
        <v/>
      </c>
      <c r="L65" s="15" t="s">
        <v>65</v>
      </c>
      <c r="M65" s="120" t="str">
        <f>IF(QUOTIENT(M30+M31,2)&lt;2,2-QUOTIENT(M30+M31,2),"")</f>
        <v/>
      </c>
      <c r="N65" s="15" t="s">
        <v>65</v>
      </c>
      <c r="O65" s="120" t="str">
        <f>IF(QUOTIENT(O30+O31,2)&lt;2,2-QUOTIENT(O30+O31,2),"")</f>
        <v/>
      </c>
      <c r="P65" s="15" t="s">
        <v>65</v>
      </c>
      <c r="Q65" s="120" t="str">
        <f>IF(QUOTIENT(Q30+Q31,2)&lt;2,2-QUOTIENT(Q30+Q31,2),"")</f>
        <v/>
      </c>
      <c r="R65" s="15" t="s">
        <v>65</v>
      </c>
      <c r="S65" s="120" t="str">
        <f>IF(QUOTIENT(S30+S31,2)&lt;2,2-QUOTIENT(S30+S31,2),"")</f>
        <v/>
      </c>
      <c r="T65" s="15" t="s">
        <v>65</v>
      </c>
      <c r="U65" s="9"/>
      <c r="V65" s="96"/>
    </row>
    <row r="66" spans="1:22" ht="15" customHeight="1" x14ac:dyDescent="0.25">
      <c r="A66" s="10"/>
      <c r="B66" s="122"/>
      <c r="C66" s="121"/>
      <c r="D66" s="17" t="s">
        <v>66</v>
      </c>
      <c r="E66" s="121"/>
      <c r="F66" s="17" t="s">
        <v>66</v>
      </c>
      <c r="G66" s="121"/>
      <c r="H66" s="17" t="s">
        <v>66</v>
      </c>
      <c r="I66" s="121"/>
      <c r="J66" s="17" t="s">
        <v>66</v>
      </c>
      <c r="K66" s="121"/>
      <c r="L66" s="17" t="s">
        <v>66</v>
      </c>
      <c r="M66" s="121"/>
      <c r="N66" s="17" t="s">
        <v>66</v>
      </c>
      <c r="O66" s="121"/>
      <c r="P66" s="17" t="s">
        <v>66</v>
      </c>
      <c r="Q66" s="121"/>
      <c r="R66" s="17" t="s">
        <v>66</v>
      </c>
      <c r="S66" s="121"/>
      <c r="T66" s="17" t="s">
        <v>66</v>
      </c>
      <c r="U66" s="9"/>
      <c r="V66" s="10"/>
    </row>
  </sheetData>
  <mergeCells count="286">
    <mergeCell ref="AN41:AN42"/>
    <mergeCell ref="AN43:AN44"/>
    <mergeCell ref="AN45:AN46"/>
    <mergeCell ref="AN47:AN48"/>
    <mergeCell ref="AN49:AN50"/>
    <mergeCell ref="AN51:AN52"/>
    <mergeCell ref="AN53:AN54"/>
    <mergeCell ref="AN55:AN56"/>
    <mergeCell ref="AL41:AL42"/>
    <mergeCell ref="AL43:AL44"/>
    <mergeCell ref="AL45:AL46"/>
    <mergeCell ref="AL47:AL48"/>
    <mergeCell ref="AL49:AL50"/>
    <mergeCell ref="AL51:AL52"/>
    <mergeCell ref="AL53:AL54"/>
    <mergeCell ref="AL55:AL56"/>
    <mergeCell ref="AJ41:AJ42"/>
    <mergeCell ref="AJ43:AJ44"/>
    <mergeCell ref="AJ45:AJ46"/>
    <mergeCell ref="AJ47:AJ48"/>
    <mergeCell ref="AJ49:AJ50"/>
    <mergeCell ref="AJ51:AJ52"/>
    <mergeCell ref="AJ53:AJ54"/>
    <mergeCell ref="AJ55:AJ56"/>
    <mergeCell ref="AH41:AH42"/>
    <mergeCell ref="AH43:AH44"/>
    <mergeCell ref="AH45:AH46"/>
    <mergeCell ref="AH47:AH48"/>
    <mergeCell ref="AH49:AH50"/>
    <mergeCell ref="AH51:AH52"/>
    <mergeCell ref="AH53:AH54"/>
    <mergeCell ref="AH55:AH56"/>
    <mergeCell ref="AF41:AF42"/>
    <mergeCell ref="AF43:AF44"/>
    <mergeCell ref="AF45:AF46"/>
    <mergeCell ref="AF47:AF48"/>
    <mergeCell ref="AF49:AF50"/>
    <mergeCell ref="AF51:AF52"/>
    <mergeCell ref="AF53:AF54"/>
    <mergeCell ref="AF55:AF56"/>
    <mergeCell ref="S43:S44"/>
    <mergeCell ref="S45:S46"/>
    <mergeCell ref="S47:S48"/>
    <mergeCell ref="S49:S50"/>
    <mergeCell ref="S51:S52"/>
    <mergeCell ref="S53:S54"/>
    <mergeCell ref="S55:S56"/>
    <mergeCell ref="AD41:AD42"/>
    <mergeCell ref="AD43:AD44"/>
    <mergeCell ref="AD45:AD46"/>
    <mergeCell ref="AD47:AD48"/>
    <mergeCell ref="AD49:AD50"/>
    <mergeCell ref="AD51:AD52"/>
    <mergeCell ref="AD53:AD54"/>
    <mergeCell ref="AD55:AD56"/>
    <mergeCell ref="AB41:AB42"/>
    <mergeCell ref="O43:O44"/>
    <mergeCell ref="O45:O46"/>
    <mergeCell ref="O47:O48"/>
    <mergeCell ref="O49:O50"/>
    <mergeCell ref="O55:O56"/>
    <mergeCell ref="Q43:Q44"/>
    <mergeCell ref="Q45:Q46"/>
    <mergeCell ref="Q47:Q48"/>
    <mergeCell ref="Q49:Q50"/>
    <mergeCell ref="Q51:Q52"/>
    <mergeCell ref="Q53:Q54"/>
    <mergeCell ref="Q55:Q56"/>
    <mergeCell ref="AB43:AB44"/>
    <mergeCell ref="AB45:AB46"/>
    <mergeCell ref="AB47:AB48"/>
    <mergeCell ref="AB49:AB50"/>
    <mergeCell ref="AB51:AB52"/>
    <mergeCell ref="AB53:AB54"/>
    <mergeCell ref="AB55:AB56"/>
    <mergeCell ref="Z41:Z42"/>
    <mergeCell ref="Z43:Z44"/>
    <mergeCell ref="Z45:Z46"/>
    <mergeCell ref="Z47:Z48"/>
    <mergeCell ref="Z49:Z50"/>
    <mergeCell ref="Z51:Z52"/>
    <mergeCell ref="Z53:Z54"/>
    <mergeCell ref="Z55:Z56"/>
    <mergeCell ref="B61:B62"/>
    <mergeCell ref="B49:B50"/>
    <mergeCell ref="M49:M50"/>
    <mergeCell ref="W49:W50"/>
    <mergeCell ref="B51:B52"/>
    <mergeCell ref="O51:O52"/>
    <mergeCell ref="W51:W52"/>
    <mergeCell ref="W41:W42"/>
    <mergeCell ref="B43:B44"/>
    <mergeCell ref="G43:G44"/>
    <mergeCell ref="M43:M44"/>
    <mergeCell ref="W43:W44"/>
    <mergeCell ref="B45:B46"/>
    <mergeCell ref="W45:W46"/>
    <mergeCell ref="C41:C42"/>
    <mergeCell ref="C43:C44"/>
    <mergeCell ref="G53:G54"/>
    <mergeCell ref="G55:G56"/>
    <mergeCell ref="G57:G58"/>
    <mergeCell ref="I43:I44"/>
    <mergeCell ref="I45:I46"/>
    <mergeCell ref="I47:I48"/>
    <mergeCell ref="I49:I50"/>
    <mergeCell ref="I51:I52"/>
    <mergeCell ref="G59:G60"/>
    <mergeCell ref="E55:E56"/>
    <mergeCell ref="C59:C60"/>
    <mergeCell ref="C61:C62"/>
    <mergeCell ref="C63:C64"/>
    <mergeCell ref="X41:X42"/>
    <mergeCell ref="X43:X44"/>
    <mergeCell ref="X45:X46"/>
    <mergeCell ref="X47:X48"/>
    <mergeCell ref="X49:X50"/>
    <mergeCell ref="X51:X52"/>
    <mergeCell ref="X53:X54"/>
    <mergeCell ref="X55:X56"/>
    <mergeCell ref="I53:I54"/>
    <mergeCell ref="I55:I56"/>
    <mergeCell ref="I57:I58"/>
    <mergeCell ref="K43:K44"/>
    <mergeCell ref="K45:K46"/>
    <mergeCell ref="K47:K48"/>
    <mergeCell ref="K49:K50"/>
    <mergeCell ref="K51:K52"/>
    <mergeCell ref="K57:K58"/>
    <mergeCell ref="M45:M46"/>
    <mergeCell ref="M47:M48"/>
    <mergeCell ref="E43:E44"/>
    <mergeCell ref="E45:E46"/>
    <mergeCell ref="E47:E48"/>
    <mergeCell ref="E49:E50"/>
    <mergeCell ref="E51:E52"/>
    <mergeCell ref="B63:B64"/>
    <mergeCell ref="M53:M54"/>
    <mergeCell ref="O53:O54"/>
    <mergeCell ref="W53:W54"/>
    <mergeCell ref="B55:B56"/>
    <mergeCell ref="W55:W56"/>
    <mergeCell ref="B57:B58"/>
    <mergeCell ref="M57:M58"/>
    <mergeCell ref="O57:O58"/>
    <mergeCell ref="K59:K60"/>
    <mergeCell ref="K61:K62"/>
    <mergeCell ref="K63:K64"/>
    <mergeCell ref="Q59:Q60"/>
    <mergeCell ref="Q61:Q62"/>
    <mergeCell ref="Q63:Q64"/>
    <mergeCell ref="E57:E58"/>
    <mergeCell ref="C53:C54"/>
    <mergeCell ref="C55:C56"/>
    <mergeCell ref="C57:C58"/>
    <mergeCell ref="W47:W48"/>
    <mergeCell ref="S61:S62"/>
    <mergeCell ref="S63:S64"/>
    <mergeCell ref="S65:S66"/>
    <mergeCell ref="K55:K56"/>
    <mergeCell ref="K65:K66"/>
    <mergeCell ref="M59:M60"/>
    <mergeCell ref="M61:M62"/>
    <mergeCell ref="M63:M64"/>
    <mergeCell ref="M65:M66"/>
    <mergeCell ref="O59:O60"/>
    <mergeCell ref="O61:O62"/>
    <mergeCell ref="O63:O64"/>
    <mergeCell ref="O65:O66"/>
    <mergeCell ref="Q57:Q58"/>
    <mergeCell ref="M51:M52"/>
    <mergeCell ref="M55:M56"/>
    <mergeCell ref="S57:S58"/>
    <mergeCell ref="X40:Y40"/>
    <mergeCell ref="Z40:AA40"/>
    <mergeCell ref="AB40:AC40"/>
    <mergeCell ref="A41:A65"/>
    <mergeCell ref="B41:B42"/>
    <mergeCell ref="E41:E42"/>
    <mergeCell ref="G41:G42"/>
    <mergeCell ref="I41:I42"/>
    <mergeCell ref="V41:V65"/>
    <mergeCell ref="B47:B48"/>
    <mergeCell ref="B53:B54"/>
    <mergeCell ref="E53:E54"/>
    <mergeCell ref="K53:K54"/>
    <mergeCell ref="B65:B66"/>
    <mergeCell ref="B59:B60"/>
    <mergeCell ref="E59:E60"/>
    <mergeCell ref="E61:E62"/>
    <mergeCell ref="E63:E64"/>
    <mergeCell ref="E65:E66"/>
    <mergeCell ref="G61:G62"/>
    <mergeCell ref="G63:G64"/>
    <mergeCell ref="G65:G66"/>
    <mergeCell ref="I59:I60"/>
    <mergeCell ref="I61:I62"/>
    <mergeCell ref="A6:A30"/>
    <mergeCell ref="B6:B7"/>
    <mergeCell ref="V6:V30"/>
    <mergeCell ref="W6:W7"/>
    <mergeCell ref="B8:B9"/>
    <mergeCell ref="W8:W9"/>
    <mergeCell ref="B10:B11"/>
    <mergeCell ref="W10:W11"/>
    <mergeCell ref="B12:B13"/>
    <mergeCell ref="B26:B27"/>
    <mergeCell ref="B28:B29"/>
    <mergeCell ref="W28:W29"/>
    <mergeCell ref="B30:B31"/>
    <mergeCell ref="B20:B21"/>
    <mergeCell ref="W20:W21"/>
    <mergeCell ref="B22:B23"/>
    <mergeCell ref="W22:W23"/>
    <mergeCell ref="B24:B25"/>
    <mergeCell ref="W24:W25"/>
    <mergeCell ref="W12:W13"/>
    <mergeCell ref="W26:W27"/>
    <mergeCell ref="X38:AO38"/>
    <mergeCell ref="C39:T39"/>
    <mergeCell ref="X39:AO39"/>
    <mergeCell ref="C40:D40"/>
    <mergeCell ref="B14:B15"/>
    <mergeCell ref="W14:W15"/>
    <mergeCell ref="B16:B17"/>
    <mergeCell ref="W16:W17"/>
    <mergeCell ref="B18:B19"/>
    <mergeCell ref="W18:W19"/>
    <mergeCell ref="C36:AF36"/>
    <mergeCell ref="E40:F40"/>
    <mergeCell ref="G40:H40"/>
    <mergeCell ref="I40:J40"/>
    <mergeCell ref="K40:L40"/>
    <mergeCell ref="M40:N40"/>
    <mergeCell ref="AD40:AE40"/>
    <mergeCell ref="AF40:AG40"/>
    <mergeCell ref="AH40:AI40"/>
    <mergeCell ref="AJ40:AK40"/>
    <mergeCell ref="AL40:AM40"/>
    <mergeCell ref="AN40:AO40"/>
    <mergeCell ref="B37:T37"/>
    <mergeCell ref="C38:T38"/>
    <mergeCell ref="X5:Y5"/>
    <mergeCell ref="Z5:AA5"/>
    <mergeCell ref="C1:AF1"/>
    <mergeCell ref="C3:T3"/>
    <mergeCell ref="X3:AO3"/>
    <mergeCell ref="C4:T4"/>
    <mergeCell ref="X4:AO4"/>
    <mergeCell ref="C5:D5"/>
    <mergeCell ref="E5:F5"/>
    <mergeCell ref="G5:H5"/>
    <mergeCell ref="I5:J5"/>
    <mergeCell ref="K5:L5"/>
    <mergeCell ref="AN5:AO5"/>
    <mergeCell ref="AB5:AC5"/>
    <mergeCell ref="AD5:AE5"/>
    <mergeCell ref="AF5:AG5"/>
    <mergeCell ref="AH5:AI5"/>
    <mergeCell ref="AJ5:AK5"/>
    <mergeCell ref="AL5:AM5"/>
    <mergeCell ref="M5:N5"/>
    <mergeCell ref="C65:C66"/>
    <mergeCell ref="Q65:Q66"/>
    <mergeCell ref="S59:S60"/>
    <mergeCell ref="O40:P40"/>
    <mergeCell ref="O5:P5"/>
    <mergeCell ref="Q5:R5"/>
    <mergeCell ref="S5:T5"/>
    <mergeCell ref="Q40:R40"/>
    <mergeCell ref="S40:T40"/>
    <mergeCell ref="I63:I64"/>
    <mergeCell ref="I65:I66"/>
    <mergeCell ref="K41:K42"/>
    <mergeCell ref="M41:M42"/>
    <mergeCell ref="O41:O42"/>
    <mergeCell ref="Q41:Q42"/>
    <mergeCell ref="S41:S42"/>
    <mergeCell ref="G45:G46"/>
    <mergeCell ref="G47:G48"/>
    <mergeCell ref="G49:G50"/>
    <mergeCell ref="G51:G52"/>
    <mergeCell ref="C45:C46"/>
    <mergeCell ref="C47:C48"/>
    <mergeCell ref="C49:C50"/>
    <mergeCell ref="C51:C52"/>
  </mergeCells>
  <pageMargins left="0.7" right="0.7" top="0.75" bottom="0.75" header="0.3" footer="0.3"/>
  <pageSetup orientation="portrait" r:id="rId1"/>
  <ignoredErrors>
    <ignoredError sqref="C5:T5 B6:B31 W6:W21 X5:AO5 B41:B66 C40:T40 X40:AO40 W41:W56" numberStoredAsText="1"/>
    <ignoredError sqref="G55" evalError="1"/>
  </ignoredError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9"/>
  <dimension ref="A1:AO66"/>
  <sheetViews>
    <sheetView workbookViewId="0">
      <selection activeCell="K26" sqref="K26"/>
    </sheetView>
  </sheetViews>
  <sheetFormatPr baseColWidth="10" defaultColWidth="11.42578125" defaultRowHeight="15" x14ac:dyDescent="0.25"/>
  <cols>
    <col min="2" max="2" width="5.28515625" bestFit="1" customWidth="1"/>
    <col min="3" max="3" width="4.5703125" bestFit="1" customWidth="1"/>
    <col min="4" max="4" width="2.140625" bestFit="1" customWidth="1"/>
    <col min="5" max="5" width="5.28515625" bestFit="1" customWidth="1"/>
    <col min="6" max="6" width="2.140625" bestFit="1" customWidth="1"/>
    <col min="7" max="7" width="5.28515625" bestFit="1" customWidth="1"/>
    <col min="8" max="8" width="2.140625" bestFit="1" customWidth="1"/>
    <col min="9" max="9" width="5.28515625" bestFit="1" customWidth="1"/>
    <col min="10" max="10" width="2.140625" bestFit="1" customWidth="1"/>
    <col min="11" max="11" width="5.28515625" bestFit="1" customWidth="1"/>
    <col min="12" max="12" width="2.140625" bestFit="1" customWidth="1"/>
    <col min="13" max="13" width="5.28515625" bestFit="1" customWidth="1"/>
    <col min="14" max="14" width="2.140625" bestFit="1" customWidth="1"/>
    <col min="15" max="15" width="5.28515625" bestFit="1" customWidth="1"/>
    <col min="16" max="16" width="2.140625" bestFit="1" customWidth="1"/>
    <col min="17" max="17" width="5.5703125" bestFit="1" customWidth="1"/>
    <col min="18" max="18" width="2.140625" bestFit="1" customWidth="1"/>
    <col min="19" max="19" width="4.5703125" bestFit="1" customWidth="1"/>
    <col min="20" max="20" width="2.140625" bestFit="1" customWidth="1"/>
    <col min="21" max="21" width="1" customWidth="1"/>
    <col min="22" max="22" width="7.42578125" customWidth="1"/>
    <col min="23" max="23" width="5.5703125" bestFit="1" customWidth="1"/>
    <col min="24" max="24" width="5.28515625" bestFit="1" customWidth="1"/>
    <col min="25" max="25" width="2.140625" bestFit="1" customWidth="1"/>
    <col min="26" max="26" width="5.28515625" bestFit="1" customWidth="1"/>
    <col min="27" max="27" width="2.140625" bestFit="1" customWidth="1"/>
    <col min="28" max="28" width="5.28515625" bestFit="1" customWidth="1"/>
    <col min="29" max="29" width="2.140625" bestFit="1" customWidth="1"/>
    <col min="30" max="30" width="5.28515625" bestFit="1" customWidth="1"/>
    <col min="31" max="31" width="2.140625" bestFit="1" customWidth="1"/>
    <col min="32" max="32" width="4.7109375" customWidth="1"/>
    <col min="33" max="33" width="2.140625" bestFit="1" customWidth="1"/>
    <col min="34" max="34" width="4.140625" customWidth="1"/>
    <col min="35" max="35" width="3.140625" customWidth="1"/>
    <col min="36" max="36" width="5.7109375" customWidth="1"/>
    <col min="37" max="37" width="2.140625" bestFit="1" customWidth="1"/>
    <col min="38" max="38" width="6.5703125" customWidth="1"/>
    <col min="39" max="39" width="2.140625" bestFit="1" customWidth="1"/>
    <col min="40" max="40" width="6.85546875" customWidth="1"/>
    <col min="41" max="41" width="2.140625" bestFit="1" customWidth="1"/>
  </cols>
  <sheetData>
    <row r="1" spans="1:41" ht="23.25" x14ac:dyDescent="0.25">
      <c r="A1" s="4"/>
      <c r="B1" s="4"/>
      <c r="C1" s="95" t="s">
        <v>81</v>
      </c>
      <c r="D1" s="95"/>
      <c r="E1" s="95"/>
      <c r="F1" s="95"/>
      <c r="G1" s="95"/>
      <c r="H1" s="95"/>
      <c r="I1" s="95"/>
      <c r="J1" s="95"/>
      <c r="K1" s="95"/>
      <c r="L1" s="95"/>
      <c r="M1" s="95"/>
      <c r="N1" s="95"/>
      <c r="O1" s="95"/>
      <c r="P1" s="95"/>
      <c r="Q1" s="95"/>
      <c r="R1" s="95"/>
      <c r="S1" s="95"/>
      <c r="T1" s="95"/>
      <c r="U1" s="95"/>
      <c r="V1" s="95"/>
      <c r="W1" s="95"/>
      <c r="X1" s="95"/>
      <c r="Y1" s="95"/>
      <c r="Z1" s="95"/>
      <c r="AA1" s="95"/>
      <c r="AB1" s="95"/>
      <c r="AC1" s="95"/>
      <c r="AD1" s="95"/>
      <c r="AE1" s="95"/>
      <c r="AF1" s="95"/>
      <c r="AG1" s="9"/>
      <c r="AH1" s="9"/>
      <c r="AI1" s="9"/>
      <c r="AJ1" s="9"/>
      <c r="AK1" s="9"/>
      <c r="AL1" s="9"/>
      <c r="AM1" s="9"/>
      <c r="AN1" s="9"/>
      <c r="AO1" s="9"/>
    </row>
    <row r="2" spans="1:41" x14ac:dyDescent="0.25">
      <c r="A2" s="4"/>
      <c r="B2" s="4"/>
      <c r="C2" s="4"/>
      <c r="D2" s="4"/>
      <c r="E2" s="4"/>
      <c r="F2" s="4"/>
      <c r="G2" s="4"/>
      <c r="H2" s="4"/>
      <c r="I2" s="4"/>
      <c r="J2" s="4"/>
      <c r="K2" s="4"/>
      <c r="L2" s="4"/>
      <c r="M2" s="4"/>
      <c r="N2" s="4"/>
      <c r="O2" s="4"/>
      <c r="P2" s="4"/>
      <c r="Q2" s="4"/>
      <c r="R2" s="4"/>
      <c r="S2" s="4"/>
      <c r="T2" s="4"/>
      <c r="U2" s="4"/>
      <c r="V2" s="4"/>
      <c r="W2" s="4"/>
      <c r="X2" s="4"/>
      <c r="Y2" s="4"/>
      <c r="Z2" s="4"/>
      <c r="AA2" s="4"/>
      <c r="AB2" s="4"/>
      <c r="AC2" s="4"/>
      <c r="AD2" s="4"/>
      <c r="AE2" s="4"/>
      <c r="AF2" s="4"/>
      <c r="AG2" s="9"/>
      <c r="AH2" s="9"/>
      <c r="AI2" s="9"/>
      <c r="AJ2" s="9"/>
      <c r="AK2" s="9"/>
      <c r="AL2" s="9"/>
      <c r="AM2" s="9"/>
      <c r="AN2" s="9"/>
      <c r="AO2" s="9"/>
    </row>
    <row r="3" spans="1:41" ht="36" x14ac:dyDescent="0.25">
      <c r="A3" s="4"/>
      <c r="B3" s="5"/>
      <c r="C3" s="97" t="s">
        <v>58</v>
      </c>
      <c r="D3" s="97"/>
      <c r="E3" s="97"/>
      <c r="F3" s="97"/>
      <c r="G3" s="97"/>
      <c r="H3" s="97"/>
      <c r="I3" s="97"/>
      <c r="J3" s="97"/>
      <c r="K3" s="97"/>
      <c r="L3" s="97"/>
      <c r="M3" s="97"/>
      <c r="N3" s="97"/>
      <c r="O3" s="97"/>
      <c r="P3" s="97"/>
      <c r="Q3" s="97"/>
      <c r="R3" s="97"/>
      <c r="S3" s="97"/>
      <c r="T3" s="97"/>
      <c r="V3" s="4"/>
      <c r="W3" s="5"/>
      <c r="X3" s="97" t="s">
        <v>58</v>
      </c>
      <c r="Y3" s="97"/>
      <c r="Z3" s="97"/>
      <c r="AA3" s="97"/>
      <c r="AB3" s="97"/>
      <c r="AC3" s="97"/>
      <c r="AD3" s="97"/>
      <c r="AE3" s="97"/>
      <c r="AF3" s="97"/>
      <c r="AG3" s="97"/>
      <c r="AH3" s="97"/>
      <c r="AI3" s="97"/>
      <c r="AJ3" s="97"/>
      <c r="AK3" s="97"/>
      <c r="AL3" s="97"/>
      <c r="AM3" s="97"/>
      <c r="AN3" s="97"/>
      <c r="AO3" s="97"/>
    </row>
    <row r="4" spans="1:41" ht="15.75" x14ac:dyDescent="0.25">
      <c r="A4" s="4"/>
      <c r="B4" s="5"/>
      <c r="C4" s="98"/>
      <c r="D4" s="98"/>
      <c r="E4" s="98"/>
      <c r="F4" s="98"/>
      <c r="G4" s="98"/>
      <c r="H4" s="98"/>
      <c r="I4" s="98"/>
      <c r="J4" s="98"/>
      <c r="K4" s="98"/>
      <c r="L4" s="98"/>
      <c r="M4" s="98"/>
      <c r="N4" s="98"/>
      <c r="O4" s="98"/>
      <c r="P4" s="98"/>
      <c r="Q4" s="98"/>
      <c r="R4" s="98"/>
      <c r="S4" s="98"/>
      <c r="T4" s="98"/>
      <c r="U4" s="9"/>
      <c r="V4" s="4"/>
      <c r="W4" s="5"/>
      <c r="X4" s="98"/>
      <c r="Y4" s="98"/>
      <c r="Z4" s="98"/>
      <c r="AA4" s="98"/>
      <c r="AB4" s="98"/>
      <c r="AC4" s="98"/>
      <c r="AD4" s="98"/>
      <c r="AE4" s="98"/>
      <c r="AF4" s="98"/>
      <c r="AG4" s="98"/>
      <c r="AH4" s="98"/>
      <c r="AI4" s="98"/>
      <c r="AJ4" s="98"/>
      <c r="AK4" s="98"/>
      <c r="AL4" s="98"/>
      <c r="AM4" s="98"/>
      <c r="AN4" s="98"/>
      <c r="AO4" s="98"/>
    </row>
    <row r="5" spans="1:41" ht="15.75" x14ac:dyDescent="0.25">
      <c r="A5" s="6" t="s">
        <v>51</v>
      </c>
      <c r="B5" s="28"/>
      <c r="C5" s="122" t="s">
        <v>59</v>
      </c>
      <c r="D5" s="122"/>
      <c r="E5" s="122" t="s">
        <v>60</v>
      </c>
      <c r="F5" s="122"/>
      <c r="G5" s="122" t="s">
        <v>61</v>
      </c>
      <c r="H5" s="122"/>
      <c r="I5" s="122" t="s">
        <v>62</v>
      </c>
      <c r="J5" s="122"/>
      <c r="K5" s="122" t="s">
        <v>63</v>
      </c>
      <c r="L5" s="122"/>
      <c r="M5" s="122" t="s">
        <v>64</v>
      </c>
      <c r="N5" s="122"/>
      <c r="O5" s="122" t="s">
        <v>67</v>
      </c>
      <c r="P5" s="122"/>
      <c r="Q5" s="122" t="s">
        <v>68</v>
      </c>
      <c r="R5" s="122"/>
      <c r="S5" s="122" t="s">
        <v>69</v>
      </c>
      <c r="T5" s="122"/>
      <c r="U5" s="9"/>
      <c r="V5" s="6" t="s">
        <v>52</v>
      </c>
      <c r="W5" s="28"/>
      <c r="X5" s="122" t="s">
        <v>59</v>
      </c>
      <c r="Y5" s="122"/>
      <c r="Z5" s="122" t="s">
        <v>60</v>
      </c>
      <c r="AA5" s="122"/>
      <c r="AB5" s="122" t="s">
        <v>61</v>
      </c>
      <c r="AC5" s="122"/>
      <c r="AD5" s="122" t="s">
        <v>62</v>
      </c>
      <c r="AE5" s="122"/>
      <c r="AF5" s="122" t="s">
        <v>63</v>
      </c>
      <c r="AG5" s="122"/>
      <c r="AH5" s="122" t="s">
        <v>64</v>
      </c>
      <c r="AI5" s="122"/>
      <c r="AJ5" s="123" t="s">
        <v>54</v>
      </c>
      <c r="AK5" s="124"/>
      <c r="AL5" s="122" t="s">
        <v>55</v>
      </c>
      <c r="AM5" s="122"/>
      <c r="AN5" s="122" t="s">
        <v>38</v>
      </c>
      <c r="AO5" s="122"/>
    </row>
    <row r="6" spans="1:41" x14ac:dyDescent="0.25">
      <c r="A6" s="96" t="s">
        <v>0</v>
      </c>
      <c r="B6" s="122" t="s">
        <v>2</v>
      </c>
      <c r="C6" s="11"/>
      <c r="D6" s="15" t="s">
        <v>65</v>
      </c>
      <c r="E6" s="11">
        <v>2</v>
      </c>
      <c r="F6" s="15" t="s">
        <v>65</v>
      </c>
      <c r="G6" s="11">
        <v>2</v>
      </c>
      <c r="H6" s="15" t="s">
        <v>65</v>
      </c>
      <c r="I6" s="12">
        <v>2</v>
      </c>
      <c r="J6" s="15" t="s">
        <v>65</v>
      </c>
      <c r="K6" s="12">
        <v>2</v>
      </c>
      <c r="L6" s="15" t="s">
        <v>65</v>
      </c>
      <c r="M6" s="12">
        <v>1</v>
      </c>
      <c r="N6" s="15" t="s">
        <v>65</v>
      </c>
      <c r="O6" s="12">
        <v>3</v>
      </c>
      <c r="P6" s="15" t="s">
        <v>65</v>
      </c>
      <c r="Q6" s="34">
        <v>4</v>
      </c>
      <c r="R6" s="15" t="s">
        <v>65</v>
      </c>
      <c r="S6" s="34">
        <v>2</v>
      </c>
      <c r="T6" s="15" t="s">
        <v>65</v>
      </c>
      <c r="U6" s="9"/>
      <c r="V6" s="96" t="s">
        <v>0</v>
      </c>
      <c r="W6" s="122" t="s">
        <v>3</v>
      </c>
      <c r="X6" s="11"/>
      <c r="Y6" s="15" t="s">
        <v>65</v>
      </c>
      <c r="Z6" s="11"/>
      <c r="AA6" s="15" t="s">
        <v>65</v>
      </c>
      <c r="AB6" s="11"/>
      <c r="AC6" s="15" t="s">
        <v>65</v>
      </c>
      <c r="AD6" s="12"/>
      <c r="AE6" s="15" t="s">
        <v>65</v>
      </c>
      <c r="AF6" s="12"/>
      <c r="AG6" s="15" t="s">
        <v>65</v>
      </c>
      <c r="AH6" s="12"/>
      <c r="AI6" s="15" t="s">
        <v>65</v>
      </c>
      <c r="AJ6" s="12"/>
      <c r="AK6" s="15" t="s">
        <v>65</v>
      </c>
      <c r="AL6" s="18"/>
      <c r="AM6" s="15" t="s">
        <v>65</v>
      </c>
      <c r="AN6" s="18"/>
      <c r="AO6" s="15" t="s">
        <v>65</v>
      </c>
    </row>
    <row r="7" spans="1:41" x14ac:dyDescent="0.25">
      <c r="A7" s="96"/>
      <c r="B7" s="122"/>
      <c r="C7" s="13"/>
      <c r="D7" s="16" t="s">
        <v>66</v>
      </c>
      <c r="E7" s="13">
        <v>2</v>
      </c>
      <c r="F7" s="16" t="s">
        <v>66</v>
      </c>
      <c r="G7" s="13">
        <v>2</v>
      </c>
      <c r="H7" s="16" t="s">
        <v>66</v>
      </c>
      <c r="I7" s="14">
        <v>2</v>
      </c>
      <c r="J7" s="16" t="s">
        <v>66</v>
      </c>
      <c r="K7" s="14">
        <v>2</v>
      </c>
      <c r="L7" s="16" t="s">
        <v>66</v>
      </c>
      <c r="M7" s="14">
        <v>1</v>
      </c>
      <c r="N7" s="16" t="s">
        <v>66</v>
      </c>
      <c r="O7" s="14">
        <v>2</v>
      </c>
      <c r="P7" s="16" t="s">
        <v>66</v>
      </c>
      <c r="Q7" s="35">
        <v>2</v>
      </c>
      <c r="R7" s="16" t="s">
        <v>66</v>
      </c>
      <c r="S7" s="35">
        <v>3</v>
      </c>
      <c r="T7" s="16" t="s">
        <v>66</v>
      </c>
      <c r="U7" s="9"/>
      <c r="V7" s="96"/>
      <c r="W7" s="122"/>
      <c r="X7" s="13"/>
      <c r="Y7" s="16" t="s">
        <v>66</v>
      </c>
      <c r="Z7" s="13"/>
      <c r="AA7" s="16" t="s">
        <v>66</v>
      </c>
      <c r="AB7" s="13"/>
      <c r="AC7" s="16" t="s">
        <v>66</v>
      </c>
      <c r="AD7" s="14"/>
      <c r="AE7" s="16" t="s">
        <v>66</v>
      </c>
      <c r="AF7" s="14"/>
      <c r="AG7" s="16" t="s">
        <v>66</v>
      </c>
      <c r="AH7" s="14"/>
      <c r="AI7" s="16" t="s">
        <v>66</v>
      </c>
      <c r="AJ7" s="14"/>
      <c r="AK7" s="16" t="s">
        <v>66</v>
      </c>
      <c r="AL7" s="19"/>
      <c r="AM7" s="16" t="s">
        <v>66</v>
      </c>
      <c r="AN7" s="19"/>
      <c r="AO7" s="16" t="s">
        <v>66</v>
      </c>
    </row>
    <row r="8" spans="1:41" x14ac:dyDescent="0.25">
      <c r="A8" s="96"/>
      <c r="B8" s="122" t="s">
        <v>29</v>
      </c>
      <c r="C8" s="11"/>
      <c r="D8" s="15" t="s">
        <v>65</v>
      </c>
      <c r="E8" s="11">
        <v>2</v>
      </c>
      <c r="F8" s="15" t="s">
        <v>65</v>
      </c>
      <c r="G8" s="11">
        <v>3</v>
      </c>
      <c r="H8" s="15" t="s">
        <v>65</v>
      </c>
      <c r="I8" s="12">
        <v>2</v>
      </c>
      <c r="J8" s="15" t="s">
        <v>65</v>
      </c>
      <c r="K8" s="12">
        <v>2</v>
      </c>
      <c r="L8" s="15" t="s">
        <v>65</v>
      </c>
      <c r="M8" s="12">
        <v>1</v>
      </c>
      <c r="N8" s="15" t="s">
        <v>65</v>
      </c>
      <c r="O8" s="12">
        <v>2</v>
      </c>
      <c r="P8" s="15" t="s">
        <v>65</v>
      </c>
      <c r="Q8" s="34">
        <v>2</v>
      </c>
      <c r="R8" s="15" t="s">
        <v>65</v>
      </c>
      <c r="S8" s="34">
        <v>2</v>
      </c>
      <c r="T8" s="15" t="s">
        <v>65</v>
      </c>
      <c r="U8" s="9"/>
      <c r="V8" s="96"/>
      <c r="W8" s="122" t="s">
        <v>4</v>
      </c>
      <c r="X8" s="11"/>
      <c r="Y8" s="15" t="s">
        <v>65</v>
      </c>
      <c r="Z8" s="11"/>
      <c r="AA8" s="15" t="s">
        <v>65</v>
      </c>
      <c r="AB8" s="11"/>
      <c r="AC8" s="15" t="s">
        <v>65</v>
      </c>
      <c r="AD8" s="12"/>
      <c r="AE8" s="15" t="s">
        <v>65</v>
      </c>
      <c r="AF8" s="12"/>
      <c r="AG8" s="15" t="s">
        <v>65</v>
      </c>
      <c r="AH8" s="12"/>
      <c r="AI8" s="15" t="s">
        <v>65</v>
      </c>
      <c r="AJ8" s="12"/>
      <c r="AK8" s="15" t="s">
        <v>65</v>
      </c>
      <c r="AL8" s="18"/>
      <c r="AM8" s="15" t="s">
        <v>65</v>
      </c>
      <c r="AN8" s="18"/>
      <c r="AO8" s="15" t="s">
        <v>65</v>
      </c>
    </row>
    <row r="9" spans="1:41" x14ac:dyDescent="0.25">
      <c r="A9" s="96"/>
      <c r="B9" s="122"/>
      <c r="C9" s="13"/>
      <c r="D9" s="16" t="s">
        <v>66</v>
      </c>
      <c r="E9" s="13">
        <v>2</v>
      </c>
      <c r="F9" s="16" t="s">
        <v>66</v>
      </c>
      <c r="G9" s="13">
        <v>2</v>
      </c>
      <c r="H9" s="16" t="s">
        <v>66</v>
      </c>
      <c r="I9" s="14">
        <v>2</v>
      </c>
      <c r="J9" s="16" t="s">
        <v>66</v>
      </c>
      <c r="K9" s="14">
        <v>2</v>
      </c>
      <c r="L9" s="16" t="s">
        <v>66</v>
      </c>
      <c r="M9" s="14">
        <v>3</v>
      </c>
      <c r="N9" s="16" t="s">
        <v>66</v>
      </c>
      <c r="O9" s="14">
        <v>2</v>
      </c>
      <c r="P9" s="16" t="s">
        <v>66</v>
      </c>
      <c r="Q9" s="35">
        <v>2</v>
      </c>
      <c r="R9" s="16" t="s">
        <v>66</v>
      </c>
      <c r="S9" s="35">
        <v>2</v>
      </c>
      <c r="T9" s="16" t="s">
        <v>66</v>
      </c>
      <c r="U9" s="9"/>
      <c r="V9" s="96"/>
      <c r="W9" s="122"/>
      <c r="X9" s="13"/>
      <c r="Y9" s="16" t="s">
        <v>66</v>
      </c>
      <c r="Z9" s="13"/>
      <c r="AA9" s="16" t="s">
        <v>66</v>
      </c>
      <c r="AB9" s="13"/>
      <c r="AC9" s="16" t="s">
        <v>66</v>
      </c>
      <c r="AD9" s="14"/>
      <c r="AE9" s="16" t="s">
        <v>66</v>
      </c>
      <c r="AF9" s="14"/>
      <c r="AG9" s="16" t="s">
        <v>66</v>
      </c>
      <c r="AH9" s="14"/>
      <c r="AI9" s="16" t="s">
        <v>66</v>
      </c>
      <c r="AJ9" s="14"/>
      <c r="AK9" s="16" t="s">
        <v>66</v>
      </c>
      <c r="AL9" s="19"/>
      <c r="AM9" s="16" t="s">
        <v>66</v>
      </c>
      <c r="AN9" s="19"/>
      <c r="AO9" s="16" t="s">
        <v>66</v>
      </c>
    </row>
    <row r="10" spans="1:41" x14ac:dyDescent="0.25">
      <c r="A10" s="96"/>
      <c r="B10" s="122" t="s">
        <v>30</v>
      </c>
      <c r="C10" s="11"/>
      <c r="D10" s="15" t="s">
        <v>65</v>
      </c>
      <c r="E10" s="11">
        <v>2</v>
      </c>
      <c r="F10" s="15" t="s">
        <v>65</v>
      </c>
      <c r="G10" s="11">
        <v>1</v>
      </c>
      <c r="H10" s="15" t="s">
        <v>65</v>
      </c>
      <c r="I10" s="12">
        <v>4</v>
      </c>
      <c r="J10" s="15" t="s">
        <v>65</v>
      </c>
      <c r="K10" s="12">
        <v>3</v>
      </c>
      <c r="L10" s="15" t="s">
        <v>65</v>
      </c>
      <c r="M10" s="12">
        <v>2</v>
      </c>
      <c r="N10" s="15" t="s">
        <v>65</v>
      </c>
      <c r="O10" s="12">
        <v>2</v>
      </c>
      <c r="P10" s="15" t="s">
        <v>65</v>
      </c>
      <c r="Q10" s="34">
        <v>2</v>
      </c>
      <c r="R10" s="15" t="s">
        <v>65</v>
      </c>
      <c r="S10" s="34">
        <v>2</v>
      </c>
      <c r="T10" s="15" t="s">
        <v>65</v>
      </c>
      <c r="U10" s="9"/>
      <c r="V10" s="96"/>
      <c r="W10" s="122" t="s">
        <v>5</v>
      </c>
      <c r="X10" s="11"/>
      <c r="Y10" s="15" t="s">
        <v>65</v>
      </c>
      <c r="Z10" s="11"/>
      <c r="AA10" s="15" t="s">
        <v>65</v>
      </c>
      <c r="AB10" s="11"/>
      <c r="AC10" s="15" t="s">
        <v>65</v>
      </c>
      <c r="AD10" s="12"/>
      <c r="AE10" s="15" t="s">
        <v>65</v>
      </c>
      <c r="AF10" s="12"/>
      <c r="AG10" s="15" t="s">
        <v>65</v>
      </c>
      <c r="AH10" s="12"/>
      <c r="AI10" s="15" t="s">
        <v>65</v>
      </c>
      <c r="AJ10" s="12"/>
      <c r="AK10" s="15" t="s">
        <v>65</v>
      </c>
      <c r="AL10" s="18"/>
      <c r="AM10" s="15" t="s">
        <v>65</v>
      </c>
      <c r="AN10" s="18"/>
      <c r="AO10" s="15" t="s">
        <v>65</v>
      </c>
    </row>
    <row r="11" spans="1:41" x14ac:dyDescent="0.25">
      <c r="A11" s="96"/>
      <c r="B11" s="122"/>
      <c r="C11" s="13"/>
      <c r="D11" s="16" t="s">
        <v>66</v>
      </c>
      <c r="E11" s="13">
        <v>2</v>
      </c>
      <c r="F11" s="16" t="s">
        <v>66</v>
      </c>
      <c r="G11" s="13">
        <v>1</v>
      </c>
      <c r="H11" s="16" t="s">
        <v>66</v>
      </c>
      <c r="I11" s="14">
        <v>2</v>
      </c>
      <c r="J11" s="16" t="s">
        <v>66</v>
      </c>
      <c r="K11" s="14">
        <v>2</v>
      </c>
      <c r="L11" s="16" t="s">
        <v>66</v>
      </c>
      <c r="M11" s="14">
        <v>3</v>
      </c>
      <c r="N11" s="16" t="s">
        <v>66</v>
      </c>
      <c r="O11" s="14">
        <v>3</v>
      </c>
      <c r="P11" s="16" t="s">
        <v>66</v>
      </c>
      <c r="Q11" s="35">
        <v>3</v>
      </c>
      <c r="R11" s="16" t="s">
        <v>66</v>
      </c>
      <c r="S11" s="35">
        <v>2</v>
      </c>
      <c r="T11" s="16" t="s">
        <v>66</v>
      </c>
      <c r="U11" s="9"/>
      <c r="V11" s="96"/>
      <c r="W11" s="122"/>
      <c r="X11" s="13"/>
      <c r="Y11" s="16" t="s">
        <v>66</v>
      </c>
      <c r="Z11" s="13"/>
      <c r="AA11" s="16" t="s">
        <v>66</v>
      </c>
      <c r="AB11" s="13"/>
      <c r="AC11" s="16" t="s">
        <v>66</v>
      </c>
      <c r="AD11" s="14"/>
      <c r="AE11" s="16" t="s">
        <v>66</v>
      </c>
      <c r="AF11" s="14"/>
      <c r="AG11" s="16" t="s">
        <v>66</v>
      </c>
      <c r="AH11" s="14"/>
      <c r="AI11" s="16" t="s">
        <v>66</v>
      </c>
      <c r="AJ11" s="14"/>
      <c r="AK11" s="16" t="s">
        <v>66</v>
      </c>
      <c r="AL11" s="19"/>
      <c r="AM11" s="16" t="s">
        <v>66</v>
      </c>
      <c r="AN11" s="19"/>
      <c r="AO11" s="16" t="s">
        <v>66</v>
      </c>
    </row>
    <row r="12" spans="1:41" x14ac:dyDescent="0.25">
      <c r="A12" s="96"/>
      <c r="B12" s="122" t="s">
        <v>31</v>
      </c>
      <c r="C12" s="11"/>
      <c r="D12" s="15" t="s">
        <v>65</v>
      </c>
      <c r="E12" s="11">
        <v>2</v>
      </c>
      <c r="F12" s="15" t="s">
        <v>65</v>
      </c>
      <c r="G12" s="11">
        <v>2</v>
      </c>
      <c r="H12" s="15" t="s">
        <v>65</v>
      </c>
      <c r="I12" s="12">
        <v>1</v>
      </c>
      <c r="J12" s="15" t="s">
        <v>65</v>
      </c>
      <c r="K12" s="12">
        <v>2</v>
      </c>
      <c r="L12" s="15" t="s">
        <v>65</v>
      </c>
      <c r="M12" s="12">
        <v>3</v>
      </c>
      <c r="N12" s="15" t="s">
        <v>65</v>
      </c>
      <c r="O12" s="12">
        <v>2</v>
      </c>
      <c r="P12" s="15" t="s">
        <v>65</v>
      </c>
      <c r="Q12" s="34">
        <v>1</v>
      </c>
      <c r="R12" s="15" t="s">
        <v>65</v>
      </c>
      <c r="S12" s="34">
        <v>2</v>
      </c>
      <c r="T12" s="15" t="s">
        <v>65</v>
      </c>
      <c r="U12" s="9"/>
      <c r="V12" s="96"/>
      <c r="W12" s="122" t="s">
        <v>6</v>
      </c>
      <c r="X12" s="11"/>
      <c r="Y12" s="15" t="s">
        <v>65</v>
      </c>
      <c r="Z12" s="11"/>
      <c r="AA12" s="15" t="s">
        <v>65</v>
      </c>
      <c r="AB12" s="11"/>
      <c r="AC12" s="15" t="s">
        <v>65</v>
      </c>
      <c r="AD12" s="12"/>
      <c r="AE12" s="15" t="s">
        <v>65</v>
      </c>
      <c r="AF12" s="12"/>
      <c r="AG12" s="15" t="s">
        <v>65</v>
      </c>
      <c r="AH12" s="12"/>
      <c r="AI12" s="15" t="s">
        <v>65</v>
      </c>
      <c r="AJ12" s="12"/>
      <c r="AK12" s="15" t="s">
        <v>65</v>
      </c>
      <c r="AL12" s="18"/>
      <c r="AM12" s="15" t="s">
        <v>65</v>
      </c>
      <c r="AN12" s="18"/>
      <c r="AO12" s="15" t="s">
        <v>65</v>
      </c>
    </row>
    <row r="13" spans="1:41" x14ac:dyDescent="0.25">
      <c r="A13" s="96"/>
      <c r="B13" s="122"/>
      <c r="C13" s="13"/>
      <c r="D13" s="16" t="s">
        <v>66</v>
      </c>
      <c r="E13" s="13">
        <v>2</v>
      </c>
      <c r="F13" s="16" t="s">
        <v>66</v>
      </c>
      <c r="G13" s="13">
        <v>2</v>
      </c>
      <c r="H13" s="16" t="s">
        <v>66</v>
      </c>
      <c r="I13" s="14">
        <v>3</v>
      </c>
      <c r="J13" s="16" t="s">
        <v>66</v>
      </c>
      <c r="K13" s="14">
        <v>1</v>
      </c>
      <c r="L13" s="16" t="s">
        <v>66</v>
      </c>
      <c r="M13" s="14">
        <v>1</v>
      </c>
      <c r="N13" s="16" t="s">
        <v>66</v>
      </c>
      <c r="O13" s="14">
        <v>4</v>
      </c>
      <c r="P13" s="16" t="s">
        <v>66</v>
      </c>
      <c r="Q13" s="35">
        <v>4</v>
      </c>
      <c r="R13" s="16" t="s">
        <v>66</v>
      </c>
      <c r="S13" s="35">
        <v>2</v>
      </c>
      <c r="T13" s="16" t="s">
        <v>66</v>
      </c>
      <c r="U13" s="9"/>
      <c r="V13" s="96"/>
      <c r="W13" s="122"/>
      <c r="X13" s="13"/>
      <c r="Y13" s="16" t="s">
        <v>66</v>
      </c>
      <c r="Z13" s="13"/>
      <c r="AA13" s="16" t="s">
        <v>66</v>
      </c>
      <c r="AB13" s="13"/>
      <c r="AC13" s="16" t="s">
        <v>66</v>
      </c>
      <c r="AD13" s="14"/>
      <c r="AE13" s="16" t="s">
        <v>66</v>
      </c>
      <c r="AF13" s="14"/>
      <c r="AG13" s="16" t="s">
        <v>66</v>
      </c>
      <c r="AH13" s="14"/>
      <c r="AI13" s="16" t="s">
        <v>66</v>
      </c>
      <c r="AJ13" s="14"/>
      <c r="AK13" s="16" t="s">
        <v>66</v>
      </c>
      <c r="AL13" s="19"/>
      <c r="AM13" s="16" t="s">
        <v>66</v>
      </c>
      <c r="AN13" s="19"/>
      <c r="AO13" s="16" t="s">
        <v>66</v>
      </c>
    </row>
    <row r="14" spans="1:41" x14ac:dyDescent="0.25">
      <c r="A14" s="96"/>
      <c r="B14" s="122" t="s">
        <v>32</v>
      </c>
      <c r="C14" s="11"/>
      <c r="D14" s="15" t="s">
        <v>65</v>
      </c>
      <c r="E14" s="11">
        <v>2</v>
      </c>
      <c r="F14" s="15" t="s">
        <v>65</v>
      </c>
      <c r="G14" s="11">
        <v>2</v>
      </c>
      <c r="H14" s="15" t="s">
        <v>65</v>
      </c>
      <c r="I14" s="12">
        <v>2</v>
      </c>
      <c r="J14" s="15" t="s">
        <v>65</v>
      </c>
      <c r="K14" s="12">
        <v>3</v>
      </c>
      <c r="L14" s="15" t="s">
        <v>65</v>
      </c>
      <c r="M14" s="12">
        <v>2</v>
      </c>
      <c r="N14" s="15" t="s">
        <v>65</v>
      </c>
      <c r="O14" s="12">
        <v>3</v>
      </c>
      <c r="P14" s="15" t="s">
        <v>65</v>
      </c>
      <c r="Q14" s="34">
        <v>2</v>
      </c>
      <c r="R14" s="15" t="s">
        <v>65</v>
      </c>
      <c r="S14" s="34">
        <v>2</v>
      </c>
      <c r="T14" s="15" t="s">
        <v>65</v>
      </c>
      <c r="U14" s="9"/>
      <c r="V14" s="96"/>
      <c r="W14" s="122" t="s">
        <v>7</v>
      </c>
      <c r="X14" s="11"/>
      <c r="Y14" s="15" t="s">
        <v>65</v>
      </c>
      <c r="Z14" s="11"/>
      <c r="AA14" s="15" t="s">
        <v>65</v>
      </c>
      <c r="AB14" s="11"/>
      <c r="AC14" s="15" t="s">
        <v>65</v>
      </c>
      <c r="AD14" s="12"/>
      <c r="AE14" s="15" t="s">
        <v>65</v>
      </c>
      <c r="AF14" s="12"/>
      <c r="AG14" s="15" t="s">
        <v>65</v>
      </c>
      <c r="AH14" s="12"/>
      <c r="AI14" s="15" t="s">
        <v>65</v>
      </c>
      <c r="AJ14" s="12"/>
      <c r="AK14" s="15" t="s">
        <v>65</v>
      </c>
      <c r="AL14" s="18"/>
      <c r="AM14" s="15" t="s">
        <v>65</v>
      </c>
      <c r="AN14" s="18"/>
      <c r="AO14" s="15" t="s">
        <v>65</v>
      </c>
    </row>
    <row r="15" spans="1:41" x14ac:dyDescent="0.25">
      <c r="A15" s="96"/>
      <c r="B15" s="122"/>
      <c r="C15" s="13"/>
      <c r="D15" s="16" t="s">
        <v>66</v>
      </c>
      <c r="E15" s="13">
        <v>2</v>
      </c>
      <c r="F15" s="16" t="s">
        <v>66</v>
      </c>
      <c r="G15" s="13">
        <v>2</v>
      </c>
      <c r="H15" s="16" t="s">
        <v>66</v>
      </c>
      <c r="I15" s="14">
        <v>2</v>
      </c>
      <c r="J15" s="16" t="s">
        <v>66</v>
      </c>
      <c r="K15" s="14">
        <v>1</v>
      </c>
      <c r="L15" s="16" t="s">
        <v>66</v>
      </c>
      <c r="M15" s="14">
        <v>2</v>
      </c>
      <c r="N15" s="16" t="s">
        <v>66</v>
      </c>
      <c r="O15" s="14">
        <v>3</v>
      </c>
      <c r="P15" s="16" t="s">
        <v>66</v>
      </c>
      <c r="Q15" s="35">
        <v>3</v>
      </c>
      <c r="R15" s="16" t="s">
        <v>66</v>
      </c>
      <c r="S15" s="35">
        <v>2</v>
      </c>
      <c r="T15" s="16" t="s">
        <v>66</v>
      </c>
      <c r="U15" s="9"/>
      <c r="V15" s="96"/>
      <c r="W15" s="122"/>
      <c r="X15" s="13"/>
      <c r="Y15" s="16" t="s">
        <v>66</v>
      </c>
      <c r="Z15" s="13"/>
      <c r="AA15" s="16" t="s">
        <v>66</v>
      </c>
      <c r="AB15" s="13"/>
      <c r="AC15" s="16" t="s">
        <v>66</v>
      </c>
      <c r="AD15" s="14"/>
      <c r="AE15" s="16" t="s">
        <v>66</v>
      </c>
      <c r="AF15" s="14"/>
      <c r="AG15" s="16" t="s">
        <v>66</v>
      </c>
      <c r="AH15" s="14"/>
      <c r="AI15" s="16" t="s">
        <v>66</v>
      </c>
      <c r="AJ15" s="14"/>
      <c r="AK15" s="16" t="s">
        <v>66</v>
      </c>
      <c r="AL15" s="19"/>
      <c r="AM15" s="16" t="s">
        <v>66</v>
      </c>
      <c r="AN15" s="19"/>
      <c r="AO15" s="16" t="s">
        <v>66</v>
      </c>
    </row>
    <row r="16" spans="1:41" x14ac:dyDescent="0.25">
      <c r="A16" s="96"/>
      <c r="B16" s="122" t="s">
        <v>33</v>
      </c>
      <c r="C16" s="11"/>
      <c r="D16" s="15" t="s">
        <v>65</v>
      </c>
      <c r="E16" s="11">
        <v>2</v>
      </c>
      <c r="F16" s="15" t="s">
        <v>65</v>
      </c>
      <c r="G16" s="11">
        <v>2</v>
      </c>
      <c r="H16" s="15" t="s">
        <v>65</v>
      </c>
      <c r="I16" s="12">
        <v>2</v>
      </c>
      <c r="J16" s="15" t="s">
        <v>65</v>
      </c>
      <c r="K16" s="12">
        <v>2</v>
      </c>
      <c r="L16" s="15" t="s">
        <v>65</v>
      </c>
      <c r="M16" s="12">
        <v>1</v>
      </c>
      <c r="N16" s="15" t="s">
        <v>65</v>
      </c>
      <c r="O16" s="12">
        <v>1</v>
      </c>
      <c r="P16" s="15" t="s">
        <v>65</v>
      </c>
      <c r="Q16" s="34">
        <v>2</v>
      </c>
      <c r="R16" s="15" t="s">
        <v>65</v>
      </c>
      <c r="S16" s="34">
        <v>1</v>
      </c>
      <c r="T16" s="15" t="s">
        <v>65</v>
      </c>
      <c r="U16" s="9"/>
      <c r="V16" s="96"/>
      <c r="W16" s="122" t="s">
        <v>8</v>
      </c>
      <c r="X16" s="11"/>
      <c r="Y16" s="15" t="s">
        <v>65</v>
      </c>
      <c r="Z16" s="11"/>
      <c r="AA16" s="15" t="s">
        <v>65</v>
      </c>
      <c r="AB16" s="11"/>
      <c r="AC16" s="15" t="s">
        <v>65</v>
      </c>
      <c r="AD16" s="12"/>
      <c r="AE16" s="15" t="s">
        <v>65</v>
      </c>
      <c r="AF16" s="12"/>
      <c r="AG16" s="15" t="s">
        <v>65</v>
      </c>
      <c r="AH16" s="12"/>
      <c r="AI16" s="15" t="s">
        <v>65</v>
      </c>
      <c r="AJ16" s="12"/>
      <c r="AK16" s="15" t="s">
        <v>65</v>
      </c>
      <c r="AL16" s="18"/>
      <c r="AM16" s="15" t="s">
        <v>65</v>
      </c>
      <c r="AN16" s="18"/>
      <c r="AO16" s="15" t="s">
        <v>65</v>
      </c>
    </row>
    <row r="17" spans="1:41" x14ac:dyDescent="0.25">
      <c r="A17" s="96"/>
      <c r="B17" s="122"/>
      <c r="C17" s="13"/>
      <c r="D17" s="16" t="s">
        <v>66</v>
      </c>
      <c r="E17" s="13">
        <v>2</v>
      </c>
      <c r="F17" s="16" t="s">
        <v>66</v>
      </c>
      <c r="G17" s="13">
        <v>3</v>
      </c>
      <c r="H17" s="16" t="s">
        <v>66</v>
      </c>
      <c r="I17" s="14">
        <v>4</v>
      </c>
      <c r="J17" s="16" t="s">
        <v>66</v>
      </c>
      <c r="K17" s="14">
        <v>3</v>
      </c>
      <c r="L17" s="16" t="s">
        <v>66</v>
      </c>
      <c r="M17" s="14">
        <v>2</v>
      </c>
      <c r="N17" s="16" t="s">
        <v>66</v>
      </c>
      <c r="O17" s="14">
        <v>3</v>
      </c>
      <c r="P17" s="16" t="s">
        <v>66</v>
      </c>
      <c r="Q17" s="35">
        <v>2</v>
      </c>
      <c r="R17" s="16" t="s">
        <v>66</v>
      </c>
      <c r="S17" s="35">
        <v>1</v>
      </c>
      <c r="T17" s="16" t="s">
        <v>66</v>
      </c>
      <c r="U17" s="9"/>
      <c r="V17" s="96"/>
      <c r="W17" s="122"/>
      <c r="X17" s="13"/>
      <c r="Y17" s="16" t="s">
        <v>66</v>
      </c>
      <c r="Z17" s="13"/>
      <c r="AA17" s="16" t="s">
        <v>66</v>
      </c>
      <c r="AB17" s="13"/>
      <c r="AC17" s="16" t="s">
        <v>66</v>
      </c>
      <c r="AD17" s="14"/>
      <c r="AE17" s="16" t="s">
        <v>66</v>
      </c>
      <c r="AF17" s="14"/>
      <c r="AG17" s="16" t="s">
        <v>66</v>
      </c>
      <c r="AH17" s="14"/>
      <c r="AI17" s="16" t="s">
        <v>66</v>
      </c>
      <c r="AJ17" s="14"/>
      <c r="AK17" s="16" t="s">
        <v>66</v>
      </c>
      <c r="AL17" s="19"/>
      <c r="AM17" s="16" t="s">
        <v>66</v>
      </c>
      <c r="AN17" s="19"/>
      <c r="AO17" s="16" t="s">
        <v>66</v>
      </c>
    </row>
    <row r="18" spans="1:41" x14ac:dyDescent="0.25">
      <c r="A18" s="96"/>
      <c r="B18" s="122" t="s">
        <v>34</v>
      </c>
      <c r="C18" s="11"/>
      <c r="D18" s="15" t="s">
        <v>65</v>
      </c>
      <c r="E18" s="11">
        <v>2</v>
      </c>
      <c r="F18" s="15" t="s">
        <v>65</v>
      </c>
      <c r="G18" s="11">
        <v>2</v>
      </c>
      <c r="H18" s="15" t="s">
        <v>65</v>
      </c>
      <c r="I18" s="12">
        <v>2</v>
      </c>
      <c r="J18" s="15" t="s">
        <v>65</v>
      </c>
      <c r="K18" s="12">
        <v>2</v>
      </c>
      <c r="L18" s="15" t="s">
        <v>65</v>
      </c>
      <c r="M18" s="12">
        <v>2</v>
      </c>
      <c r="N18" s="15" t="s">
        <v>65</v>
      </c>
      <c r="O18" s="12">
        <v>2</v>
      </c>
      <c r="P18" s="15" t="s">
        <v>65</v>
      </c>
      <c r="Q18" s="34">
        <v>3</v>
      </c>
      <c r="R18" s="15" t="s">
        <v>65</v>
      </c>
      <c r="S18" s="34">
        <v>2</v>
      </c>
      <c r="T18" s="15" t="s">
        <v>65</v>
      </c>
      <c r="U18" s="9"/>
      <c r="V18" s="96"/>
      <c r="W18" s="122" t="s">
        <v>9</v>
      </c>
      <c r="X18" s="11"/>
      <c r="Y18" s="15" t="s">
        <v>65</v>
      </c>
      <c r="Z18" s="11"/>
      <c r="AA18" s="15" t="s">
        <v>65</v>
      </c>
      <c r="AB18" s="11"/>
      <c r="AC18" s="15" t="s">
        <v>65</v>
      </c>
      <c r="AD18" s="12"/>
      <c r="AE18" s="15" t="s">
        <v>65</v>
      </c>
      <c r="AF18" s="12"/>
      <c r="AG18" s="15" t="s">
        <v>65</v>
      </c>
      <c r="AH18" s="12"/>
      <c r="AI18" s="15" t="s">
        <v>65</v>
      </c>
      <c r="AJ18" s="12"/>
      <c r="AK18" s="15" t="s">
        <v>65</v>
      </c>
      <c r="AL18" s="18"/>
      <c r="AM18" s="15" t="s">
        <v>65</v>
      </c>
      <c r="AN18" s="18"/>
      <c r="AO18" s="15" t="s">
        <v>65</v>
      </c>
    </row>
    <row r="19" spans="1:41" x14ac:dyDescent="0.25">
      <c r="A19" s="96"/>
      <c r="B19" s="122"/>
      <c r="C19" s="13"/>
      <c r="D19" s="16" t="s">
        <v>66</v>
      </c>
      <c r="E19" s="13">
        <v>2</v>
      </c>
      <c r="F19" s="16" t="s">
        <v>66</v>
      </c>
      <c r="G19" s="13">
        <v>2</v>
      </c>
      <c r="H19" s="16" t="s">
        <v>66</v>
      </c>
      <c r="I19" s="14">
        <v>2</v>
      </c>
      <c r="J19" s="16" t="s">
        <v>66</v>
      </c>
      <c r="K19" s="14">
        <v>3</v>
      </c>
      <c r="L19" s="16" t="s">
        <v>66</v>
      </c>
      <c r="M19" s="14">
        <v>3</v>
      </c>
      <c r="N19" s="16" t="s">
        <v>66</v>
      </c>
      <c r="O19" s="14">
        <v>3</v>
      </c>
      <c r="P19" s="16" t="s">
        <v>66</v>
      </c>
      <c r="Q19" s="35">
        <v>2</v>
      </c>
      <c r="R19" s="16" t="s">
        <v>66</v>
      </c>
      <c r="S19" s="35">
        <v>2</v>
      </c>
      <c r="T19" s="16" t="s">
        <v>66</v>
      </c>
      <c r="U19" s="9"/>
      <c r="V19" s="96"/>
      <c r="W19" s="122"/>
      <c r="X19" s="13"/>
      <c r="Y19" s="16" t="s">
        <v>66</v>
      </c>
      <c r="Z19" s="13"/>
      <c r="AA19" s="16" t="s">
        <v>66</v>
      </c>
      <c r="AB19" s="13"/>
      <c r="AC19" s="16" t="s">
        <v>66</v>
      </c>
      <c r="AD19" s="14"/>
      <c r="AE19" s="16" t="s">
        <v>66</v>
      </c>
      <c r="AF19" s="14"/>
      <c r="AG19" s="16" t="s">
        <v>66</v>
      </c>
      <c r="AH19" s="14"/>
      <c r="AI19" s="16" t="s">
        <v>66</v>
      </c>
      <c r="AJ19" s="14"/>
      <c r="AK19" s="16" t="s">
        <v>66</v>
      </c>
      <c r="AL19" s="19"/>
      <c r="AM19" s="16" t="s">
        <v>66</v>
      </c>
      <c r="AN19" s="19"/>
      <c r="AO19" s="16" t="s">
        <v>66</v>
      </c>
    </row>
    <row r="20" spans="1:41" x14ac:dyDescent="0.25">
      <c r="A20" s="96"/>
      <c r="B20" s="122" t="s">
        <v>35</v>
      </c>
      <c r="C20" s="11"/>
      <c r="D20" s="15" t="s">
        <v>65</v>
      </c>
      <c r="E20" s="11">
        <v>2</v>
      </c>
      <c r="F20" s="15" t="s">
        <v>65</v>
      </c>
      <c r="G20" s="11">
        <v>3</v>
      </c>
      <c r="H20" s="15" t="s">
        <v>65</v>
      </c>
      <c r="I20" s="12">
        <v>3</v>
      </c>
      <c r="J20" s="15" t="s">
        <v>65</v>
      </c>
      <c r="K20" s="12">
        <v>3</v>
      </c>
      <c r="L20" s="15" t="s">
        <v>65</v>
      </c>
      <c r="M20" s="12">
        <v>2</v>
      </c>
      <c r="N20" s="15" t="s">
        <v>65</v>
      </c>
      <c r="O20" s="12">
        <v>3</v>
      </c>
      <c r="P20" s="15" t="s">
        <v>65</v>
      </c>
      <c r="Q20" s="34">
        <v>2</v>
      </c>
      <c r="R20" s="15" t="s">
        <v>65</v>
      </c>
      <c r="S20" s="34">
        <v>1</v>
      </c>
      <c r="T20" s="15" t="s">
        <v>65</v>
      </c>
      <c r="U20" s="9"/>
      <c r="V20" s="96"/>
      <c r="W20" s="122" t="s">
        <v>10</v>
      </c>
      <c r="X20" s="11"/>
      <c r="Y20" s="15" t="s">
        <v>65</v>
      </c>
      <c r="Z20" s="11"/>
      <c r="AA20" s="15" t="s">
        <v>65</v>
      </c>
      <c r="AB20" s="11"/>
      <c r="AC20" s="15" t="s">
        <v>65</v>
      </c>
      <c r="AD20" s="12"/>
      <c r="AE20" s="15" t="s">
        <v>65</v>
      </c>
      <c r="AF20" s="12"/>
      <c r="AG20" s="15" t="s">
        <v>65</v>
      </c>
      <c r="AH20" s="12"/>
      <c r="AI20" s="15" t="s">
        <v>65</v>
      </c>
      <c r="AJ20" s="12"/>
      <c r="AK20" s="15" t="s">
        <v>65</v>
      </c>
      <c r="AL20" s="18"/>
      <c r="AM20" s="15" t="s">
        <v>65</v>
      </c>
      <c r="AN20" s="18"/>
      <c r="AO20" s="15" t="s">
        <v>65</v>
      </c>
    </row>
    <row r="21" spans="1:41" x14ac:dyDescent="0.25">
      <c r="A21" s="96"/>
      <c r="B21" s="122"/>
      <c r="C21" s="13"/>
      <c r="D21" s="16" t="s">
        <v>66</v>
      </c>
      <c r="E21" s="13">
        <v>2</v>
      </c>
      <c r="F21" s="16" t="s">
        <v>66</v>
      </c>
      <c r="G21" s="13">
        <v>2</v>
      </c>
      <c r="H21" s="16" t="s">
        <v>66</v>
      </c>
      <c r="I21" s="14">
        <v>2</v>
      </c>
      <c r="J21" s="16" t="s">
        <v>66</v>
      </c>
      <c r="K21" s="14">
        <v>1</v>
      </c>
      <c r="L21" s="16" t="s">
        <v>66</v>
      </c>
      <c r="M21" s="14">
        <v>2</v>
      </c>
      <c r="N21" s="16" t="s">
        <v>66</v>
      </c>
      <c r="O21" s="14">
        <v>2</v>
      </c>
      <c r="P21" s="16" t="s">
        <v>66</v>
      </c>
      <c r="Q21" s="35">
        <v>2</v>
      </c>
      <c r="R21" s="16" t="s">
        <v>66</v>
      </c>
      <c r="S21" s="35">
        <v>3</v>
      </c>
      <c r="T21" s="16" t="s">
        <v>66</v>
      </c>
      <c r="U21" s="9"/>
      <c r="V21" s="96"/>
      <c r="W21" s="122"/>
      <c r="X21" s="13"/>
      <c r="Y21" s="16" t="s">
        <v>66</v>
      </c>
      <c r="Z21" s="13"/>
      <c r="AA21" s="16" t="s">
        <v>66</v>
      </c>
      <c r="AB21" s="13"/>
      <c r="AC21" s="16" t="s">
        <v>66</v>
      </c>
      <c r="AD21" s="14"/>
      <c r="AE21" s="16" t="s">
        <v>66</v>
      </c>
      <c r="AF21" s="14"/>
      <c r="AG21" s="16" t="s">
        <v>66</v>
      </c>
      <c r="AH21" s="14"/>
      <c r="AI21" s="16" t="s">
        <v>66</v>
      </c>
      <c r="AJ21" s="14"/>
      <c r="AK21" s="16" t="s">
        <v>66</v>
      </c>
      <c r="AL21" s="19"/>
      <c r="AM21" s="16" t="s">
        <v>66</v>
      </c>
      <c r="AN21" s="19"/>
      <c r="AO21" s="16" t="s">
        <v>66</v>
      </c>
    </row>
    <row r="22" spans="1:41" x14ac:dyDescent="0.25">
      <c r="A22" s="96"/>
      <c r="B22" s="122" t="s">
        <v>36</v>
      </c>
      <c r="C22" s="11"/>
      <c r="D22" s="15" t="s">
        <v>65</v>
      </c>
      <c r="E22" s="11">
        <v>2</v>
      </c>
      <c r="F22" s="15" t="s">
        <v>65</v>
      </c>
      <c r="G22" s="11">
        <v>2</v>
      </c>
      <c r="H22" s="15" t="s">
        <v>65</v>
      </c>
      <c r="I22" s="12">
        <v>2</v>
      </c>
      <c r="J22" s="15" t="s">
        <v>65</v>
      </c>
      <c r="K22" s="12">
        <v>2</v>
      </c>
      <c r="L22" s="15" t="s">
        <v>65</v>
      </c>
      <c r="M22" s="12">
        <v>3</v>
      </c>
      <c r="N22" s="15" t="s">
        <v>65</v>
      </c>
      <c r="O22" s="12">
        <v>4</v>
      </c>
      <c r="P22" s="15" t="s">
        <v>65</v>
      </c>
      <c r="Q22" s="34">
        <v>3</v>
      </c>
      <c r="R22" s="15" t="s">
        <v>65</v>
      </c>
      <c r="S22" s="34">
        <v>3</v>
      </c>
      <c r="T22" s="15" t="s">
        <v>65</v>
      </c>
      <c r="U22" s="9"/>
      <c r="V22" s="96"/>
      <c r="W22" s="122" t="s">
        <v>11</v>
      </c>
      <c r="X22" s="11"/>
      <c r="Y22" s="15" t="s">
        <v>65</v>
      </c>
      <c r="Z22" s="11"/>
      <c r="AA22" s="15" t="s">
        <v>65</v>
      </c>
      <c r="AB22" s="11"/>
      <c r="AC22" s="15" t="s">
        <v>65</v>
      </c>
      <c r="AD22" s="12"/>
      <c r="AE22" s="15" t="s">
        <v>65</v>
      </c>
      <c r="AF22" s="12"/>
      <c r="AG22" s="15" t="s">
        <v>65</v>
      </c>
      <c r="AH22" s="12"/>
      <c r="AI22" s="15" t="s">
        <v>65</v>
      </c>
      <c r="AJ22" s="12"/>
      <c r="AK22" s="15" t="s">
        <v>65</v>
      </c>
      <c r="AL22" s="18"/>
      <c r="AM22" s="15" t="s">
        <v>65</v>
      </c>
      <c r="AN22" s="18"/>
      <c r="AO22" s="15" t="s">
        <v>65</v>
      </c>
    </row>
    <row r="23" spans="1:41" x14ac:dyDescent="0.25">
      <c r="A23" s="96"/>
      <c r="B23" s="122"/>
      <c r="C23" s="13"/>
      <c r="D23" s="16" t="s">
        <v>66</v>
      </c>
      <c r="E23" s="13">
        <v>2</v>
      </c>
      <c r="F23" s="16" t="s">
        <v>66</v>
      </c>
      <c r="G23" s="13">
        <v>3</v>
      </c>
      <c r="H23" s="16" t="s">
        <v>66</v>
      </c>
      <c r="I23" s="14">
        <v>2</v>
      </c>
      <c r="J23" s="16" t="s">
        <v>66</v>
      </c>
      <c r="K23" s="14">
        <v>3</v>
      </c>
      <c r="L23" s="16" t="s">
        <v>66</v>
      </c>
      <c r="M23" s="14">
        <v>1</v>
      </c>
      <c r="N23" s="16" t="s">
        <v>66</v>
      </c>
      <c r="O23" s="14"/>
      <c r="P23" s="16" t="s">
        <v>66</v>
      </c>
      <c r="Q23" s="35">
        <v>3</v>
      </c>
      <c r="R23" s="16" t="s">
        <v>66</v>
      </c>
      <c r="S23" s="35">
        <v>1</v>
      </c>
      <c r="T23" s="16" t="s">
        <v>66</v>
      </c>
      <c r="U23" s="9"/>
      <c r="V23" s="96"/>
      <c r="W23" s="122"/>
      <c r="X23" s="13"/>
      <c r="Y23" s="16" t="s">
        <v>66</v>
      </c>
      <c r="Z23" s="13"/>
      <c r="AA23" s="16" t="s">
        <v>66</v>
      </c>
      <c r="AB23" s="13"/>
      <c r="AC23" s="16" t="s">
        <v>66</v>
      </c>
      <c r="AD23" s="14"/>
      <c r="AE23" s="16" t="s">
        <v>66</v>
      </c>
      <c r="AF23" s="14"/>
      <c r="AG23" s="16" t="s">
        <v>66</v>
      </c>
      <c r="AH23" s="14"/>
      <c r="AI23" s="16" t="s">
        <v>66</v>
      </c>
      <c r="AJ23" s="14"/>
      <c r="AK23" s="16" t="s">
        <v>66</v>
      </c>
      <c r="AL23" s="19"/>
      <c r="AM23" s="16" t="s">
        <v>66</v>
      </c>
      <c r="AN23" s="19"/>
      <c r="AO23" s="16" t="s">
        <v>66</v>
      </c>
    </row>
    <row r="24" spans="1:41" x14ac:dyDescent="0.25">
      <c r="A24" s="96"/>
      <c r="B24" s="122" t="s">
        <v>37</v>
      </c>
      <c r="C24" s="11"/>
      <c r="D24" s="15" t="s">
        <v>65</v>
      </c>
      <c r="E24" s="11">
        <v>2</v>
      </c>
      <c r="F24" s="15" t="s">
        <v>65</v>
      </c>
      <c r="G24" s="11">
        <v>3</v>
      </c>
      <c r="H24" s="15" t="s">
        <v>65</v>
      </c>
      <c r="I24" s="12">
        <v>2</v>
      </c>
      <c r="J24" s="15" t="s">
        <v>65</v>
      </c>
      <c r="K24" s="12">
        <v>1</v>
      </c>
      <c r="L24" s="15" t="s">
        <v>65</v>
      </c>
      <c r="M24" s="12">
        <v>1</v>
      </c>
      <c r="N24" s="15" t="s">
        <v>65</v>
      </c>
      <c r="O24" s="12">
        <v>1</v>
      </c>
      <c r="P24" s="15" t="s">
        <v>65</v>
      </c>
      <c r="Q24" s="34">
        <v>3</v>
      </c>
      <c r="R24" s="15" t="s">
        <v>65</v>
      </c>
      <c r="S24" s="34">
        <v>2</v>
      </c>
      <c r="T24" s="15" t="s">
        <v>65</v>
      </c>
      <c r="U24" s="9"/>
      <c r="V24" s="96"/>
      <c r="W24" s="122" t="s">
        <v>25</v>
      </c>
      <c r="X24" s="11"/>
      <c r="Y24" s="15" t="s">
        <v>65</v>
      </c>
      <c r="Z24" s="11"/>
      <c r="AA24" s="15" t="s">
        <v>65</v>
      </c>
      <c r="AB24" s="11"/>
      <c r="AC24" s="15" t="s">
        <v>65</v>
      </c>
      <c r="AD24" s="12"/>
      <c r="AE24" s="15" t="s">
        <v>65</v>
      </c>
      <c r="AF24" s="12"/>
      <c r="AG24" s="15" t="s">
        <v>65</v>
      </c>
      <c r="AH24" s="12"/>
      <c r="AI24" s="15" t="s">
        <v>65</v>
      </c>
      <c r="AJ24" s="12"/>
      <c r="AK24" s="15" t="s">
        <v>65</v>
      </c>
      <c r="AL24" s="18"/>
      <c r="AM24" s="15" t="s">
        <v>65</v>
      </c>
      <c r="AN24" s="18"/>
      <c r="AO24" s="15" t="s">
        <v>65</v>
      </c>
    </row>
    <row r="25" spans="1:41" x14ac:dyDescent="0.25">
      <c r="A25" s="96"/>
      <c r="B25" s="122"/>
      <c r="C25" s="13"/>
      <c r="D25" s="16" t="s">
        <v>66</v>
      </c>
      <c r="E25" s="13">
        <v>2</v>
      </c>
      <c r="F25" s="16" t="s">
        <v>66</v>
      </c>
      <c r="G25" s="13">
        <v>2</v>
      </c>
      <c r="H25" s="16" t="s">
        <v>66</v>
      </c>
      <c r="I25" s="14">
        <v>3</v>
      </c>
      <c r="J25" s="16" t="s">
        <v>66</v>
      </c>
      <c r="K25" s="14">
        <v>2</v>
      </c>
      <c r="L25" s="16" t="s">
        <v>66</v>
      </c>
      <c r="M25" s="14">
        <v>3</v>
      </c>
      <c r="N25" s="16" t="s">
        <v>66</v>
      </c>
      <c r="O25" s="14">
        <v>2</v>
      </c>
      <c r="P25" s="16" t="s">
        <v>66</v>
      </c>
      <c r="Q25" s="35">
        <v>2</v>
      </c>
      <c r="R25" s="16" t="s">
        <v>66</v>
      </c>
      <c r="S25" s="35">
        <v>2</v>
      </c>
      <c r="T25" s="16" t="s">
        <v>66</v>
      </c>
      <c r="U25" s="9"/>
      <c r="V25" s="96"/>
      <c r="W25" s="122"/>
      <c r="X25" s="13"/>
      <c r="Y25" s="16" t="s">
        <v>66</v>
      </c>
      <c r="Z25" s="13"/>
      <c r="AA25" s="16" t="s">
        <v>66</v>
      </c>
      <c r="AB25" s="13"/>
      <c r="AC25" s="16" t="s">
        <v>66</v>
      </c>
      <c r="AD25" s="14"/>
      <c r="AE25" s="16" t="s">
        <v>66</v>
      </c>
      <c r="AF25" s="14"/>
      <c r="AG25" s="16" t="s">
        <v>66</v>
      </c>
      <c r="AH25" s="14"/>
      <c r="AI25" s="16" t="s">
        <v>66</v>
      </c>
      <c r="AJ25" s="14"/>
      <c r="AK25" s="16" t="s">
        <v>66</v>
      </c>
      <c r="AL25" s="19"/>
      <c r="AM25" s="16" t="s">
        <v>66</v>
      </c>
      <c r="AN25" s="19"/>
      <c r="AO25" s="16" t="s">
        <v>66</v>
      </c>
    </row>
    <row r="26" spans="1:41" x14ac:dyDescent="0.25">
      <c r="A26" s="96"/>
      <c r="B26" s="122" t="s">
        <v>54</v>
      </c>
      <c r="C26" s="11"/>
      <c r="D26" s="15" t="s">
        <v>65</v>
      </c>
      <c r="E26" s="11">
        <v>2</v>
      </c>
      <c r="F26" s="15" t="s">
        <v>65</v>
      </c>
      <c r="G26" s="11">
        <v>2</v>
      </c>
      <c r="H26" s="15" t="s">
        <v>65</v>
      </c>
      <c r="I26" s="12">
        <v>2</v>
      </c>
      <c r="J26" s="15" t="s">
        <v>65</v>
      </c>
      <c r="K26" s="12">
        <v>3</v>
      </c>
      <c r="L26" s="15" t="s">
        <v>65</v>
      </c>
      <c r="M26" s="12">
        <v>2</v>
      </c>
      <c r="N26" s="15" t="s">
        <v>65</v>
      </c>
      <c r="O26" s="12">
        <v>2</v>
      </c>
      <c r="P26" s="15" t="s">
        <v>65</v>
      </c>
      <c r="Q26" s="34">
        <v>2</v>
      </c>
      <c r="R26" s="15" t="s">
        <v>65</v>
      </c>
      <c r="S26" s="34">
        <v>1</v>
      </c>
      <c r="T26" s="15" t="s">
        <v>65</v>
      </c>
      <c r="U26" s="9"/>
      <c r="V26" s="96"/>
      <c r="W26" s="122" t="s">
        <v>26</v>
      </c>
      <c r="X26" s="11"/>
      <c r="Y26" s="15" t="s">
        <v>65</v>
      </c>
      <c r="Z26" s="11"/>
      <c r="AA26" s="15" t="s">
        <v>65</v>
      </c>
      <c r="AB26" s="11"/>
      <c r="AC26" s="15" t="s">
        <v>65</v>
      </c>
      <c r="AD26" s="12"/>
      <c r="AE26" s="15" t="s">
        <v>65</v>
      </c>
      <c r="AF26" s="12"/>
      <c r="AG26" s="15" t="s">
        <v>65</v>
      </c>
      <c r="AH26" s="12"/>
      <c r="AI26" s="15" t="s">
        <v>65</v>
      </c>
      <c r="AJ26" s="12"/>
      <c r="AK26" s="15" t="s">
        <v>65</v>
      </c>
      <c r="AL26" s="18"/>
      <c r="AM26" s="15" t="s">
        <v>65</v>
      </c>
      <c r="AN26" s="18"/>
      <c r="AO26" s="15" t="s">
        <v>65</v>
      </c>
    </row>
    <row r="27" spans="1:41" x14ac:dyDescent="0.25">
      <c r="A27" s="96"/>
      <c r="B27" s="122"/>
      <c r="C27" s="13"/>
      <c r="D27" s="16" t="s">
        <v>66</v>
      </c>
      <c r="E27" s="13">
        <v>2</v>
      </c>
      <c r="F27" s="16" t="s">
        <v>66</v>
      </c>
      <c r="G27" s="13">
        <v>2</v>
      </c>
      <c r="H27" s="16" t="s">
        <v>66</v>
      </c>
      <c r="I27" s="14">
        <v>2</v>
      </c>
      <c r="J27" s="16" t="s">
        <v>66</v>
      </c>
      <c r="K27" s="14">
        <v>2</v>
      </c>
      <c r="L27" s="16" t="s">
        <v>66</v>
      </c>
      <c r="M27" s="14">
        <v>2</v>
      </c>
      <c r="N27" s="16" t="s">
        <v>66</v>
      </c>
      <c r="O27" s="14"/>
      <c r="P27" s="16" t="s">
        <v>66</v>
      </c>
      <c r="Q27" s="35">
        <v>2</v>
      </c>
      <c r="R27" s="16" t="s">
        <v>66</v>
      </c>
      <c r="S27" s="35">
        <v>3</v>
      </c>
      <c r="T27" s="16" t="s">
        <v>66</v>
      </c>
      <c r="U27" s="9"/>
      <c r="V27" s="96"/>
      <c r="W27" s="122"/>
      <c r="X27" s="13"/>
      <c r="Y27" s="16" t="s">
        <v>66</v>
      </c>
      <c r="Z27" s="13"/>
      <c r="AA27" s="16" t="s">
        <v>66</v>
      </c>
      <c r="AB27" s="13"/>
      <c r="AC27" s="16" t="s">
        <v>66</v>
      </c>
      <c r="AD27" s="14"/>
      <c r="AE27" s="16" t="s">
        <v>66</v>
      </c>
      <c r="AF27" s="14"/>
      <c r="AG27" s="16" t="s">
        <v>66</v>
      </c>
      <c r="AH27" s="14"/>
      <c r="AI27" s="16" t="s">
        <v>66</v>
      </c>
      <c r="AJ27" s="14"/>
      <c r="AK27" s="16" t="s">
        <v>66</v>
      </c>
      <c r="AL27" s="19"/>
      <c r="AM27" s="16" t="s">
        <v>66</v>
      </c>
      <c r="AN27" s="19"/>
      <c r="AO27" s="16" t="s">
        <v>66</v>
      </c>
    </row>
    <row r="28" spans="1:41" x14ac:dyDescent="0.25">
      <c r="A28" s="96"/>
      <c r="B28" s="122" t="s">
        <v>55</v>
      </c>
      <c r="C28" s="11"/>
      <c r="D28" s="15" t="s">
        <v>65</v>
      </c>
      <c r="E28" s="11">
        <v>2</v>
      </c>
      <c r="F28" s="15" t="s">
        <v>65</v>
      </c>
      <c r="G28" s="34">
        <v>2</v>
      </c>
      <c r="H28" s="15" t="s">
        <v>65</v>
      </c>
      <c r="I28" s="34">
        <v>3</v>
      </c>
      <c r="J28" s="15" t="s">
        <v>65</v>
      </c>
      <c r="K28" s="34">
        <v>2</v>
      </c>
      <c r="L28" s="15" t="s">
        <v>65</v>
      </c>
      <c r="M28" s="34">
        <v>2</v>
      </c>
      <c r="N28" s="15" t="s">
        <v>65</v>
      </c>
      <c r="O28" s="34">
        <v>1</v>
      </c>
      <c r="P28" s="15" t="s">
        <v>65</v>
      </c>
      <c r="Q28" s="34">
        <v>2</v>
      </c>
      <c r="R28" s="15" t="s">
        <v>65</v>
      </c>
      <c r="S28" s="34">
        <v>4</v>
      </c>
      <c r="T28" s="15" t="s">
        <v>65</v>
      </c>
      <c r="U28" s="9"/>
      <c r="V28" s="96"/>
      <c r="W28" s="122" t="s">
        <v>12</v>
      </c>
      <c r="X28" s="11"/>
      <c r="Y28" s="15" t="s">
        <v>65</v>
      </c>
      <c r="Z28" s="11"/>
      <c r="AA28" s="15" t="s">
        <v>65</v>
      </c>
      <c r="AB28" s="11"/>
      <c r="AC28" s="15" t="s">
        <v>65</v>
      </c>
      <c r="AD28" s="12"/>
      <c r="AE28" s="15" t="s">
        <v>65</v>
      </c>
      <c r="AF28" s="12"/>
      <c r="AG28" s="15" t="s">
        <v>65</v>
      </c>
      <c r="AH28" s="12"/>
      <c r="AI28" s="15" t="s">
        <v>65</v>
      </c>
      <c r="AJ28" s="12"/>
      <c r="AK28" s="15" t="s">
        <v>65</v>
      </c>
      <c r="AL28" s="18"/>
      <c r="AM28" s="15" t="s">
        <v>65</v>
      </c>
      <c r="AN28" s="18"/>
      <c r="AO28" s="15" t="s">
        <v>65</v>
      </c>
    </row>
    <row r="29" spans="1:41" x14ac:dyDescent="0.25">
      <c r="A29" s="96"/>
      <c r="B29" s="122"/>
      <c r="C29" s="13"/>
      <c r="D29" s="16" t="s">
        <v>66</v>
      </c>
      <c r="E29" s="13">
        <v>2</v>
      </c>
      <c r="F29" s="16" t="s">
        <v>66</v>
      </c>
      <c r="G29" s="35">
        <v>2</v>
      </c>
      <c r="H29" s="16" t="s">
        <v>66</v>
      </c>
      <c r="I29" s="35">
        <v>2</v>
      </c>
      <c r="J29" s="16" t="s">
        <v>66</v>
      </c>
      <c r="K29" s="35">
        <v>3</v>
      </c>
      <c r="L29" s="16" t="s">
        <v>66</v>
      </c>
      <c r="M29" s="35">
        <v>2</v>
      </c>
      <c r="N29" s="16" t="s">
        <v>66</v>
      </c>
      <c r="O29" s="35">
        <v>3</v>
      </c>
      <c r="P29" s="16" t="s">
        <v>66</v>
      </c>
      <c r="Q29" s="35">
        <v>2</v>
      </c>
      <c r="R29" s="16" t="s">
        <v>66</v>
      </c>
      <c r="S29" s="35">
        <v>2</v>
      </c>
      <c r="T29" s="16" t="s">
        <v>66</v>
      </c>
      <c r="U29" s="9"/>
      <c r="V29" s="96"/>
      <c r="W29" s="122"/>
      <c r="X29" s="20"/>
      <c r="Y29" s="17" t="s">
        <v>66</v>
      </c>
      <c r="Z29" s="20"/>
      <c r="AA29" s="17" t="s">
        <v>66</v>
      </c>
      <c r="AB29" s="20"/>
      <c r="AC29" s="17" t="s">
        <v>66</v>
      </c>
      <c r="AD29" s="21"/>
      <c r="AE29" s="17" t="s">
        <v>66</v>
      </c>
      <c r="AF29" s="21"/>
      <c r="AG29" s="17" t="s">
        <v>66</v>
      </c>
      <c r="AH29" s="21"/>
      <c r="AI29" s="17" t="s">
        <v>66</v>
      </c>
      <c r="AJ29" s="21"/>
      <c r="AK29" s="17" t="s">
        <v>66</v>
      </c>
      <c r="AL29" s="22"/>
      <c r="AM29" s="17" t="s">
        <v>66</v>
      </c>
      <c r="AN29" s="22"/>
      <c r="AO29" s="17" t="s">
        <v>66</v>
      </c>
    </row>
    <row r="30" spans="1:41" x14ac:dyDescent="0.25">
      <c r="A30" s="96"/>
      <c r="B30" s="122" t="s">
        <v>38</v>
      </c>
      <c r="C30" s="11"/>
      <c r="D30" s="15" t="s">
        <v>65</v>
      </c>
      <c r="E30" s="11">
        <v>2</v>
      </c>
      <c r="F30" s="15" t="s">
        <v>65</v>
      </c>
      <c r="G30" s="34">
        <v>2</v>
      </c>
      <c r="H30" s="15" t="s">
        <v>65</v>
      </c>
      <c r="I30" s="34">
        <v>2</v>
      </c>
      <c r="J30" s="15" t="s">
        <v>65</v>
      </c>
      <c r="K30" s="34">
        <v>2</v>
      </c>
      <c r="L30" s="15" t="s">
        <v>65</v>
      </c>
      <c r="M30" s="34">
        <v>2</v>
      </c>
      <c r="N30" s="15" t="s">
        <v>65</v>
      </c>
      <c r="O30" s="34">
        <v>2</v>
      </c>
      <c r="P30" s="15" t="s">
        <v>65</v>
      </c>
      <c r="Q30" s="34">
        <v>2</v>
      </c>
      <c r="R30" s="15" t="s">
        <v>65</v>
      </c>
      <c r="S30" s="34">
        <v>1</v>
      </c>
      <c r="T30" s="15" t="s">
        <v>65</v>
      </c>
      <c r="U30" s="9"/>
      <c r="V30" s="96"/>
      <c r="W30" s="9"/>
      <c r="X30" s="9"/>
      <c r="Y30" s="9"/>
      <c r="Z30" s="9"/>
      <c r="AA30" s="9"/>
      <c r="AB30" s="9"/>
      <c r="AC30" s="9"/>
      <c r="AD30" s="9"/>
      <c r="AE30" s="9"/>
      <c r="AF30" s="9"/>
      <c r="AG30" s="9"/>
      <c r="AH30" s="9"/>
      <c r="AI30" s="9"/>
      <c r="AJ30" s="9"/>
      <c r="AK30" s="9"/>
      <c r="AL30" s="9"/>
      <c r="AM30" s="9"/>
      <c r="AN30" s="9"/>
      <c r="AO30" s="9"/>
    </row>
    <row r="31" spans="1:41" x14ac:dyDescent="0.25">
      <c r="A31" s="10"/>
      <c r="B31" s="122"/>
      <c r="C31" s="20"/>
      <c r="D31" s="17" t="s">
        <v>66</v>
      </c>
      <c r="E31" s="20">
        <v>2</v>
      </c>
      <c r="F31" s="17" t="s">
        <v>66</v>
      </c>
      <c r="G31" s="35">
        <v>2</v>
      </c>
      <c r="H31" s="17" t="s">
        <v>66</v>
      </c>
      <c r="I31" s="35">
        <v>3</v>
      </c>
      <c r="J31" s="17" t="s">
        <v>66</v>
      </c>
      <c r="K31" s="35">
        <v>2</v>
      </c>
      <c r="L31" s="17" t="s">
        <v>66</v>
      </c>
      <c r="M31" s="35">
        <v>2</v>
      </c>
      <c r="N31" s="17" t="s">
        <v>66</v>
      </c>
      <c r="O31" s="35">
        <v>3</v>
      </c>
      <c r="P31" s="17" t="s">
        <v>66</v>
      </c>
      <c r="Q31" s="35">
        <v>3</v>
      </c>
      <c r="R31" s="17" t="s">
        <v>66</v>
      </c>
      <c r="S31" s="35">
        <v>1</v>
      </c>
      <c r="T31" s="17" t="s">
        <v>66</v>
      </c>
      <c r="U31" s="9"/>
      <c r="V31" s="10"/>
      <c r="W31" s="9"/>
      <c r="X31" s="9"/>
      <c r="Y31" s="9"/>
      <c r="Z31" s="9"/>
      <c r="AA31" s="9"/>
      <c r="AB31" s="9"/>
      <c r="AC31" s="9"/>
      <c r="AD31" s="9"/>
      <c r="AE31" s="9"/>
      <c r="AF31" s="9"/>
      <c r="AG31" s="9"/>
      <c r="AH31" s="9"/>
      <c r="AI31" s="9"/>
      <c r="AJ31" s="9"/>
      <c r="AK31" s="9"/>
      <c r="AL31" s="9"/>
      <c r="AM31" s="9"/>
      <c r="AN31" s="9"/>
      <c r="AO31" s="9"/>
    </row>
    <row r="32" spans="1:41" x14ac:dyDescent="0.25">
      <c r="A32" s="9"/>
      <c r="B32" s="9"/>
      <c r="C32" s="9"/>
      <c r="D32" s="9"/>
      <c r="E32" s="9"/>
      <c r="F32" s="9"/>
      <c r="G32" s="9"/>
      <c r="H32" s="9"/>
      <c r="I32" s="9"/>
      <c r="J32" s="9"/>
      <c r="K32" s="9"/>
      <c r="L32" s="9"/>
      <c r="M32" s="9"/>
      <c r="N32" s="9"/>
      <c r="O32" s="9"/>
      <c r="P32" s="9"/>
      <c r="Q32" s="9"/>
      <c r="R32" s="9"/>
      <c r="S32" s="9"/>
      <c r="T32" s="9"/>
      <c r="U32" s="9"/>
      <c r="V32" s="9"/>
      <c r="W32" s="9"/>
      <c r="X32" s="9"/>
      <c r="Y32" s="9"/>
      <c r="Z32" s="9"/>
      <c r="AA32" s="9"/>
      <c r="AB32" s="9"/>
      <c r="AC32" s="9"/>
      <c r="AD32" s="9"/>
      <c r="AE32" s="9"/>
      <c r="AF32" s="9"/>
      <c r="AG32" s="9"/>
      <c r="AH32" s="9"/>
      <c r="AI32" s="9"/>
      <c r="AJ32" s="9"/>
      <c r="AK32" s="9"/>
      <c r="AL32" s="9"/>
      <c r="AM32" s="9"/>
      <c r="AN32" s="9"/>
      <c r="AO32" s="9"/>
    </row>
    <row r="33" spans="1:41" x14ac:dyDescent="0.25">
      <c r="A33" s="9"/>
      <c r="B33" s="9"/>
      <c r="C33" s="9"/>
      <c r="D33" s="9"/>
      <c r="E33" s="9"/>
      <c r="F33" s="9"/>
      <c r="G33" s="9"/>
      <c r="H33" s="9"/>
      <c r="I33" s="9"/>
      <c r="J33" s="9"/>
      <c r="K33" s="9"/>
      <c r="L33" s="9"/>
      <c r="M33" s="9"/>
      <c r="N33" s="9"/>
      <c r="O33" s="9"/>
      <c r="P33" s="9"/>
      <c r="Q33" s="9"/>
      <c r="R33" s="9"/>
      <c r="S33" s="9"/>
      <c r="T33" s="9"/>
      <c r="U33" s="9"/>
      <c r="V33" s="9"/>
      <c r="W33" s="9"/>
      <c r="X33" s="9"/>
      <c r="Y33" s="9"/>
      <c r="Z33" s="9"/>
      <c r="AA33" s="9"/>
      <c r="AB33" s="9"/>
      <c r="AC33" s="9"/>
      <c r="AD33" s="9"/>
      <c r="AE33" s="9"/>
      <c r="AF33" s="9"/>
      <c r="AG33" s="9"/>
      <c r="AH33" s="9"/>
      <c r="AI33" s="9"/>
      <c r="AJ33" s="9"/>
      <c r="AK33" s="9"/>
      <c r="AL33" s="9"/>
      <c r="AM33" s="9"/>
      <c r="AN33" s="9"/>
      <c r="AO33" s="9"/>
    </row>
    <row r="34" spans="1:41" x14ac:dyDescent="0.25">
      <c r="A34" s="9"/>
      <c r="B34" s="9"/>
      <c r="C34" s="9"/>
      <c r="D34" s="9"/>
      <c r="E34" s="9"/>
      <c r="F34" s="9"/>
      <c r="G34" s="9"/>
      <c r="H34" s="9"/>
      <c r="I34" s="9"/>
      <c r="J34" s="9"/>
      <c r="K34" s="9"/>
      <c r="L34" s="9"/>
      <c r="M34" s="9"/>
      <c r="N34" s="9"/>
      <c r="O34" s="9"/>
      <c r="P34" s="9"/>
      <c r="Q34" s="9"/>
      <c r="R34" s="9"/>
      <c r="S34" s="9"/>
      <c r="T34" s="9"/>
      <c r="U34" s="9"/>
      <c r="V34" s="9"/>
      <c r="W34" s="9"/>
      <c r="X34" s="9"/>
      <c r="Y34" s="9"/>
      <c r="Z34" s="9"/>
      <c r="AA34" s="9"/>
      <c r="AB34" s="9"/>
      <c r="AC34" s="9"/>
      <c r="AD34" s="9"/>
      <c r="AE34" s="9"/>
      <c r="AF34" s="9"/>
      <c r="AG34" s="9"/>
      <c r="AH34" s="9"/>
      <c r="AI34" s="9"/>
      <c r="AJ34" s="9"/>
      <c r="AK34" s="9"/>
      <c r="AL34" s="9"/>
      <c r="AM34" s="9"/>
      <c r="AN34" s="9"/>
      <c r="AO34" s="9"/>
    </row>
    <row r="35" spans="1:41" x14ac:dyDescent="0.25">
      <c r="A35" s="9"/>
      <c r="B35" s="9"/>
      <c r="C35" s="9"/>
      <c r="D35" s="9"/>
      <c r="E35" s="9"/>
      <c r="F35" s="9"/>
      <c r="G35" s="9"/>
      <c r="H35" s="9"/>
      <c r="I35" s="9"/>
      <c r="J35" s="9"/>
      <c r="K35" s="9"/>
      <c r="L35" s="9"/>
      <c r="M35" s="9"/>
      <c r="N35" s="9"/>
      <c r="O35" s="9"/>
      <c r="P35" s="9"/>
      <c r="Q35" s="9"/>
      <c r="R35" s="9"/>
      <c r="S35" s="9"/>
      <c r="T35" s="9"/>
      <c r="U35" s="9"/>
      <c r="V35" s="9"/>
      <c r="W35" s="9"/>
      <c r="X35" s="9"/>
      <c r="Y35" s="9"/>
      <c r="Z35" s="9"/>
      <c r="AA35" s="9"/>
      <c r="AB35" s="9"/>
      <c r="AC35" s="9"/>
      <c r="AD35" s="9"/>
      <c r="AE35" s="9"/>
      <c r="AF35" s="9"/>
      <c r="AG35" s="9"/>
      <c r="AH35" s="9"/>
      <c r="AI35" s="9"/>
      <c r="AJ35" s="9"/>
      <c r="AK35" s="9"/>
      <c r="AL35" s="9"/>
      <c r="AM35" s="9"/>
      <c r="AN35" s="9"/>
      <c r="AO35" s="9"/>
    </row>
    <row r="36" spans="1:41" ht="23.25" x14ac:dyDescent="0.25">
      <c r="A36" s="4"/>
      <c r="B36" s="4"/>
      <c r="C36" s="95" t="s">
        <v>82</v>
      </c>
      <c r="D36" s="95"/>
      <c r="E36" s="95"/>
      <c r="F36" s="95"/>
      <c r="G36" s="95"/>
      <c r="H36" s="95"/>
      <c r="I36" s="95"/>
      <c r="J36" s="95"/>
      <c r="K36" s="95"/>
      <c r="L36" s="95"/>
      <c r="M36" s="95"/>
      <c r="N36" s="95"/>
      <c r="O36" s="95"/>
      <c r="P36" s="95"/>
      <c r="Q36" s="95"/>
      <c r="R36" s="95"/>
      <c r="S36" s="95"/>
      <c r="T36" s="95"/>
      <c r="U36" s="95"/>
      <c r="V36" s="95"/>
      <c r="W36" s="95"/>
      <c r="X36" s="95"/>
      <c r="Y36" s="95"/>
      <c r="Z36" s="95"/>
      <c r="AA36" s="95"/>
      <c r="AB36" s="95"/>
      <c r="AC36" s="95"/>
      <c r="AD36" s="95"/>
      <c r="AE36" s="95"/>
      <c r="AF36" s="95"/>
      <c r="AG36" s="9"/>
      <c r="AH36" s="9"/>
      <c r="AI36" s="9"/>
      <c r="AJ36" s="9"/>
      <c r="AK36" s="9"/>
      <c r="AL36" s="9"/>
      <c r="AM36" s="9"/>
      <c r="AN36" s="9"/>
      <c r="AO36" s="9"/>
    </row>
    <row r="37" spans="1:41" ht="18.75" x14ac:dyDescent="0.3">
      <c r="A37" s="4"/>
      <c r="B37" s="127" t="s">
        <v>82</v>
      </c>
      <c r="C37" s="127"/>
      <c r="D37" s="127"/>
      <c r="E37" s="127"/>
      <c r="F37" s="127"/>
      <c r="G37" s="127"/>
      <c r="H37" s="127"/>
      <c r="I37" s="127"/>
      <c r="J37" s="127"/>
      <c r="K37" s="127"/>
      <c r="L37" s="127"/>
      <c r="M37" s="127"/>
      <c r="N37" s="127"/>
      <c r="O37" s="127"/>
      <c r="P37" s="127"/>
      <c r="Q37" s="127"/>
      <c r="R37" s="127"/>
      <c r="S37" s="127"/>
      <c r="T37" s="127"/>
      <c r="U37" s="4"/>
      <c r="V37" s="4"/>
      <c r="W37" s="4"/>
      <c r="X37" s="4"/>
      <c r="Y37" s="4"/>
      <c r="Z37" s="4"/>
      <c r="AA37" s="4"/>
      <c r="AB37" s="4"/>
      <c r="AC37" s="4"/>
      <c r="AD37" s="4"/>
      <c r="AE37" s="4"/>
      <c r="AF37" s="4"/>
      <c r="AG37" s="9"/>
      <c r="AH37" s="9"/>
      <c r="AI37" s="9"/>
      <c r="AJ37" s="9"/>
      <c r="AK37" s="9"/>
      <c r="AL37" s="9"/>
      <c r="AM37" s="9"/>
      <c r="AN37" s="9"/>
      <c r="AO37" s="9"/>
    </row>
    <row r="38" spans="1:41" ht="36" x14ac:dyDescent="0.25">
      <c r="A38" s="4"/>
      <c r="B38" s="5"/>
      <c r="C38" s="97" t="s">
        <v>58</v>
      </c>
      <c r="D38" s="97"/>
      <c r="E38" s="97"/>
      <c r="F38" s="97"/>
      <c r="G38" s="97"/>
      <c r="H38" s="97"/>
      <c r="I38" s="97"/>
      <c r="J38" s="97"/>
      <c r="K38" s="97"/>
      <c r="L38" s="97"/>
      <c r="M38" s="97"/>
      <c r="N38" s="97"/>
      <c r="O38" s="97"/>
      <c r="P38" s="97"/>
      <c r="Q38" s="97"/>
      <c r="R38" s="97"/>
      <c r="S38" s="97"/>
      <c r="T38" s="97"/>
      <c r="V38" s="4"/>
      <c r="W38" s="5"/>
      <c r="X38" s="97" t="s">
        <v>58</v>
      </c>
      <c r="Y38" s="97"/>
      <c r="Z38" s="97"/>
      <c r="AA38" s="97"/>
      <c r="AB38" s="97"/>
      <c r="AC38" s="97"/>
      <c r="AD38" s="97"/>
      <c r="AE38" s="97"/>
      <c r="AF38" s="97"/>
      <c r="AG38" s="97"/>
      <c r="AH38" s="97"/>
      <c r="AI38" s="97"/>
      <c r="AJ38" s="97"/>
      <c r="AK38" s="97"/>
      <c r="AL38" s="97"/>
      <c r="AM38" s="97"/>
      <c r="AN38" s="97"/>
      <c r="AO38" s="97"/>
    </row>
    <row r="39" spans="1:41" ht="15.75" x14ac:dyDescent="0.25">
      <c r="A39" s="4"/>
      <c r="B39" s="5"/>
      <c r="C39" s="98"/>
      <c r="D39" s="98"/>
      <c r="E39" s="98"/>
      <c r="F39" s="98"/>
      <c r="G39" s="98"/>
      <c r="H39" s="98"/>
      <c r="I39" s="98"/>
      <c r="J39" s="98"/>
      <c r="K39" s="98"/>
      <c r="L39" s="98"/>
      <c r="M39" s="98"/>
      <c r="N39" s="98"/>
      <c r="O39" s="98"/>
      <c r="P39" s="98"/>
      <c r="Q39" s="98"/>
      <c r="R39" s="98"/>
      <c r="S39" s="98"/>
      <c r="T39" s="98"/>
      <c r="U39" s="9"/>
      <c r="V39" s="4"/>
      <c r="W39" s="5"/>
      <c r="X39" s="98"/>
      <c r="Y39" s="98"/>
      <c r="Z39" s="98"/>
      <c r="AA39" s="98"/>
      <c r="AB39" s="98"/>
      <c r="AC39" s="98"/>
      <c r="AD39" s="98"/>
      <c r="AE39" s="98"/>
      <c r="AF39" s="98"/>
      <c r="AG39" s="98"/>
      <c r="AH39" s="98"/>
      <c r="AI39" s="98"/>
      <c r="AJ39" s="98"/>
      <c r="AK39" s="98"/>
      <c r="AL39" s="98"/>
      <c r="AM39" s="98"/>
      <c r="AN39" s="98"/>
      <c r="AO39" s="98"/>
    </row>
    <row r="40" spans="1:41" ht="15.75" x14ac:dyDescent="0.25">
      <c r="A40" s="6" t="s">
        <v>51</v>
      </c>
      <c r="B40" s="28"/>
      <c r="C40" s="122" t="s">
        <v>59</v>
      </c>
      <c r="D40" s="122"/>
      <c r="E40" s="122" t="s">
        <v>60</v>
      </c>
      <c r="F40" s="122"/>
      <c r="G40" s="122" t="s">
        <v>61</v>
      </c>
      <c r="H40" s="122"/>
      <c r="I40" s="122" t="s">
        <v>62</v>
      </c>
      <c r="J40" s="122"/>
      <c r="K40" s="122" t="s">
        <v>63</v>
      </c>
      <c r="L40" s="122"/>
      <c r="M40" s="122" t="s">
        <v>64</v>
      </c>
      <c r="N40" s="122"/>
      <c r="O40" s="122" t="s">
        <v>67</v>
      </c>
      <c r="P40" s="122"/>
      <c r="Q40" s="122" t="s">
        <v>68</v>
      </c>
      <c r="R40" s="122"/>
      <c r="S40" s="122" t="s">
        <v>69</v>
      </c>
      <c r="T40" s="122"/>
      <c r="U40" s="9"/>
      <c r="V40" s="6" t="s">
        <v>52</v>
      </c>
      <c r="W40" s="28"/>
      <c r="X40" s="122" t="s">
        <v>59</v>
      </c>
      <c r="Y40" s="122"/>
      <c r="Z40" s="122" t="s">
        <v>60</v>
      </c>
      <c r="AA40" s="122"/>
      <c r="AB40" s="122" t="s">
        <v>61</v>
      </c>
      <c r="AC40" s="122"/>
      <c r="AD40" s="122" t="s">
        <v>62</v>
      </c>
      <c r="AE40" s="122"/>
      <c r="AF40" s="122" t="s">
        <v>63</v>
      </c>
      <c r="AG40" s="122"/>
      <c r="AH40" s="122" t="s">
        <v>64</v>
      </c>
      <c r="AI40" s="122"/>
      <c r="AJ40" s="123" t="s">
        <v>54</v>
      </c>
      <c r="AK40" s="124"/>
      <c r="AL40" s="122" t="s">
        <v>55</v>
      </c>
      <c r="AM40" s="122"/>
      <c r="AN40" s="122" t="s">
        <v>38</v>
      </c>
      <c r="AO40" s="122"/>
    </row>
    <row r="41" spans="1:41" ht="15" customHeight="1" x14ac:dyDescent="0.25">
      <c r="A41" s="96" t="s">
        <v>0</v>
      </c>
      <c r="B41" s="122" t="s">
        <v>2</v>
      </c>
      <c r="C41" s="125"/>
      <c r="D41" s="15" t="s">
        <v>65</v>
      </c>
      <c r="E41" s="120" t="str">
        <f>IF(QUOTIENT(E6+E7,2)&lt;2,2-QUOTIENT(E6+E7,2),"")</f>
        <v/>
      </c>
      <c r="F41" s="15" t="s">
        <v>65</v>
      </c>
      <c r="G41" s="120" t="str">
        <f>IF(QUOTIENT(G6+G7,2)&lt;2,2-QUOTIENT(G6+G7,2),"")</f>
        <v/>
      </c>
      <c r="H41" s="15" t="s">
        <v>65</v>
      </c>
      <c r="I41" s="120" t="str">
        <f>IF(QUOTIENT(I6+I7,2)&lt;2,2-QUOTIENT(I6+I7,2),"")</f>
        <v/>
      </c>
      <c r="J41" s="15" t="s">
        <v>65</v>
      </c>
      <c r="K41" s="120" t="str">
        <f>IF(QUOTIENT(K6+K7,2)&lt;2,2-QUOTIENT(K6+K7,2),"")</f>
        <v/>
      </c>
      <c r="L41" s="15" t="s">
        <v>65</v>
      </c>
      <c r="M41" s="120">
        <f>IF(QUOTIENT(M6+M7,2)&lt;2,2-QUOTIENT(M6+M7,2),"")</f>
        <v>1</v>
      </c>
      <c r="N41" s="15" t="s">
        <v>65</v>
      </c>
      <c r="O41" s="120" t="str">
        <f>IF(QUOTIENT(O6+O7,2)&lt;2,2-QUOTIENT(O6+O7,2),"")</f>
        <v/>
      </c>
      <c r="P41" s="15" t="s">
        <v>65</v>
      </c>
      <c r="Q41" s="120" t="str">
        <f>IF(QUOTIENT(Q6+Q7,2)&lt;2,2-QUOTIENT(Q6+Q7,2),"")</f>
        <v/>
      </c>
      <c r="R41" s="15" t="s">
        <v>65</v>
      </c>
      <c r="S41" s="120" t="str">
        <f>IF(QUOTIENT(S6+S7,2)&lt;2,2-QUOTIENT(S6+S7,2),"")</f>
        <v/>
      </c>
      <c r="T41" s="15" t="s">
        <v>65</v>
      </c>
      <c r="U41" s="9"/>
      <c r="V41" s="96" t="s">
        <v>0</v>
      </c>
      <c r="W41" s="122" t="s">
        <v>3</v>
      </c>
      <c r="X41" s="125"/>
      <c r="Y41" s="15" t="s">
        <v>65</v>
      </c>
      <c r="Z41" s="125"/>
      <c r="AA41" s="15" t="s">
        <v>65</v>
      </c>
      <c r="AB41" s="125"/>
      <c r="AC41" s="15" t="s">
        <v>65</v>
      </c>
      <c r="AD41" s="125"/>
      <c r="AE41" s="15" t="s">
        <v>65</v>
      </c>
      <c r="AF41" s="125"/>
      <c r="AG41" s="15" t="s">
        <v>65</v>
      </c>
      <c r="AH41" s="125"/>
      <c r="AI41" s="15" t="s">
        <v>65</v>
      </c>
      <c r="AJ41" s="125"/>
      <c r="AK41" s="15" t="s">
        <v>65</v>
      </c>
      <c r="AL41" s="129"/>
      <c r="AM41" s="15" t="s">
        <v>65</v>
      </c>
      <c r="AN41" s="129"/>
      <c r="AO41" s="15" t="s">
        <v>65</v>
      </c>
    </row>
    <row r="42" spans="1:41" ht="15" customHeight="1" x14ac:dyDescent="0.25">
      <c r="A42" s="96"/>
      <c r="B42" s="122"/>
      <c r="C42" s="126"/>
      <c r="D42" s="16" t="s">
        <v>66</v>
      </c>
      <c r="E42" s="121"/>
      <c r="F42" s="16" t="s">
        <v>66</v>
      </c>
      <c r="G42" s="121"/>
      <c r="H42" s="16" t="s">
        <v>66</v>
      </c>
      <c r="I42" s="121"/>
      <c r="J42" s="16" t="s">
        <v>66</v>
      </c>
      <c r="K42" s="121"/>
      <c r="L42" s="16" t="s">
        <v>66</v>
      </c>
      <c r="M42" s="121"/>
      <c r="N42" s="16" t="s">
        <v>66</v>
      </c>
      <c r="O42" s="121"/>
      <c r="P42" s="16" t="s">
        <v>66</v>
      </c>
      <c r="Q42" s="121"/>
      <c r="R42" s="16" t="s">
        <v>66</v>
      </c>
      <c r="S42" s="121"/>
      <c r="T42" s="16" t="s">
        <v>66</v>
      </c>
      <c r="U42" s="9"/>
      <c r="V42" s="96"/>
      <c r="W42" s="122"/>
      <c r="X42" s="126"/>
      <c r="Y42" s="16" t="s">
        <v>66</v>
      </c>
      <c r="Z42" s="126"/>
      <c r="AA42" s="16" t="s">
        <v>66</v>
      </c>
      <c r="AB42" s="126"/>
      <c r="AC42" s="16" t="s">
        <v>66</v>
      </c>
      <c r="AD42" s="126"/>
      <c r="AE42" s="16" t="s">
        <v>66</v>
      </c>
      <c r="AF42" s="126"/>
      <c r="AG42" s="16" t="s">
        <v>66</v>
      </c>
      <c r="AH42" s="126"/>
      <c r="AI42" s="16" t="s">
        <v>66</v>
      </c>
      <c r="AJ42" s="126"/>
      <c r="AK42" s="16" t="s">
        <v>66</v>
      </c>
      <c r="AL42" s="130"/>
      <c r="AM42" s="16" t="s">
        <v>66</v>
      </c>
      <c r="AN42" s="130"/>
      <c r="AO42" s="16" t="s">
        <v>66</v>
      </c>
    </row>
    <row r="43" spans="1:41" ht="15" customHeight="1" x14ac:dyDescent="0.25">
      <c r="A43" s="96"/>
      <c r="B43" s="122" t="s">
        <v>29</v>
      </c>
      <c r="C43" s="125"/>
      <c r="D43" s="15" t="s">
        <v>65</v>
      </c>
      <c r="E43" s="120" t="str">
        <f>IF(QUOTIENT(E8+E9,2)&lt;2,2-QUOTIENT(E8+E9,2),"")</f>
        <v/>
      </c>
      <c r="F43" s="15" t="s">
        <v>65</v>
      </c>
      <c r="G43" s="120" t="str">
        <f>IF(QUOTIENT(G8+G9,2)&lt;2,2-QUOTIENT(G8+G9,2),"")</f>
        <v/>
      </c>
      <c r="H43" s="15" t="s">
        <v>65</v>
      </c>
      <c r="I43" s="120" t="str">
        <f>IF(QUOTIENT(I8+I9,2)&lt;2,2-QUOTIENT(I8+I9,2),"")</f>
        <v/>
      </c>
      <c r="J43" s="15" t="s">
        <v>65</v>
      </c>
      <c r="K43" s="120" t="str">
        <f>IF(QUOTIENT(K8+K9,2)&lt;2,2-QUOTIENT(K8+K9,2),"")</f>
        <v/>
      </c>
      <c r="L43" s="15" t="s">
        <v>65</v>
      </c>
      <c r="M43" s="120" t="str">
        <f>IF(QUOTIENT(M8+M9,2)&lt;2,2-QUOTIENT(M8+M9,2),"")</f>
        <v/>
      </c>
      <c r="N43" s="15" t="s">
        <v>65</v>
      </c>
      <c r="O43" s="120" t="str">
        <f>IF(QUOTIENT(O8+O9,2)&lt;2,2-QUOTIENT(O8+O9,2),"")</f>
        <v/>
      </c>
      <c r="P43" s="15" t="s">
        <v>65</v>
      </c>
      <c r="Q43" s="120" t="str">
        <f>IF(QUOTIENT(Q8+Q9,2)&lt;2,2-QUOTIENT(Q8+Q9,2),"")</f>
        <v/>
      </c>
      <c r="R43" s="15" t="s">
        <v>65</v>
      </c>
      <c r="S43" s="120" t="str">
        <f>IF(QUOTIENT(S8+S9,2)&lt;2,2-QUOTIENT(S8+S9,2),"")</f>
        <v/>
      </c>
      <c r="T43" s="15" t="s">
        <v>65</v>
      </c>
      <c r="U43" s="9"/>
      <c r="V43" s="96"/>
      <c r="W43" s="122" t="s">
        <v>4</v>
      </c>
      <c r="X43" s="125"/>
      <c r="Y43" s="15" t="s">
        <v>65</v>
      </c>
      <c r="Z43" s="125"/>
      <c r="AA43" s="15" t="s">
        <v>65</v>
      </c>
      <c r="AB43" s="125"/>
      <c r="AC43" s="15" t="s">
        <v>65</v>
      </c>
      <c r="AD43" s="125"/>
      <c r="AE43" s="15" t="s">
        <v>65</v>
      </c>
      <c r="AF43" s="125"/>
      <c r="AG43" s="15" t="s">
        <v>65</v>
      </c>
      <c r="AH43" s="125"/>
      <c r="AI43" s="15" t="s">
        <v>65</v>
      </c>
      <c r="AJ43" s="125"/>
      <c r="AK43" s="15" t="s">
        <v>65</v>
      </c>
      <c r="AL43" s="129"/>
      <c r="AM43" s="15" t="s">
        <v>65</v>
      </c>
      <c r="AN43" s="129"/>
      <c r="AO43" s="15" t="s">
        <v>65</v>
      </c>
    </row>
    <row r="44" spans="1:41" ht="15" customHeight="1" x14ac:dyDescent="0.25">
      <c r="A44" s="96"/>
      <c r="B44" s="122"/>
      <c r="C44" s="126"/>
      <c r="D44" s="16" t="s">
        <v>66</v>
      </c>
      <c r="E44" s="121"/>
      <c r="F44" s="16" t="s">
        <v>66</v>
      </c>
      <c r="G44" s="121"/>
      <c r="H44" s="16" t="s">
        <v>66</v>
      </c>
      <c r="I44" s="121"/>
      <c r="J44" s="16" t="s">
        <v>66</v>
      </c>
      <c r="K44" s="121"/>
      <c r="L44" s="16" t="s">
        <v>66</v>
      </c>
      <c r="M44" s="121"/>
      <c r="N44" s="16" t="s">
        <v>66</v>
      </c>
      <c r="O44" s="121"/>
      <c r="P44" s="16" t="s">
        <v>66</v>
      </c>
      <c r="Q44" s="121"/>
      <c r="R44" s="16" t="s">
        <v>66</v>
      </c>
      <c r="S44" s="121"/>
      <c r="T44" s="16" t="s">
        <v>66</v>
      </c>
      <c r="U44" s="9"/>
      <c r="V44" s="96"/>
      <c r="W44" s="122"/>
      <c r="X44" s="126"/>
      <c r="Y44" s="16" t="s">
        <v>66</v>
      </c>
      <c r="Z44" s="126"/>
      <c r="AA44" s="16" t="s">
        <v>66</v>
      </c>
      <c r="AB44" s="126"/>
      <c r="AC44" s="16" t="s">
        <v>66</v>
      </c>
      <c r="AD44" s="126"/>
      <c r="AE44" s="16" t="s">
        <v>66</v>
      </c>
      <c r="AF44" s="126"/>
      <c r="AG44" s="16" t="s">
        <v>66</v>
      </c>
      <c r="AH44" s="126"/>
      <c r="AI44" s="16" t="s">
        <v>66</v>
      </c>
      <c r="AJ44" s="126"/>
      <c r="AK44" s="16" t="s">
        <v>66</v>
      </c>
      <c r="AL44" s="130"/>
      <c r="AM44" s="16" t="s">
        <v>66</v>
      </c>
      <c r="AN44" s="130"/>
      <c r="AO44" s="16" t="s">
        <v>66</v>
      </c>
    </row>
    <row r="45" spans="1:41" x14ac:dyDescent="0.25">
      <c r="A45" s="96"/>
      <c r="B45" s="122" t="s">
        <v>30</v>
      </c>
      <c r="C45" s="125"/>
      <c r="D45" s="15" t="s">
        <v>65</v>
      </c>
      <c r="E45" s="120" t="str">
        <f>IF(QUOTIENT(E10+E11,2)&lt;2,2-QUOTIENT(E10+E11,2),"")</f>
        <v/>
      </c>
      <c r="F45" s="15" t="s">
        <v>65</v>
      </c>
      <c r="G45" s="120">
        <f>IF(QUOTIENT(G10+G11,2)&lt;2,2-QUOTIENT(G10+G11,2),"")</f>
        <v>1</v>
      </c>
      <c r="H45" s="15" t="s">
        <v>65</v>
      </c>
      <c r="I45" s="120" t="str">
        <f>IF(QUOTIENT(I10+I11,2)&lt;2,2-QUOTIENT(I10+I11,2),"")</f>
        <v/>
      </c>
      <c r="J45" s="15" t="s">
        <v>65</v>
      </c>
      <c r="K45" s="120" t="str">
        <f>IF(QUOTIENT(K10+K11,2)&lt;2,2-QUOTIENT(K10+K11,2),"")</f>
        <v/>
      </c>
      <c r="L45" s="15" t="s">
        <v>65</v>
      </c>
      <c r="M45" s="120" t="str">
        <f>IF(QUOTIENT(M10+M11,2)&lt;2,2-QUOTIENT(M10+M11,2),"")</f>
        <v/>
      </c>
      <c r="N45" s="15" t="s">
        <v>65</v>
      </c>
      <c r="O45" s="120" t="str">
        <f>IF(QUOTIENT(O10+O11,2)&lt;2,2-QUOTIENT(O10+O11,2),"")</f>
        <v/>
      </c>
      <c r="P45" s="15" t="s">
        <v>65</v>
      </c>
      <c r="Q45" s="120" t="str">
        <f>IF(QUOTIENT(Q10+Q11,2)&lt;2,2-QUOTIENT(Q10+Q11,2),"")</f>
        <v/>
      </c>
      <c r="R45" s="15" t="s">
        <v>65</v>
      </c>
      <c r="S45" s="120" t="str">
        <f>IF(QUOTIENT(S10+S11,2)&lt;2,2-QUOTIENT(S10+S11,2),"")</f>
        <v/>
      </c>
      <c r="T45" s="15" t="s">
        <v>65</v>
      </c>
      <c r="U45" s="9"/>
      <c r="V45" s="96"/>
      <c r="W45" s="122" t="s">
        <v>5</v>
      </c>
      <c r="X45" s="125"/>
      <c r="Y45" s="15" t="s">
        <v>65</v>
      </c>
      <c r="Z45" s="125"/>
      <c r="AA45" s="15" t="s">
        <v>65</v>
      </c>
      <c r="AB45" s="125"/>
      <c r="AC45" s="15" t="s">
        <v>65</v>
      </c>
      <c r="AD45" s="125"/>
      <c r="AE45" s="15" t="s">
        <v>65</v>
      </c>
      <c r="AF45" s="125"/>
      <c r="AG45" s="15" t="s">
        <v>65</v>
      </c>
      <c r="AH45" s="125"/>
      <c r="AI45" s="15" t="s">
        <v>65</v>
      </c>
      <c r="AJ45" s="125"/>
      <c r="AK45" s="15" t="s">
        <v>65</v>
      </c>
      <c r="AL45" s="129"/>
      <c r="AM45" s="15" t="s">
        <v>65</v>
      </c>
      <c r="AN45" s="129"/>
      <c r="AO45" s="15" t="s">
        <v>65</v>
      </c>
    </row>
    <row r="46" spans="1:41" x14ac:dyDescent="0.25">
      <c r="A46" s="96"/>
      <c r="B46" s="122"/>
      <c r="C46" s="126"/>
      <c r="D46" s="16" t="s">
        <v>66</v>
      </c>
      <c r="E46" s="121"/>
      <c r="F46" s="16" t="s">
        <v>66</v>
      </c>
      <c r="G46" s="121"/>
      <c r="H46" s="16" t="s">
        <v>66</v>
      </c>
      <c r="I46" s="121"/>
      <c r="J46" s="16" t="s">
        <v>66</v>
      </c>
      <c r="K46" s="121"/>
      <c r="L46" s="16" t="s">
        <v>66</v>
      </c>
      <c r="M46" s="121"/>
      <c r="N46" s="16" t="s">
        <v>66</v>
      </c>
      <c r="O46" s="121"/>
      <c r="P46" s="16" t="s">
        <v>66</v>
      </c>
      <c r="Q46" s="121"/>
      <c r="R46" s="16" t="s">
        <v>66</v>
      </c>
      <c r="S46" s="121"/>
      <c r="T46" s="16" t="s">
        <v>66</v>
      </c>
      <c r="U46" s="9"/>
      <c r="V46" s="96"/>
      <c r="W46" s="122"/>
      <c r="X46" s="126"/>
      <c r="Y46" s="16" t="s">
        <v>66</v>
      </c>
      <c r="Z46" s="126"/>
      <c r="AA46" s="16" t="s">
        <v>66</v>
      </c>
      <c r="AB46" s="126"/>
      <c r="AC46" s="16" t="s">
        <v>66</v>
      </c>
      <c r="AD46" s="126"/>
      <c r="AE46" s="16" t="s">
        <v>66</v>
      </c>
      <c r="AF46" s="126"/>
      <c r="AG46" s="16" t="s">
        <v>66</v>
      </c>
      <c r="AH46" s="126"/>
      <c r="AI46" s="16" t="s">
        <v>66</v>
      </c>
      <c r="AJ46" s="126"/>
      <c r="AK46" s="16" t="s">
        <v>66</v>
      </c>
      <c r="AL46" s="130"/>
      <c r="AM46" s="16" t="s">
        <v>66</v>
      </c>
      <c r="AN46" s="130"/>
      <c r="AO46" s="16" t="s">
        <v>66</v>
      </c>
    </row>
    <row r="47" spans="1:41" ht="15" customHeight="1" x14ac:dyDescent="0.25">
      <c r="A47" s="96"/>
      <c r="B47" s="122" t="s">
        <v>31</v>
      </c>
      <c r="C47" s="125"/>
      <c r="D47" s="15" t="s">
        <v>65</v>
      </c>
      <c r="E47" s="120" t="str">
        <f>IF(QUOTIENT(E12+E13,2)&lt;2,2-QUOTIENT(E12+E13,2),"")</f>
        <v/>
      </c>
      <c r="F47" s="15" t="s">
        <v>65</v>
      </c>
      <c r="G47" s="120" t="str">
        <f>IF(QUOTIENT(G12+G13,2)&lt;2,2-QUOTIENT(G12+G13,2),"")</f>
        <v/>
      </c>
      <c r="H47" s="15" t="s">
        <v>65</v>
      </c>
      <c r="I47" s="120" t="str">
        <f>IF(QUOTIENT(I12+I13,2)&lt;2,2-QUOTIENT(I12+I13,2),"")</f>
        <v/>
      </c>
      <c r="J47" s="15" t="s">
        <v>65</v>
      </c>
      <c r="K47" s="120">
        <f>IF(QUOTIENT(K12+K13,2)&lt;2,2-QUOTIENT(K12+K13,2),"")</f>
        <v>1</v>
      </c>
      <c r="L47" s="15" t="s">
        <v>65</v>
      </c>
      <c r="M47" s="120" t="str">
        <f>IF(QUOTIENT(M12+M13,2)&lt;2,2-QUOTIENT(M12+M13,2),"")</f>
        <v/>
      </c>
      <c r="N47" s="15" t="s">
        <v>65</v>
      </c>
      <c r="O47" s="120" t="str">
        <f>IF(QUOTIENT(O12+O13,2)&lt;2,2-QUOTIENT(O12+O13,2),"")</f>
        <v/>
      </c>
      <c r="P47" s="15" t="s">
        <v>65</v>
      </c>
      <c r="Q47" s="120" t="str">
        <f>IF(QUOTIENT(Q12+Q13,2)&lt;2,2-QUOTIENT(Q12+Q13,2),"")</f>
        <v/>
      </c>
      <c r="R47" s="15" t="s">
        <v>65</v>
      </c>
      <c r="S47" s="120" t="str">
        <f>IF(QUOTIENT(S12+S13,2)&lt;2,2-QUOTIENT(S12+S13,2),"")</f>
        <v/>
      </c>
      <c r="T47" s="15" t="s">
        <v>65</v>
      </c>
      <c r="U47" s="9"/>
      <c r="V47" s="96"/>
      <c r="W47" s="122" t="s">
        <v>6</v>
      </c>
      <c r="X47" s="125"/>
      <c r="Y47" s="15" t="s">
        <v>65</v>
      </c>
      <c r="Z47" s="125"/>
      <c r="AA47" s="15" t="s">
        <v>65</v>
      </c>
      <c r="AB47" s="125"/>
      <c r="AC47" s="15" t="s">
        <v>65</v>
      </c>
      <c r="AD47" s="125"/>
      <c r="AE47" s="15" t="s">
        <v>65</v>
      </c>
      <c r="AF47" s="125"/>
      <c r="AG47" s="15" t="s">
        <v>65</v>
      </c>
      <c r="AH47" s="125"/>
      <c r="AI47" s="15" t="s">
        <v>65</v>
      </c>
      <c r="AJ47" s="125"/>
      <c r="AK47" s="15" t="s">
        <v>65</v>
      </c>
      <c r="AL47" s="129"/>
      <c r="AM47" s="15" t="s">
        <v>65</v>
      </c>
      <c r="AN47" s="129"/>
      <c r="AO47" s="15" t="s">
        <v>65</v>
      </c>
    </row>
    <row r="48" spans="1:41" ht="15" customHeight="1" x14ac:dyDescent="0.25">
      <c r="A48" s="96"/>
      <c r="B48" s="122"/>
      <c r="C48" s="126"/>
      <c r="D48" s="16" t="s">
        <v>66</v>
      </c>
      <c r="E48" s="121"/>
      <c r="F48" s="16" t="s">
        <v>66</v>
      </c>
      <c r="G48" s="121"/>
      <c r="H48" s="16" t="s">
        <v>66</v>
      </c>
      <c r="I48" s="121"/>
      <c r="J48" s="16" t="s">
        <v>66</v>
      </c>
      <c r="K48" s="121"/>
      <c r="L48" s="16" t="s">
        <v>66</v>
      </c>
      <c r="M48" s="121"/>
      <c r="N48" s="16" t="s">
        <v>66</v>
      </c>
      <c r="O48" s="121"/>
      <c r="P48" s="16" t="s">
        <v>66</v>
      </c>
      <c r="Q48" s="121"/>
      <c r="R48" s="16" t="s">
        <v>66</v>
      </c>
      <c r="S48" s="121"/>
      <c r="T48" s="16" t="s">
        <v>66</v>
      </c>
      <c r="U48" s="9"/>
      <c r="V48" s="96"/>
      <c r="W48" s="122"/>
      <c r="X48" s="126"/>
      <c r="Y48" s="16" t="s">
        <v>66</v>
      </c>
      <c r="Z48" s="126"/>
      <c r="AA48" s="16" t="s">
        <v>66</v>
      </c>
      <c r="AB48" s="126"/>
      <c r="AC48" s="16" t="s">
        <v>66</v>
      </c>
      <c r="AD48" s="126"/>
      <c r="AE48" s="16" t="s">
        <v>66</v>
      </c>
      <c r="AF48" s="126"/>
      <c r="AG48" s="16" t="s">
        <v>66</v>
      </c>
      <c r="AH48" s="126"/>
      <c r="AI48" s="16" t="s">
        <v>66</v>
      </c>
      <c r="AJ48" s="126"/>
      <c r="AK48" s="16" t="s">
        <v>66</v>
      </c>
      <c r="AL48" s="130"/>
      <c r="AM48" s="16" t="s">
        <v>66</v>
      </c>
      <c r="AN48" s="130"/>
      <c r="AO48" s="16" t="s">
        <v>66</v>
      </c>
    </row>
    <row r="49" spans="1:41" ht="15" customHeight="1" x14ac:dyDescent="0.25">
      <c r="A49" s="96"/>
      <c r="B49" s="122" t="s">
        <v>32</v>
      </c>
      <c r="C49" s="125"/>
      <c r="D49" s="15" t="s">
        <v>65</v>
      </c>
      <c r="E49" s="120" t="str">
        <f>IF(QUOTIENT(E14+E15,2)&lt;2,2-QUOTIENT(E14+E15,2),"")</f>
        <v/>
      </c>
      <c r="F49" s="15" t="s">
        <v>65</v>
      </c>
      <c r="G49" s="120" t="str">
        <f>IF(QUOTIENT(G14+G15,2)&lt;2,2-QUOTIENT(G14+G15,2),"")</f>
        <v/>
      </c>
      <c r="H49" s="15" t="s">
        <v>65</v>
      </c>
      <c r="I49" s="120" t="str">
        <f>IF(QUOTIENT(I14+I15,2)&lt;2,2-QUOTIENT(I14+I15,2),"")</f>
        <v/>
      </c>
      <c r="J49" s="15" t="s">
        <v>65</v>
      </c>
      <c r="K49" s="120" t="str">
        <f>IF(QUOTIENT(K14+K15,2)&lt;2,2-QUOTIENT(K14+K15,2),"")</f>
        <v/>
      </c>
      <c r="L49" s="15" t="s">
        <v>65</v>
      </c>
      <c r="M49" s="120" t="str">
        <f>IF(QUOTIENT(M14+M15,2)&lt;2,2-QUOTIENT(M14+M15,2),"")</f>
        <v/>
      </c>
      <c r="N49" s="15" t="s">
        <v>65</v>
      </c>
      <c r="O49" s="120" t="str">
        <f>IF(QUOTIENT(O14+O15,2)&lt;2,2-QUOTIENT(O14+O15,2),"")</f>
        <v/>
      </c>
      <c r="P49" s="15" t="s">
        <v>65</v>
      </c>
      <c r="Q49" s="120" t="str">
        <f>IF(QUOTIENT(Q14+Q15,2)&lt;2,2-QUOTIENT(Q14+Q15,2),"")</f>
        <v/>
      </c>
      <c r="R49" s="15" t="s">
        <v>65</v>
      </c>
      <c r="S49" s="120" t="str">
        <f>IF(QUOTIENT(S14+S15,2)&lt;2,2-QUOTIENT(S14+S15,2),"")</f>
        <v/>
      </c>
      <c r="T49" s="15" t="s">
        <v>65</v>
      </c>
      <c r="U49" s="9"/>
      <c r="V49" s="96"/>
      <c r="W49" s="122" t="s">
        <v>7</v>
      </c>
      <c r="X49" s="125"/>
      <c r="Y49" s="15" t="s">
        <v>65</v>
      </c>
      <c r="Z49" s="125"/>
      <c r="AA49" s="15" t="s">
        <v>65</v>
      </c>
      <c r="AB49" s="125"/>
      <c r="AC49" s="15" t="s">
        <v>65</v>
      </c>
      <c r="AD49" s="125"/>
      <c r="AE49" s="15" t="s">
        <v>65</v>
      </c>
      <c r="AF49" s="125"/>
      <c r="AG49" s="15" t="s">
        <v>65</v>
      </c>
      <c r="AH49" s="125"/>
      <c r="AI49" s="15" t="s">
        <v>65</v>
      </c>
      <c r="AJ49" s="125"/>
      <c r="AK49" s="15" t="s">
        <v>65</v>
      </c>
      <c r="AL49" s="129"/>
      <c r="AM49" s="15" t="s">
        <v>65</v>
      </c>
      <c r="AN49" s="129"/>
      <c r="AO49" s="15" t="s">
        <v>65</v>
      </c>
    </row>
    <row r="50" spans="1:41" ht="15" customHeight="1" x14ac:dyDescent="0.25">
      <c r="A50" s="96"/>
      <c r="B50" s="122"/>
      <c r="C50" s="126"/>
      <c r="D50" s="16" t="s">
        <v>66</v>
      </c>
      <c r="E50" s="121"/>
      <c r="F50" s="16" t="s">
        <v>66</v>
      </c>
      <c r="G50" s="121"/>
      <c r="H50" s="16" t="s">
        <v>66</v>
      </c>
      <c r="I50" s="121"/>
      <c r="J50" s="16" t="s">
        <v>66</v>
      </c>
      <c r="K50" s="121"/>
      <c r="L50" s="16" t="s">
        <v>66</v>
      </c>
      <c r="M50" s="121"/>
      <c r="N50" s="16" t="s">
        <v>66</v>
      </c>
      <c r="O50" s="121"/>
      <c r="P50" s="16" t="s">
        <v>66</v>
      </c>
      <c r="Q50" s="121"/>
      <c r="R50" s="16" t="s">
        <v>66</v>
      </c>
      <c r="S50" s="121"/>
      <c r="T50" s="16" t="s">
        <v>66</v>
      </c>
      <c r="U50" s="9"/>
      <c r="V50" s="96"/>
      <c r="W50" s="122"/>
      <c r="X50" s="126"/>
      <c r="Y50" s="16" t="s">
        <v>66</v>
      </c>
      <c r="Z50" s="126"/>
      <c r="AA50" s="16" t="s">
        <v>66</v>
      </c>
      <c r="AB50" s="126"/>
      <c r="AC50" s="16" t="s">
        <v>66</v>
      </c>
      <c r="AD50" s="126"/>
      <c r="AE50" s="16" t="s">
        <v>66</v>
      </c>
      <c r="AF50" s="126"/>
      <c r="AG50" s="16" t="s">
        <v>66</v>
      </c>
      <c r="AH50" s="126"/>
      <c r="AI50" s="16" t="s">
        <v>66</v>
      </c>
      <c r="AJ50" s="126"/>
      <c r="AK50" s="16" t="s">
        <v>66</v>
      </c>
      <c r="AL50" s="130"/>
      <c r="AM50" s="16" t="s">
        <v>66</v>
      </c>
      <c r="AN50" s="130"/>
      <c r="AO50" s="16" t="s">
        <v>66</v>
      </c>
    </row>
    <row r="51" spans="1:41" ht="15" customHeight="1" x14ac:dyDescent="0.25">
      <c r="A51" s="96"/>
      <c r="B51" s="122" t="s">
        <v>33</v>
      </c>
      <c r="C51" s="125"/>
      <c r="D51" s="15" t="s">
        <v>65</v>
      </c>
      <c r="E51" s="120" t="str">
        <f>IF(QUOTIENT(E16+E17,2)&lt;2,2-QUOTIENT(E16+E17,2),"")</f>
        <v/>
      </c>
      <c r="F51" s="15" t="s">
        <v>65</v>
      </c>
      <c r="G51" s="120" t="str">
        <f>IF(QUOTIENT(G16+G17,2)&lt;2,2-QUOTIENT(G16+G17,2),"")</f>
        <v/>
      </c>
      <c r="H51" s="15" t="s">
        <v>65</v>
      </c>
      <c r="I51" s="120" t="str">
        <f>IF(QUOTIENT(I16+I17,2)&lt;2,2-QUOTIENT(I16+I17,2),"")</f>
        <v/>
      </c>
      <c r="J51" s="15" t="s">
        <v>65</v>
      </c>
      <c r="K51" s="120" t="str">
        <f>IF(QUOTIENT(K16+K17,2)&lt;2,2-QUOTIENT(K16+K17,2),"")</f>
        <v/>
      </c>
      <c r="L51" s="15" t="s">
        <v>65</v>
      </c>
      <c r="M51" s="120">
        <f>IF(QUOTIENT(M16+M17,2)&lt;2,2-QUOTIENT(M16+M17,2),"")</f>
        <v>1</v>
      </c>
      <c r="N51" s="15" t="s">
        <v>65</v>
      </c>
      <c r="O51" s="120" t="str">
        <f>IF(QUOTIENT(O16+O17,2)&lt;2,2-QUOTIENT(O16+O17,2),"")</f>
        <v/>
      </c>
      <c r="P51" s="15" t="s">
        <v>65</v>
      </c>
      <c r="Q51" s="120" t="str">
        <f>IF(QUOTIENT(Q16+Q17,2)&lt;2,2-QUOTIENT(Q16+Q17,2),"")</f>
        <v/>
      </c>
      <c r="R51" s="15" t="s">
        <v>65</v>
      </c>
      <c r="S51" s="120">
        <f>IF(QUOTIENT(S16+S17,2)&lt;2,2-QUOTIENT(S16+S17,2),"")</f>
        <v>1</v>
      </c>
      <c r="T51" s="15" t="s">
        <v>65</v>
      </c>
      <c r="U51" s="9"/>
      <c r="V51" s="96"/>
      <c r="W51" s="122" t="s">
        <v>8</v>
      </c>
      <c r="X51" s="125"/>
      <c r="Y51" s="15" t="s">
        <v>65</v>
      </c>
      <c r="Z51" s="125"/>
      <c r="AA51" s="15" t="s">
        <v>65</v>
      </c>
      <c r="AB51" s="125"/>
      <c r="AC51" s="15" t="s">
        <v>65</v>
      </c>
      <c r="AD51" s="125"/>
      <c r="AE51" s="15" t="s">
        <v>65</v>
      </c>
      <c r="AF51" s="125"/>
      <c r="AG51" s="15" t="s">
        <v>65</v>
      </c>
      <c r="AH51" s="125"/>
      <c r="AI51" s="15" t="s">
        <v>65</v>
      </c>
      <c r="AJ51" s="125"/>
      <c r="AK51" s="15" t="s">
        <v>65</v>
      </c>
      <c r="AL51" s="129"/>
      <c r="AM51" s="15" t="s">
        <v>65</v>
      </c>
      <c r="AN51" s="129"/>
      <c r="AO51" s="15" t="s">
        <v>65</v>
      </c>
    </row>
    <row r="52" spans="1:41" ht="15" customHeight="1" x14ac:dyDescent="0.25">
      <c r="A52" s="96"/>
      <c r="B52" s="122"/>
      <c r="C52" s="126"/>
      <c r="D52" s="16" t="s">
        <v>66</v>
      </c>
      <c r="E52" s="121"/>
      <c r="F52" s="16" t="s">
        <v>66</v>
      </c>
      <c r="G52" s="121"/>
      <c r="H52" s="16" t="s">
        <v>66</v>
      </c>
      <c r="I52" s="121"/>
      <c r="J52" s="16" t="s">
        <v>66</v>
      </c>
      <c r="K52" s="121"/>
      <c r="L52" s="16" t="s">
        <v>66</v>
      </c>
      <c r="M52" s="121"/>
      <c r="N52" s="16" t="s">
        <v>66</v>
      </c>
      <c r="O52" s="121"/>
      <c r="P52" s="16" t="s">
        <v>66</v>
      </c>
      <c r="Q52" s="121"/>
      <c r="R52" s="16" t="s">
        <v>66</v>
      </c>
      <c r="S52" s="121"/>
      <c r="T52" s="16" t="s">
        <v>66</v>
      </c>
      <c r="U52" s="9"/>
      <c r="V52" s="96"/>
      <c r="W52" s="122"/>
      <c r="X52" s="126"/>
      <c r="Y52" s="16" t="s">
        <v>66</v>
      </c>
      <c r="Z52" s="126"/>
      <c r="AA52" s="16" t="s">
        <v>66</v>
      </c>
      <c r="AB52" s="126"/>
      <c r="AC52" s="16" t="s">
        <v>66</v>
      </c>
      <c r="AD52" s="126"/>
      <c r="AE52" s="16" t="s">
        <v>66</v>
      </c>
      <c r="AF52" s="126"/>
      <c r="AG52" s="16" t="s">
        <v>66</v>
      </c>
      <c r="AH52" s="126"/>
      <c r="AI52" s="16" t="s">
        <v>66</v>
      </c>
      <c r="AJ52" s="126"/>
      <c r="AK52" s="16" t="s">
        <v>66</v>
      </c>
      <c r="AL52" s="130"/>
      <c r="AM52" s="16" t="s">
        <v>66</v>
      </c>
      <c r="AN52" s="130"/>
      <c r="AO52" s="16" t="s">
        <v>66</v>
      </c>
    </row>
    <row r="53" spans="1:41" ht="15" customHeight="1" x14ac:dyDescent="0.25">
      <c r="A53" s="96"/>
      <c r="B53" s="122" t="s">
        <v>34</v>
      </c>
      <c r="C53" s="125"/>
      <c r="D53" s="15" t="s">
        <v>65</v>
      </c>
      <c r="E53" s="120" t="str">
        <f>IF(QUOTIENT(E18+E19,2)&lt;2,2-QUOTIENT(E18+E19,2),"")</f>
        <v/>
      </c>
      <c r="F53" s="15" t="s">
        <v>65</v>
      </c>
      <c r="G53" s="120" t="str">
        <f>IF(QUOTIENT(G18+G19,2)&lt;2,2-QUOTIENT(G18+G19,2),"")</f>
        <v/>
      </c>
      <c r="H53" s="15" t="s">
        <v>65</v>
      </c>
      <c r="I53" s="120" t="str">
        <f>IF(QUOTIENT(I18+I19,2)&lt;2,2-QUOTIENT(I18+I19,2),"")</f>
        <v/>
      </c>
      <c r="J53" s="15" t="s">
        <v>65</v>
      </c>
      <c r="K53" s="120" t="str">
        <f>IF(QUOTIENT(K18+K19,2)&lt;2,2-QUOTIENT(K18+K19,2),"")</f>
        <v/>
      </c>
      <c r="L53" s="15" t="s">
        <v>65</v>
      </c>
      <c r="M53" s="120" t="str">
        <f>IF(QUOTIENT(M18+M19,2)&lt;2,2-QUOTIENT(M18+M19,2),"")</f>
        <v/>
      </c>
      <c r="N53" s="15" t="s">
        <v>65</v>
      </c>
      <c r="O53" s="120" t="str">
        <f>IF(QUOTIENT(O18+O19,2)&lt;2,2-QUOTIENT(O18+O19,2),"")</f>
        <v/>
      </c>
      <c r="P53" s="15" t="s">
        <v>65</v>
      </c>
      <c r="Q53" s="120" t="str">
        <f>IF(QUOTIENT(Q18+Q19,2)&lt;2,2-QUOTIENT(Q18+Q19,2),"")</f>
        <v/>
      </c>
      <c r="R53" s="15" t="s">
        <v>65</v>
      </c>
      <c r="S53" s="120" t="str">
        <f>IF(QUOTIENT(S18+S19,2)&lt;2,2-QUOTIENT(S18+S19,2),"")</f>
        <v/>
      </c>
      <c r="T53" s="15" t="s">
        <v>65</v>
      </c>
      <c r="U53" s="9"/>
      <c r="V53" s="96"/>
      <c r="W53" s="122" t="s">
        <v>9</v>
      </c>
      <c r="X53" s="125"/>
      <c r="Y53" s="15" t="s">
        <v>65</v>
      </c>
      <c r="Z53" s="125"/>
      <c r="AA53" s="15" t="s">
        <v>65</v>
      </c>
      <c r="AB53" s="125"/>
      <c r="AC53" s="15" t="s">
        <v>65</v>
      </c>
      <c r="AD53" s="125"/>
      <c r="AE53" s="15" t="s">
        <v>65</v>
      </c>
      <c r="AF53" s="125"/>
      <c r="AG53" s="15" t="s">
        <v>65</v>
      </c>
      <c r="AH53" s="125"/>
      <c r="AI53" s="15" t="s">
        <v>65</v>
      </c>
      <c r="AJ53" s="125"/>
      <c r="AK53" s="15" t="s">
        <v>65</v>
      </c>
      <c r="AL53" s="129"/>
      <c r="AM53" s="15" t="s">
        <v>65</v>
      </c>
      <c r="AN53" s="129"/>
      <c r="AO53" s="15" t="s">
        <v>65</v>
      </c>
    </row>
    <row r="54" spans="1:41" ht="15" customHeight="1" x14ac:dyDescent="0.25">
      <c r="A54" s="96"/>
      <c r="B54" s="122"/>
      <c r="C54" s="126"/>
      <c r="D54" s="16" t="s">
        <v>66</v>
      </c>
      <c r="E54" s="121"/>
      <c r="F54" s="16" t="s">
        <v>66</v>
      </c>
      <c r="G54" s="121"/>
      <c r="H54" s="16" t="s">
        <v>66</v>
      </c>
      <c r="I54" s="121"/>
      <c r="J54" s="16" t="s">
        <v>66</v>
      </c>
      <c r="K54" s="121"/>
      <c r="L54" s="16" t="s">
        <v>66</v>
      </c>
      <c r="M54" s="121"/>
      <c r="N54" s="16" t="s">
        <v>66</v>
      </c>
      <c r="O54" s="121"/>
      <c r="P54" s="16" t="s">
        <v>66</v>
      </c>
      <c r="Q54" s="121"/>
      <c r="R54" s="16" t="s">
        <v>66</v>
      </c>
      <c r="S54" s="121"/>
      <c r="T54" s="16" t="s">
        <v>66</v>
      </c>
      <c r="U54" s="9"/>
      <c r="V54" s="96"/>
      <c r="W54" s="122"/>
      <c r="X54" s="126"/>
      <c r="Y54" s="16" t="s">
        <v>66</v>
      </c>
      <c r="Z54" s="126"/>
      <c r="AA54" s="16" t="s">
        <v>66</v>
      </c>
      <c r="AB54" s="126"/>
      <c r="AC54" s="16" t="s">
        <v>66</v>
      </c>
      <c r="AD54" s="126"/>
      <c r="AE54" s="16" t="s">
        <v>66</v>
      </c>
      <c r="AF54" s="126"/>
      <c r="AG54" s="16" t="s">
        <v>66</v>
      </c>
      <c r="AH54" s="126"/>
      <c r="AI54" s="16" t="s">
        <v>66</v>
      </c>
      <c r="AJ54" s="126"/>
      <c r="AK54" s="16" t="s">
        <v>66</v>
      </c>
      <c r="AL54" s="130"/>
      <c r="AM54" s="16" t="s">
        <v>66</v>
      </c>
      <c r="AN54" s="130"/>
      <c r="AO54" s="16" t="s">
        <v>66</v>
      </c>
    </row>
    <row r="55" spans="1:41" ht="15" customHeight="1" x14ac:dyDescent="0.25">
      <c r="A55" s="96"/>
      <c r="B55" s="122" t="s">
        <v>35</v>
      </c>
      <c r="C55" s="125"/>
      <c r="D55" s="15" t="s">
        <v>65</v>
      </c>
      <c r="E55" s="120" t="str">
        <f>IF(QUOTIENT(E20+E21,2)&lt;2,2-QUOTIENT(E20+E21,2),"")</f>
        <v/>
      </c>
      <c r="F55" s="15" t="s">
        <v>65</v>
      </c>
      <c r="G55" s="120" t="str">
        <f>IF(QUOTIENT(G20+G21,2)&lt;2,2-QUOTIENT(G20+G21,2),"")</f>
        <v/>
      </c>
      <c r="H55" s="15" t="s">
        <v>65</v>
      </c>
      <c r="I55" s="120" t="str">
        <f>IF(QUOTIENT(I20+I21,2)&lt;2,2-QUOTIENT(I20+I21,2),"")</f>
        <v/>
      </c>
      <c r="J55" s="15" t="s">
        <v>65</v>
      </c>
      <c r="K55" s="120" t="str">
        <f>IF(QUOTIENT(K20+K21,2)&lt;2,2-QUOTIENT(K20+K21,2),"")</f>
        <v/>
      </c>
      <c r="L55" s="15" t="s">
        <v>65</v>
      </c>
      <c r="M55" s="120" t="str">
        <f>IF(QUOTIENT(M20+M21,2)&lt;2,2-QUOTIENT(M20+M21,2),"")</f>
        <v/>
      </c>
      <c r="N55" s="15" t="s">
        <v>65</v>
      </c>
      <c r="O55" s="120" t="str">
        <f>IF(QUOTIENT(O20+O21,2)&lt;2,2-QUOTIENT(O20+O21,2),"")</f>
        <v/>
      </c>
      <c r="P55" s="15" t="s">
        <v>65</v>
      </c>
      <c r="Q55" s="120" t="str">
        <f>IF(QUOTIENT(Q20+Q21,2)&lt;2,2-QUOTIENT(Q20+Q21,2),"")</f>
        <v/>
      </c>
      <c r="R55" s="15" t="s">
        <v>65</v>
      </c>
      <c r="S55" s="120" t="str">
        <f>IF(QUOTIENT(S20+S21,2)&lt;2,2-QUOTIENT(S20+S21,2),"")</f>
        <v/>
      </c>
      <c r="T55" s="15" t="s">
        <v>65</v>
      </c>
      <c r="U55" s="9"/>
      <c r="V55" s="96"/>
      <c r="W55" s="122" t="s">
        <v>10</v>
      </c>
      <c r="X55" s="125"/>
      <c r="Y55" s="15" t="s">
        <v>65</v>
      </c>
      <c r="Z55" s="125"/>
      <c r="AA55" s="15" t="s">
        <v>65</v>
      </c>
      <c r="AB55" s="125"/>
      <c r="AC55" s="15" t="s">
        <v>65</v>
      </c>
      <c r="AD55" s="125"/>
      <c r="AE55" s="15" t="s">
        <v>65</v>
      </c>
      <c r="AF55" s="125"/>
      <c r="AG55" s="15" t="s">
        <v>65</v>
      </c>
      <c r="AH55" s="125"/>
      <c r="AI55" s="15" t="s">
        <v>65</v>
      </c>
      <c r="AJ55" s="125"/>
      <c r="AK55" s="15" t="s">
        <v>65</v>
      </c>
      <c r="AL55" s="129"/>
      <c r="AM55" s="15" t="s">
        <v>65</v>
      </c>
      <c r="AN55" s="129"/>
      <c r="AO55" s="15" t="s">
        <v>65</v>
      </c>
    </row>
    <row r="56" spans="1:41" ht="15" customHeight="1" x14ac:dyDescent="0.25">
      <c r="A56" s="96"/>
      <c r="B56" s="122"/>
      <c r="C56" s="126"/>
      <c r="D56" s="16" t="s">
        <v>66</v>
      </c>
      <c r="E56" s="121"/>
      <c r="F56" s="16" t="s">
        <v>66</v>
      </c>
      <c r="G56" s="121"/>
      <c r="H56" s="16" t="s">
        <v>66</v>
      </c>
      <c r="I56" s="121"/>
      <c r="J56" s="16" t="s">
        <v>66</v>
      </c>
      <c r="K56" s="121"/>
      <c r="L56" s="16" t="s">
        <v>66</v>
      </c>
      <c r="M56" s="121"/>
      <c r="N56" s="16" t="s">
        <v>66</v>
      </c>
      <c r="O56" s="121"/>
      <c r="P56" s="16" t="s">
        <v>66</v>
      </c>
      <c r="Q56" s="121"/>
      <c r="R56" s="16" t="s">
        <v>66</v>
      </c>
      <c r="S56" s="121"/>
      <c r="T56" s="16" t="s">
        <v>66</v>
      </c>
      <c r="U56" s="9"/>
      <c r="V56" s="96"/>
      <c r="W56" s="122"/>
      <c r="X56" s="126"/>
      <c r="Y56" s="16" t="s">
        <v>66</v>
      </c>
      <c r="Z56" s="126"/>
      <c r="AA56" s="16" t="s">
        <v>66</v>
      </c>
      <c r="AB56" s="126"/>
      <c r="AC56" s="16" t="s">
        <v>66</v>
      </c>
      <c r="AD56" s="126"/>
      <c r="AE56" s="16" t="s">
        <v>66</v>
      </c>
      <c r="AF56" s="126"/>
      <c r="AG56" s="16" t="s">
        <v>66</v>
      </c>
      <c r="AH56" s="126"/>
      <c r="AI56" s="16" t="s">
        <v>66</v>
      </c>
      <c r="AJ56" s="126"/>
      <c r="AK56" s="16" t="s">
        <v>66</v>
      </c>
      <c r="AL56" s="130"/>
      <c r="AM56" s="16" t="s">
        <v>66</v>
      </c>
      <c r="AN56" s="130"/>
      <c r="AO56" s="16" t="s">
        <v>66</v>
      </c>
    </row>
    <row r="57" spans="1:41" ht="15" customHeight="1" x14ac:dyDescent="0.25">
      <c r="A57" s="96"/>
      <c r="B57" s="122" t="s">
        <v>36</v>
      </c>
      <c r="C57" s="125"/>
      <c r="D57" s="15" t="s">
        <v>65</v>
      </c>
      <c r="E57" s="120" t="str">
        <f>IF(QUOTIENT(E22+E23,2)&lt;2,2-QUOTIENT(E22+E23,2),"")</f>
        <v/>
      </c>
      <c r="F57" s="15" t="s">
        <v>65</v>
      </c>
      <c r="G57" s="120" t="str">
        <f>IF(QUOTIENT(G22+G23,2)&lt;2,2-QUOTIENT(G22+G23,2),"")</f>
        <v/>
      </c>
      <c r="H57" s="15" t="s">
        <v>65</v>
      </c>
      <c r="I57" s="120" t="str">
        <f>IF(QUOTIENT(I22+I23,2)&lt;2,2-QUOTIENT(I22+I23,2),"")</f>
        <v/>
      </c>
      <c r="J57" s="15" t="s">
        <v>65</v>
      </c>
      <c r="K57" s="120" t="str">
        <f>IF(QUOTIENT(K22+K23,2)&lt;2,2-QUOTIENT(K22+K23,2),"")</f>
        <v/>
      </c>
      <c r="L57" s="15" t="s">
        <v>65</v>
      </c>
      <c r="M57" s="120" t="str">
        <f>IF(QUOTIENT(M22+M23,2)&lt;2,2-QUOTIENT(M22+M23,2),"")</f>
        <v/>
      </c>
      <c r="N57" s="15" t="s">
        <v>65</v>
      </c>
      <c r="O57" s="120" t="str">
        <f>IF(QUOTIENT(O22+O23,2)&lt;2,2-QUOTIENT(O22+O23,2),"")</f>
        <v/>
      </c>
      <c r="P57" s="15" t="s">
        <v>65</v>
      </c>
      <c r="Q57" s="120" t="str">
        <f>IF(QUOTIENT(Q22+Q23,2)&lt;2,2-QUOTIENT(Q22+Q23,2),"")</f>
        <v/>
      </c>
      <c r="R57" s="15" t="s">
        <v>65</v>
      </c>
      <c r="S57" s="120" t="str">
        <f>IF(QUOTIENT(S22+S23,2)&lt;2,2-QUOTIENT(S22+S23,2),"")</f>
        <v/>
      </c>
      <c r="T57" s="15" t="s">
        <v>65</v>
      </c>
      <c r="U57" s="9"/>
      <c r="V57" s="96"/>
      <c r="W57" s="9"/>
      <c r="X57" s="9"/>
      <c r="Y57" s="9"/>
      <c r="Z57" s="9"/>
      <c r="AA57" s="9"/>
      <c r="AB57" s="9"/>
      <c r="AC57" s="9"/>
      <c r="AD57" s="9"/>
      <c r="AE57" s="9"/>
      <c r="AF57" s="9"/>
      <c r="AG57" s="9"/>
      <c r="AH57" s="9"/>
      <c r="AI57" s="9"/>
      <c r="AJ57" s="9"/>
      <c r="AK57" s="9"/>
      <c r="AL57" s="9"/>
      <c r="AM57" s="9"/>
      <c r="AN57" s="9"/>
      <c r="AO57" s="9"/>
    </row>
    <row r="58" spans="1:41" ht="15" customHeight="1" x14ac:dyDescent="0.25">
      <c r="A58" s="96"/>
      <c r="B58" s="122"/>
      <c r="C58" s="126"/>
      <c r="D58" s="16" t="s">
        <v>66</v>
      </c>
      <c r="E58" s="121"/>
      <c r="F58" s="16" t="s">
        <v>66</v>
      </c>
      <c r="G58" s="121"/>
      <c r="H58" s="16" t="s">
        <v>66</v>
      </c>
      <c r="I58" s="121"/>
      <c r="J58" s="16" t="s">
        <v>66</v>
      </c>
      <c r="K58" s="121"/>
      <c r="L58" s="16" t="s">
        <v>66</v>
      </c>
      <c r="M58" s="121"/>
      <c r="N58" s="16" t="s">
        <v>66</v>
      </c>
      <c r="O58" s="121"/>
      <c r="P58" s="16" t="s">
        <v>66</v>
      </c>
      <c r="Q58" s="121"/>
      <c r="R58" s="16" t="s">
        <v>66</v>
      </c>
      <c r="S58" s="121"/>
      <c r="T58" s="16" t="s">
        <v>66</v>
      </c>
      <c r="U58" s="9"/>
      <c r="V58" s="96"/>
      <c r="W58" s="9"/>
      <c r="X58" s="9"/>
      <c r="Y58" s="9"/>
      <c r="Z58" s="9"/>
      <c r="AA58" s="9"/>
      <c r="AB58" s="9"/>
      <c r="AC58" s="9"/>
      <c r="AD58" s="9"/>
      <c r="AE58" s="9"/>
      <c r="AF58" s="9"/>
      <c r="AG58" s="9"/>
      <c r="AH58" s="9"/>
      <c r="AI58" s="9"/>
      <c r="AJ58" s="9"/>
      <c r="AK58" s="9"/>
      <c r="AL58" s="9"/>
      <c r="AM58" s="9"/>
      <c r="AN58" s="9"/>
      <c r="AO58" s="9"/>
    </row>
    <row r="59" spans="1:41" ht="15" customHeight="1" x14ac:dyDescent="0.25">
      <c r="A59" s="96"/>
      <c r="B59" s="122" t="s">
        <v>37</v>
      </c>
      <c r="C59" s="125"/>
      <c r="D59" s="15" t="s">
        <v>65</v>
      </c>
      <c r="E59" s="120" t="str">
        <f>IF(QUOTIENT(E24+E25,2)&lt;2,2-QUOTIENT(E24+E25,2),"")</f>
        <v/>
      </c>
      <c r="F59" s="15" t="s">
        <v>65</v>
      </c>
      <c r="G59" s="120" t="str">
        <f>IF(QUOTIENT(G24+G25,2)&lt;2,2-QUOTIENT(G24+G25,2),"")</f>
        <v/>
      </c>
      <c r="H59" s="15" t="s">
        <v>65</v>
      </c>
      <c r="I59" s="120" t="str">
        <f>IF(QUOTIENT(I24+I25,2)&lt;2,2-QUOTIENT(I24+I25,2),"")</f>
        <v/>
      </c>
      <c r="J59" s="15" t="s">
        <v>65</v>
      </c>
      <c r="K59" s="120">
        <f>IF(QUOTIENT(K24+K25,2)&lt;2,2-QUOTIENT(K24+K25,2),"")</f>
        <v>1</v>
      </c>
      <c r="L59" s="15" t="s">
        <v>65</v>
      </c>
      <c r="M59" s="120" t="str">
        <f>IF(QUOTIENT(M24+M25,2)&lt;2,2-QUOTIENT(M24+M25,2),"")</f>
        <v/>
      </c>
      <c r="N59" s="15" t="s">
        <v>65</v>
      </c>
      <c r="O59" s="120">
        <f>IF(QUOTIENT(O24+O25,2)&lt;2,2-QUOTIENT(O24+O25,2),"")</f>
        <v>1</v>
      </c>
      <c r="P59" s="15" t="s">
        <v>65</v>
      </c>
      <c r="Q59" s="120" t="str">
        <f>IF(QUOTIENT(Q24+Q25,2)&lt;2,2-QUOTIENT(Q24+Q25,2),"")</f>
        <v/>
      </c>
      <c r="R59" s="15" t="s">
        <v>65</v>
      </c>
      <c r="S59" s="120" t="str">
        <f>IF(QUOTIENT(S24+S25,2)&lt;2,2-QUOTIENT(S24+S25,2),"")</f>
        <v/>
      </c>
      <c r="T59" s="15" t="s">
        <v>65</v>
      </c>
      <c r="U59" s="9"/>
      <c r="V59" s="96"/>
    </row>
    <row r="60" spans="1:41" ht="15" customHeight="1" x14ac:dyDescent="0.25">
      <c r="A60" s="96"/>
      <c r="B60" s="122"/>
      <c r="C60" s="126"/>
      <c r="D60" s="16" t="s">
        <v>66</v>
      </c>
      <c r="E60" s="121"/>
      <c r="F60" s="16" t="s">
        <v>66</v>
      </c>
      <c r="G60" s="121"/>
      <c r="H60" s="16" t="s">
        <v>66</v>
      </c>
      <c r="I60" s="121"/>
      <c r="J60" s="16" t="s">
        <v>66</v>
      </c>
      <c r="K60" s="121"/>
      <c r="L60" s="16" t="s">
        <v>66</v>
      </c>
      <c r="M60" s="121"/>
      <c r="N60" s="16" t="s">
        <v>66</v>
      </c>
      <c r="O60" s="121"/>
      <c r="P60" s="16" t="s">
        <v>66</v>
      </c>
      <c r="Q60" s="121"/>
      <c r="R60" s="16" t="s">
        <v>66</v>
      </c>
      <c r="S60" s="121"/>
      <c r="T60" s="16" t="s">
        <v>66</v>
      </c>
      <c r="U60" s="9"/>
      <c r="V60" s="96"/>
    </row>
    <row r="61" spans="1:41" ht="15" customHeight="1" x14ac:dyDescent="0.25">
      <c r="A61" s="96"/>
      <c r="B61" s="122" t="s">
        <v>54</v>
      </c>
      <c r="C61" s="125"/>
      <c r="D61" s="15" t="s">
        <v>65</v>
      </c>
      <c r="E61" s="120" t="str">
        <f>IF(QUOTIENT(E26+E27,2)&lt;2,2-QUOTIENT(E26+E27,2),"")</f>
        <v/>
      </c>
      <c r="F61" s="15" t="s">
        <v>65</v>
      </c>
      <c r="G61" s="120" t="str">
        <f>IF(QUOTIENT(G26+G27,2)&lt;2,2-QUOTIENT(G26+G27,2),"")</f>
        <v/>
      </c>
      <c r="H61" s="15" t="s">
        <v>65</v>
      </c>
      <c r="I61" s="120" t="str">
        <f>IF(QUOTIENT(I26+I27,2)&lt;2,2-QUOTIENT(I26+I27,2),"")</f>
        <v/>
      </c>
      <c r="J61" s="15" t="s">
        <v>65</v>
      </c>
      <c r="K61" s="120" t="str">
        <f>IF(QUOTIENT(K26+K27,2)&lt;2,2-QUOTIENT(K26+K27,2),"")</f>
        <v/>
      </c>
      <c r="L61" s="15" t="s">
        <v>65</v>
      </c>
      <c r="M61" s="120" t="str">
        <f>IF(QUOTIENT(M26+M27,2)&lt;2,2-QUOTIENT(M26+M27,2),"")</f>
        <v/>
      </c>
      <c r="N61" s="15" t="s">
        <v>65</v>
      </c>
      <c r="O61" s="120">
        <f>IF(QUOTIENT(O26+O27,2)&lt;2,2-QUOTIENT(O26+O27,2),"")</f>
        <v>1</v>
      </c>
      <c r="P61" s="15" t="s">
        <v>65</v>
      </c>
      <c r="Q61" s="120" t="str">
        <f>IF(QUOTIENT(Q26+Q27,2)&lt;2,2-QUOTIENT(Q26+Q27,2),"")</f>
        <v/>
      </c>
      <c r="R61" s="15" t="s">
        <v>65</v>
      </c>
      <c r="S61" s="120" t="str">
        <f>IF(QUOTIENT(S26+S27,2)&lt;2,2-QUOTIENT(S26+S27,2),"")</f>
        <v/>
      </c>
      <c r="T61" s="15" t="s">
        <v>65</v>
      </c>
      <c r="U61" s="9"/>
      <c r="V61" s="96"/>
    </row>
    <row r="62" spans="1:41" ht="15" customHeight="1" x14ac:dyDescent="0.25">
      <c r="A62" s="96"/>
      <c r="B62" s="122"/>
      <c r="C62" s="126"/>
      <c r="D62" s="16" t="s">
        <v>66</v>
      </c>
      <c r="E62" s="121"/>
      <c r="F62" s="16" t="s">
        <v>66</v>
      </c>
      <c r="G62" s="121"/>
      <c r="H62" s="16" t="s">
        <v>66</v>
      </c>
      <c r="I62" s="121"/>
      <c r="J62" s="16" t="s">
        <v>66</v>
      </c>
      <c r="K62" s="121"/>
      <c r="L62" s="16" t="s">
        <v>66</v>
      </c>
      <c r="M62" s="121"/>
      <c r="N62" s="16" t="s">
        <v>66</v>
      </c>
      <c r="O62" s="121"/>
      <c r="P62" s="16" t="s">
        <v>66</v>
      </c>
      <c r="Q62" s="121"/>
      <c r="R62" s="16" t="s">
        <v>66</v>
      </c>
      <c r="S62" s="121"/>
      <c r="T62" s="16" t="s">
        <v>66</v>
      </c>
      <c r="U62" s="9"/>
      <c r="V62" s="96"/>
    </row>
    <row r="63" spans="1:41" ht="15" customHeight="1" x14ac:dyDescent="0.25">
      <c r="A63" s="96"/>
      <c r="B63" s="122" t="s">
        <v>55</v>
      </c>
      <c r="C63" s="125"/>
      <c r="D63" s="15" t="s">
        <v>65</v>
      </c>
      <c r="E63" s="120" t="str">
        <f>IF(QUOTIENT(E28+E29,2)&lt;2,2-QUOTIENT(E28+E29,2),"")</f>
        <v/>
      </c>
      <c r="F63" s="15" t="s">
        <v>65</v>
      </c>
      <c r="G63" s="120" t="str">
        <f>IF(QUOTIENT(G28+G29,2)&lt;2,2-QUOTIENT(G28+G29,2),"")</f>
        <v/>
      </c>
      <c r="H63" s="15" t="s">
        <v>65</v>
      </c>
      <c r="I63" s="120" t="str">
        <f>IF(QUOTIENT(I28+I29,2)&lt;2,2-QUOTIENT(I28+I29,2),"")</f>
        <v/>
      </c>
      <c r="J63" s="15" t="s">
        <v>65</v>
      </c>
      <c r="K63" s="120" t="str">
        <f>IF(QUOTIENT(K28+K29,2)&lt;2,2-QUOTIENT(K28+K29,2),"")</f>
        <v/>
      </c>
      <c r="L63" s="15" t="s">
        <v>65</v>
      </c>
      <c r="M63" s="120" t="str">
        <f>IF(QUOTIENT(M28+M29,2)&lt;2,2-QUOTIENT(M28+M29,2),"")</f>
        <v/>
      </c>
      <c r="N63" s="15" t="s">
        <v>65</v>
      </c>
      <c r="O63" s="120" t="str">
        <f>IF(QUOTIENT(O28+O29,2)&lt;2,2-QUOTIENT(O28+O29,2),"")</f>
        <v/>
      </c>
      <c r="P63" s="15" t="s">
        <v>65</v>
      </c>
      <c r="Q63" s="120" t="str">
        <f>IF(QUOTIENT(Q28+Q29,2)&lt;2,2-QUOTIENT(Q28+Q29,2),"")</f>
        <v/>
      </c>
      <c r="R63" s="15" t="s">
        <v>65</v>
      </c>
      <c r="S63" s="120" t="str">
        <f>IF(QUOTIENT(S28+S29,2)&lt;2,2-QUOTIENT(S28+S29,2),"")</f>
        <v/>
      </c>
      <c r="T63" s="15" t="s">
        <v>65</v>
      </c>
      <c r="U63" s="9"/>
      <c r="V63" s="96"/>
    </row>
    <row r="64" spans="1:41" ht="15" customHeight="1" x14ac:dyDescent="0.25">
      <c r="A64" s="96"/>
      <c r="B64" s="122"/>
      <c r="C64" s="126"/>
      <c r="D64" s="16" t="s">
        <v>66</v>
      </c>
      <c r="E64" s="121"/>
      <c r="F64" s="16" t="s">
        <v>66</v>
      </c>
      <c r="G64" s="121"/>
      <c r="H64" s="16" t="s">
        <v>66</v>
      </c>
      <c r="I64" s="121"/>
      <c r="J64" s="16" t="s">
        <v>66</v>
      </c>
      <c r="K64" s="121"/>
      <c r="L64" s="16" t="s">
        <v>66</v>
      </c>
      <c r="M64" s="121"/>
      <c r="N64" s="16" t="s">
        <v>66</v>
      </c>
      <c r="O64" s="121"/>
      <c r="P64" s="16" t="s">
        <v>66</v>
      </c>
      <c r="Q64" s="121"/>
      <c r="R64" s="16" t="s">
        <v>66</v>
      </c>
      <c r="S64" s="121"/>
      <c r="T64" s="16" t="s">
        <v>66</v>
      </c>
      <c r="U64" s="9"/>
      <c r="V64" s="96"/>
    </row>
    <row r="65" spans="1:22" ht="15" customHeight="1" x14ac:dyDescent="0.25">
      <c r="A65" s="96"/>
      <c r="B65" s="122" t="s">
        <v>38</v>
      </c>
      <c r="C65" s="11"/>
      <c r="D65" s="15" t="s">
        <v>65</v>
      </c>
      <c r="E65" s="120" t="str">
        <f>IF(QUOTIENT(E30+E31,2)&lt;2,2-QUOTIENT(E30+E31,2),"")</f>
        <v/>
      </c>
      <c r="F65" s="15" t="s">
        <v>65</v>
      </c>
      <c r="G65" s="120" t="str">
        <f>IF(QUOTIENT(G30+G31,2)&lt;2,2-QUOTIENT(G30+G31,2),"")</f>
        <v/>
      </c>
      <c r="H65" s="15" t="s">
        <v>65</v>
      </c>
      <c r="I65" s="120" t="str">
        <f>IF(QUOTIENT(I30+I31,2)&lt;2,2-QUOTIENT(I30+I31,2),"")</f>
        <v/>
      </c>
      <c r="J65" s="15" t="s">
        <v>65</v>
      </c>
      <c r="K65" s="120" t="str">
        <f>IF(QUOTIENT(K30+K31,2)&lt;2,2-QUOTIENT(K30+K31,2),"")</f>
        <v/>
      </c>
      <c r="L65" s="15" t="s">
        <v>65</v>
      </c>
      <c r="M65" s="120" t="str">
        <f>IF(QUOTIENT(M30+M31,2)&lt;2,2-QUOTIENT(M30+M31,2),"")</f>
        <v/>
      </c>
      <c r="N65" s="15" t="s">
        <v>65</v>
      </c>
      <c r="O65" s="120" t="str">
        <f>IF(QUOTIENT(O30+O31,2)&lt;2,2-QUOTIENT(O30+O31,2),"")</f>
        <v/>
      </c>
      <c r="P65" s="15" t="s">
        <v>65</v>
      </c>
      <c r="Q65" s="120" t="str">
        <f>IF(QUOTIENT(Q30+Q31,2)&lt;2,2-QUOTIENT(Q30+Q31,2),"")</f>
        <v/>
      </c>
      <c r="R65" s="15" t="s">
        <v>65</v>
      </c>
      <c r="S65" s="120">
        <f>IF(QUOTIENT(S30+S31,2)&lt;2,2-QUOTIENT(S30+S31,2),"")</f>
        <v>1</v>
      </c>
      <c r="T65" s="15" t="s">
        <v>65</v>
      </c>
      <c r="U65" s="9"/>
      <c r="V65" s="96"/>
    </row>
    <row r="66" spans="1:22" ht="15" customHeight="1" x14ac:dyDescent="0.25">
      <c r="A66" s="10"/>
      <c r="B66" s="122"/>
      <c r="C66" s="20"/>
      <c r="D66" s="17" t="s">
        <v>66</v>
      </c>
      <c r="E66" s="121"/>
      <c r="F66" s="17" t="s">
        <v>66</v>
      </c>
      <c r="G66" s="121"/>
      <c r="H66" s="17" t="s">
        <v>66</v>
      </c>
      <c r="I66" s="121"/>
      <c r="J66" s="17" t="s">
        <v>66</v>
      </c>
      <c r="K66" s="121"/>
      <c r="L66" s="17" t="s">
        <v>66</v>
      </c>
      <c r="M66" s="121"/>
      <c r="N66" s="17" t="s">
        <v>66</v>
      </c>
      <c r="O66" s="121"/>
      <c r="P66" s="17" t="s">
        <v>66</v>
      </c>
      <c r="Q66" s="121"/>
      <c r="R66" s="17" t="s">
        <v>66</v>
      </c>
      <c r="S66" s="121"/>
      <c r="T66" s="17" t="s">
        <v>66</v>
      </c>
      <c r="U66" s="9"/>
      <c r="V66" s="10"/>
    </row>
  </sheetData>
  <mergeCells count="285">
    <mergeCell ref="AN41:AN42"/>
    <mergeCell ref="AN43:AN44"/>
    <mergeCell ref="AN45:AN46"/>
    <mergeCell ref="AN47:AN48"/>
    <mergeCell ref="AN49:AN50"/>
    <mergeCell ref="AN51:AN52"/>
    <mergeCell ref="AN53:AN54"/>
    <mergeCell ref="AN55:AN56"/>
    <mergeCell ref="AL41:AL42"/>
    <mergeCell ref="AL43:AL44"/>
    <mergeCell ref="AL45:AL46"/>
    <mergeCell ref="AL47:AL48"/>
    <mergeCell ref="AL49:AL50"/>
    <mergeCell ref="AL51:AL52"/>
    <mergeCell ref="AL53:AL54"/>
    <mergeCell ref="AL55:AL56"/>
    <mergeCell ref="AJ41:AJ42"/>
    <mergeCell ref="AJ43:AJ44"/>
    <mergeCell ref="AJ45:AJ46"/>
    <mergeCell ref="AJ47:AJ48"/>
    <mergeCell ref="AJ49:AJ50"/>
    <mergeCell ref="AJ51:AJ52"/>
    <mergeCell ref="AJ53:AJ54"/>
    <mergeCell ref="AJ55:AJ56"/>
    <mergeCell ref="AH41:AH42"/>
    <mergeCell ref="AH43:AH44"/>
    <mergeCell ref="AH45:AH46"/>
    <mergeCell ref="AH47:AH48"/>
    <mergeCell ref="AH49:AH50"/>
    <mergeCell ref="AH51:AH52"/>
    <mergeCell ref="AH53:AH54"/>
    <mergeCell ref="AH55:AH56"/>
    <mergeCell ref="AF41:AF42"/>
    <mergeCell ref="AF43:AF44"/>
    <mergeCell ref="AF45:AF46"/>
    <mergeCell ref="AF47:AF48"/>
    <mergeCell ref="AF49:AF50"/>
    <mergeCell ref="AF51:AF52"/>
    <mergeCell ref="AF53:AF54"/>
    <mergeCell ref="AF55:AF56"/>
    <mergeCell ref="AD41:AD42"/>
    <mergeCell ref="AD43:AD44"/>
    <mergeCell ref="AD45:AD46"/>
    <mergeCell ref="AD47:AD48"/>
    <mergeCell ref="AD49:AD50"/>
    <mergeCell ref="AD51:AD52"/>
    <mergeCell ref="AD53:AD54"/>
    <mergeCell ref="AD55:AD56"/>
    <mergeCell ref="AB41:AB42"/>
    <mergeCell ref="AB43:AB44"/>
    <mergeCell ref="AB45:AB46"/>
    <mergeCell ref="AB47:AB48"/>
    <mergeCell ref="AB49:AB50"/>
    <mergeCell ref="AB51:AB52"/>
    <mergeCell ref="AB53:AB54"/>
    <mergeCell ref="AB55:AB56"/>
    <mergeCell ref="Z41:Z42"/>
    <mergeCell ref="Z43:Z44"/>
    <mergeCell ref="Z45:Z46"/>
    <mergeCell ref="Z47:Z48"/>
    <mergeCell ref="Z49:Z50"/>
    <mergeCell ref="Z51:Z52"/>
    <mergeCell ref="Z53:Z54"/>
    <mergeCell ref="Z55:Z56"/>
    <mergeCell ref="Q63:Q64"/>
    <mergeCell ref="S63:S64"/>
    <mergeCell ref="X41:X42"/>
    <mergeCell ref="X43:X44"/>
    <mergeCell ref="X45:X46"/>
    <mergeCell ref="X47:X48"/>
    <mergeCell ref="X49:X50"/>
    <mergeCell ref="X51:X52"/>
    <mergeCell ref="X53:X54"/>
    <mergeCell ref="X55:X56"/>
    <mergeCell ref="S47:S48"/>
    <mergeCell ref="Q49:Q50"/>
    <mergeCell ref="S49:S50"/>
    <mergeCell ref="S51:S52"/>
    <mergeCell ref="Q51:Q52"/>
    <mergeCell ref="Q53:Q54"/>
    <mergeCell ref="Q57:Q58"/>
    <mergeCell ref="Q55:Q56"/>
    <mergeCell ref="S55:S56"/>
    <mergeCell ref="Q41:Q42"/>
    <mergeCell ref="S41:S42"/>
    <mergeCell ref="W47:W48"/>
    <mergeCell ref="E55:E56"/>
    <mergeCell ref="G55:G56"/>
    <mergeCell ref="I55:I56"/>
    <mergeCell ref="K55:K56"/>
    <mergeCell ref="I63:I64"/>
    <mergeCell ref="K63:K64"/>
    <mergeCell ref="M63:M64"/>
    <mergeCell ref="O63:O64"/>
    <mergeCell ref="M55:M56"/>
    <mergeCell ref="O55:O56"/>
    <mergeCell ref="E63:E64"/>
    <mergeCell ref="C41:C42"/>
    <mergeCell ref="C43:C44"/>
    <mergeCell ref="C45:C46"/>
    <mergeCell ref="C47:C48"/>
    <mergeCell ref="C49:C50"/>
    <mergeCell ref="C51:C52"/>
    <mergeCell ref="C53:C54"/>
    <mergeCell ref="C55:C56"/>
    <mergeCell ref="C57:C58"/>
    <mergeCell ref="I43:I44"/>
    <mergeCell ref="K43:K44"/>
    <mergeCell ref="I45:I46"/>
    <mergeCell ref="K45:K46"/>
    <mergeCell ref="M45:M46"/>
    <mergeCell ref="O43:O44"/>
    <mergeCell ref="Q43:Q44"/>
    <mergeCell ref="S43:S44"/>
    <mergeCell ref="O45:O46"/>
    <mergeCell ref="Q45:Q46"/>
    <mergeCell ref="S45:S46"/>
    <mergeCell ref="B61:B62"/>
    <mergeCell ref="B63:B64"/>
    <mergeCell ref="M53:M54"/>
    <mergeCell ref="O53:O54"/>
    <mergeCell ref="W53:W54"/>
    <mergeCell ref="B55:B56"/>
    <mergeCell ref="W55:W56"/>
    <mergeCell ref="B57:B58"/>
    <mergeCell ref="M57:M58"/>
    <mergeCell ref="O57:O58"/>
    <mergeCell ref="M59:M60"/>
    <mergeCell ref="M61:M62"/>
    <mergeCell ref="S53:S54"/>
    <mergeCell ref="S57:S58"/>
    <mergeCell ref="G53:G54"/>
    <mergeCell ref="E57:E58"/>
    <mergeCell ref="G57:G58"/>
    <mergeCell ref="I53:I54"/>
    <mergeCell ref="I57:I58"/>
    <mergeCell ref="K57:K58"/>
    <mergeCell ref="C59:C60"/>
    <mergeCell ref="C61:C62"/>
    <mergeCell ref="C63:C64"/>
    <mergeCell ref="G63:G64"/>
    <mergeCell ref="B49:B50"/>
    <mergeCell ref="M49:M50"/>
    <mergeCell ref="W49:W50"/>
    <mergeCell ref="B51:B52"/>
    <mergeCell ref="O51:O52"/>
    <mergeCell ref="W51:W52"/>
    <mergeCell ref="W41:W42"/>
    <mergeCell ref="B43:B44"/>
    <mergeCell ref="G43:G44"/>
    <mergeCell ref="M43:M44"/>
    <mergeCell ref="W43:W44"/>
    <mergeCell ref="B45:B46"/>
    <mergeCell ref="W45:W46"/>
    <mergeCell ref="E43:E44"/>
    <mergeCell ref="E45:E46"/>
    <mergeCell ref="E47:E48"/>
    <mergeCell ref="E49:E50"/>
    <mergeCell ref="E51:E52"/>
    <mergeCell ref="G45:G46"/>
    <mergeCell ref="G47:G48"/>
    <mergeCell ref="G49:G50"/>
    <mergeCell ref="G51:G52"/>
    <mergeCell ref="I47:I48"/>
    <mergeCell ref="O41:O42"/>
    <mergeCell ref="A41:A65"/>
    <mergeCell ref="B41:B42"/>
    <mergeCell ref="E41:E42"/>
    <mergeCell ref="G41:G42"/>
    <mergeCell ref="I41:I42"/>
    <mergeCell ref="V41:V65"/>
    <mergeCell ref="B47:B48"/>
    <mergeCell ref="B53:B54"/>
    <mergeCell ref="E53:E54"/>
    <mergeCell ref="K53:K54"/>
    <mergeCell ref="B65:B66"/>
    <mergeCell ref="B59:B60"/>
    <mergeCell ref="E59:E60"/>
    <mergeCell ref="E61:E62"/>
    <mergeCell ref="E65:E66"/>
    <mergeCell ref="G59:G60"/>
    <mergeCell ref="G61:G62"/>
    <mergeCell ref="G65:G66"/>
    <mergeCell ref="I59:I60"/>
    <mergeCell ref="I61:I62"/>
    <mergeCell ref="I65:I66"/>
    <mergeCell ref="K59:K60"/>
    <mergeCell ref="K61:K62"/>
    <mergeCell ref="K65:K66"/>
    <mergeCell ref="X38:AO38"/>
    <mergeCell ref="C39:T39"/>
    <mergeCell ref="X39:AO39"/>
    <mergeCell ref="C40:D40"/>
    <mergeCell ref="E40:F40"/>
    <mergeCell ref="G40:H40"/>
    <mergeCell ref="I40:J40"/>
    <mergeCell ref="K40:L40"/>
    <mergeCell ref="M40:N40"/>
    <mergeCell ref="AD40:AE40"/>
    <mergeCell ref="AF40:AG40"/>
    <mergeCell ref="AH40:AI40"/>
    <mergeCell ref="AJ40:AK40"/>
    <mergeCell ref="AL40:AM40"/>
    <mergeCell ref="AN40:AO40"/>
    <mergeCell ref="O40:P40"/>
    <mergeCell ref="Q40:R40"/>
    <mergeCell ref="S40:T40"/>
    <mergeCell ref="X40:Y40"/>
    <mergeCell ref="Z40:AA40"/>
    <mergeCell ref="AB40:AC40"/>
    <mergeCell ref="B26:B27"/>
    <mergeCell ref="W26:W27"/>
    <mergeCell ref="B28:B29"/>
    <mergeCell ref="W28:W29"/>
    <mergeCell ref="B30:B31"/>
    <mergeCell ref="C36:AF36"/>
    <mergeCell ref="B20:B21"/>
    <mergeCell ref="W20:W21"/>
    <mergeCell ref="B22:B23"/>
    <mergeCell ref="W22:W23"/>
    <mergeCell ref="B24:B25"/>
    <mergeCell ref="W24:W25"/>
    <mergeCell ref="W12:W13"/>
    <mergeCell ref="B14:B15"/>
    <mergeCell ref="W14:W15"/>
    <mergeCell ref="B16:B17"/>
    <mergeCell ref="W16:W17"/>
    <mergeCell ref="B18:B19"/>
    <mergeCell ref="W18:W19"/>
    <mergeCell ref="AN5:AO5"/>
    <mergeCell ref="A6:A30"/>
    <mergeCell ref="B6:B7"/>
    <mergeCell ref="V6:V30"/>
    <mergeCell ref="W6:W7"/>
    <mergeCell ref="B8:B9"/>
    <mergeCell ref="W8:W9"/>
    <mergeCell ref="B10:B11"/>
    <mergeCell ref="W10:W11"/>
    <mergeCell ref="B12:B13"/>
    <mergeCell ref="AB5:AC5"/>
    <mergeCell ref="AD5:AE5"/>
    <mergeCell ref="AF5:AG5"/>
    <mergeCell ref="AH5:AI5"/>
    <mergeCell ref="AJ5:AK5"/>
    <mergeCell ref="AL5:AM5"/>
    <mergeCell ref="M5:N5"/>
    <mergeCell ref="O5:P5"/>
    <mergeCell ref="Q5:R5"/>
    <mergeCell ref="S5:T5"/>
    <mergeCell ref="X5:Y5"/>
    <mergeCell ref="Z5:AA5"/>
    <mergeCell ref="C1:AF1"/>
    <mergeCell ref="C3:T3"/>
    <mergeCell ref="X3:AO3"/>
    <mergeCell ref="C4:T4"/>
    <mergeCell ref="X4:AO4"/>
    <mergeCell ref="C5:D5"/>
    <mergeCell ref="E5:F5"/>
    <mergeCell ref="G5:H5"/>
    <mergeCell ref="I5:J5"/>
    <mergeCell ref="K5:L5"/>
    <mergeCell ref="B37:T37"/>
    <mergeCell ref="M65:M66"/>
    <mergeCell ref="O59:O60"/>
    <mergeCell ref="O61:O62"/>
    <mergeCell ref="O65:O66"/>
    <mergeCell ref="Q59:Q60"/>
    <mergeCell ref="Q61:Q62"/>
    <mergeCell ref="Q65:Q66"/>
    <mergeCell ref="S59:S60"/>
    <mergeCell ref="S61:S62"/>
    <mergeCell ref="S65:S66"/>
    <mergeCell ref="C38:T38"/>
    <mergeCell ref="I49:I50"/>
    <mergeCell ref="I51:I52"/>
    <mergeCell ref="K47:K48"/>
    <mergeCell ref="K49:K50"/>
    <mergeCell ref="K51:K52"/>
    <mergeCell ref="M47:M48"/>
    <mergeCell ref="M51:M52"/>
    <mergeCell ref="O47:O48"/>
    <mergeCell ref="O49:O50"/>
    <mergeCell ref="Q47:Q48"/>
    <mergeCell ref="K41:K42"/>
    <mergeCell ref="M41:M42"/>
  </mergeCells>
  <pageMargins left="0.7" right="0.7" top="0.75" bottom="0.75" header="0.3" footer="0.3"/>
  <ignoredErrors>
    <ignoredError sqref="C5:T5 B6:B31 W6:W29 X5:AO5 B41:B66 C40:T40 X40:AO40 W41:W56 H24:H29 H31 H30 J24:J29 J31 J30 L24:L29 L31 L30 N24:N29 N31 N30 P24:P29 P31 P30 R24:R29 R31 R30" numberStoredAsText="1"/>
  </ignoredError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Hoja10">
    <pageSetUpPr fitToPage="1"/>
  </sheetPr>
  <dimension ref="A1:AP67"/>
  <sheetViews>
    <sheetView topLeftCell="A2" workbookViewId="0">
      <selection activeCell="AJ10" sqref="AJ10"/>
    </sheetView>
  </sheetViews>
  <sheetFormatPr baseColWidth="10" defaultColWidth="11.42578125" defaultRowHeight="15" x14ac:dyDescent="0.25"/>
  <cols>
    <col min="2" max="2" width="5.5703125" bestFit="1" customWidth="1"/>
    <col min="3" max="3" width="4.42578125" customWidth="1"/>
    <col min="4" max="4" width="2.140625" bestFit="1" customWidth="1"/>
    <col min="5" max="5" width="5.5703125" customWidth="1"/>
    <col min="6" max="6" width="2.140625" bestFit="1" customWidth="1"/>
    <col min="7" max="7" width="5.28515625" customWidth="1"/>
    <col min="8" max="8" width="2.140625" bestFit="1" customWidth="1"/>
    <col min="9" max="9" width="4.85546875" customWidth="1"/>
    <col min="10" max="10" width="2.140625" bestFit="1" customWidth="1"/>
    <col min="11" max="11" width="5.42578125" customWidth="1"/>
    <col min="12" max="12" width="2.140625" bestFit="1" customWidth="1"/>
    <col min="13" max="13" width="5.28515625" customWidth="1"/>
    <col min="14" max="14" width="2.140625" bestFit="1" customWidth="1"/>
    <col min="15" max="15" width="5.140625" customWidth="1"/>
    <col min="16" max="16" width="2.140625" bestFit="1" customWidth="1"/>
    <col min="17" max="17" width="4.85546875" customWidth="1"/>
    <col min="18" max="18" width="2.140625" bestFit="1" customWidth="1"/>
    <col min="19" max="19" width="4.7109375" customWidth="1"/>
    <col min="20" max="20" width="2.140625" bestFit="1" customWidth="1"/>
    <col min="21" max="21" width="0.5703125" customWidth="1"/>
    <col min="23" max="23" width="5.28515625" bestFit="1" customWidth="1"/>
    <col min="24" max="24" width="5.140625" customWidth="1"/>
    <col min="25" max="25" width="2.140625" bestFit="1" customWidth="1"/>
    <col min="26" max="26" width="5.140625" customWidth="1"/>
    <col min="27" max="27" width="2.140625" bestFit="1" customWidth="1"/>
    <col min="28" max="28" width="5.140625" customWidth="1"/>
    <col min="29" max="29" width="2.140625" bestFit="1" customWidth="1"/>
    <col min="30" max="30" width="5" customWidth="1"/>
    <col min="31" max="31" width="2.140625" bestFit="1" customWidth="1"/>
    <col min="32" max="32" width="5.28515625" customWidth="1"/>
    <col min="33" max="33" width="2.140625" bestFit="1" customWidth="1"/>
    <col min="34" max="34" width="5.5703125" customWidth="1"/>
    <col min="35" max="35" width="2.140625" bestFit="1" customWidth="1"/>
    <col min="36" max="36" width="5.5703125" customWidth="1"/>
    <col min="37" max="37" width="2.140625" bestFit="1" customWidth="1"/>
    <col min="38" max="38" width="5.7109375" customWidth="1"/>
    <col min="39" max="39" width="2.140625" bestFit="1" customWidth="1"/>
    <col min="40" max="40" width="5.7109375" customWidth="1"/>
    <col min="41" max="41" width="2.140625" bestFit="1" customWidth="1"/>
  </cols>
  <sheetData>
    <row r="1" spans="1:42" ht="23.25" x14ac:dyDescent="0.25">
      <c r="A1" s="4"/>
      <c r="B1" s="4"/>
      <c r="C1" s="95" t="s">
        <v>70</v>
      </c>
      <c r="D1" s="95"/>
      <c r="E1" s="95"/>
      <c r="F1" s="95"/>
      <c r="G1" s="95"/>
      <c r="H1" s="95"/>
      <c r="I1" s="95"/>
      <c r="J1" s="95"/>
      <c r="K1" s="95"/>
      <c r="L1" s="95"/>
      <c r="M1" s="95"/>
      <c r="N1" s="95"/>
      <c r="O1" s="95"/>
      <c r="P1" s="95"/>
      <c r="Q1" s="95"/>
      <c r="R1" s="95"/>
      <c r="S1" s="95"/>
      <c r="T1" s="95"/>
      <c r="U1" s="95"/>
      <c r="V1" s="95"/>
      <c r="W1" s="95"/>
      <c r="X1" s="95"/>
      <c r="Y1" s="95"/>
      <c r="Z1" s="95"/>
      <c r="AA1" s="95"/>
      <c r="AB1" s="95"/>
      <c r="AC1" s="95"/>
      <c r="AD1" s="95"/>
      <c r="AE1" s="95"/>
      <c r="AF1" s="95"/>
      <c r="AG1" s="9"/>
      <c r="AH1" s="9"/>
      <c r="AI1" s="9"/>
      <c r="AJ1" s="9"/>
      <c r="AK1" s="9"/>
      <c r="AL1" s="9"/>
      <c r="AM1" s="9"/>
      <c r="AN1" s="9"/>
      <c r="AO1" s="9"/>
      <c r="AP1" s="9"/>
    </row>
    <row r="2" spans="1:42" x14ac:dyDescent="0.25">
      <c r="A2" s="4"/>
      <c r="B2" s="4"/>
      <c r="C2" s="4"/>
      <c r="D2" s="4"/>
      <c r="E2" s="4"/>
      <c r="F2" s="4"/>
      <c r="G2" s="4"/>
      <c r="H2" s="4"/>
      <c r="I2" s="4"/>
      <c r="J2" s="4"/>
      <c r="K2" s="4"/>
      <c r="L2" s="4"/>
      <c r="M2" s="4"/>
      <c r="N2" s="4"/>
      <c r="O2" s="4"/>
      <c r="P2" s="4"/>
      <c r="Q2" s="4"/>
      <c r="R2" s="4"/>
      <c r="S2" s="4"/>
      <c r="T2" s="4"/>
      <c r="U2" s="4"/>
      <c r="V2" s="4"/>
      <c r="W2" s="4"/>
      <c r="X2" s="4"/>
      <c r="Y2" s="4"/>
      <c r="Z2" s="4"/>
      <c r="AA2" s="4"/>
      <c r="AB2" s="4"/>
      <c r="AC2" s="4"/>
      <c r="AD2" s="4"/>
      <c r="AE2" s="4"/>
      <c r="AF2" s="4"/>
      <c r="AG2" s="9"/>
      <c r="AH2" s="9"/>
      <c r="AI2" s="9"/>
      <c r="AJ2" s="9"/>
      <c r="AK2" s="9"/>
      <c r="AL2" s="9"/>
      <c r="AM2" s="9"/>
      <c r="AN2" s="9"/>
      <c r="AO2" s="9"/>
      <c r="AP2" s="9"/>
    </row>
    <row r="3" spans="1:42" ht="36" x14ac:dyDescent="0.25">
      <c r="A3" s="4"/>
      <c r="B3" s="5"/>
      <c r="C3" s="97" t="s">
        <v>58</v>
      </c>
      <c r="D3" s="97"/>
      <c r="E3" s="97"/>
      <c r="F3" s="97"/>
      <c r="G3" s="97"/>
      <c r="H3" s="97"/>
      <c r="I3" s="97"/>
      <c r="J3" s="97"/>
      <c r="K3" s="97"/>
      <c r="L3" s="97"/>
      <c r="M3" s="97"/>
      <c r="N3" s="97"/>
      <c r="O3" s="97"/>
      <c r="P3" s="97"/>
      <c r="Q3" s="97"/>
      <c r="R3" s="97"/>
      <c r="S3" s="97"/>
      <c r="T3" s="97"/>
      <c r="V3" s="4"/>
      <c r="W3" s="5"/>
      <c r="X3" s="97" t="s">
        <v>58</v>
      </c>
      <c r="Y3" s="97"/>
      <c r="Z3" s="97"/>
      <c r="AA3" s="97"/>
      <c r="AB3" s="97"/>
      <c r="AC3" s="97"/>
      <c r="AD3" s="97"/>
      <c r="AE3" s="97"/>
      <c r="AF3" s="97"/>
      <c r="AG3" s="97"/>
      <c r="AH3" s="97"/>
      <c r="AI3" s="97"/>
      <c r="AJ3" s="97"/>
      <c r="AK3" s="97"/>
      <c r="AL3" s="97"/>
      <c r="AM3" s="97"/>
      <c r="AN3" s="97"/>
      <c r="AO3" s="97"/>
      <c r="AP3" s="9"/>
    </row>
    <row r="4" spans="1:42" ht="15.75" x14ac:dyDescent="0.25">
      <c r="A4" s="4"/>
      <c r="B4" s="5"/>
      <c r="C4" s="98"/>
      <c r="D4" s="98"/>
      <c r="E4" s="98"/>
      <c r="F4" s="98"/>
      <c r="G4" s="98"/>
      <c r="H4" s="98"/>
      <c r="I4" s="98"/>
      <c r="J4" s="98"/>
      <c r="K4" s="98"/>
      <c r="L4" s="98"/>
      <c r="M4" s="98"/>
      <c r="N4" s="98"/>
      <c r="O4" s="98"/>
      <c r="P4" s="98"/>
      <c r="Q4" s="98"/>
      <c r="R4" s="98"/>
      <c r="S4" s="98"/>
      <c r="T4" s="98"/>
      <c r="U4" s="9"/>
      <c r="V4" s="4"/>
      <c r="W4" s="5"/>
      <c r="X4" s="98"/>
      <c r="Y4" s="98"/>
      <c r="Z4" s="98"/>
      <c r="AA4" s="98"/>
      <c r="AB4" s="98"/>
      <c r="AC4" s="98"/>
      <c r="AD4" s="98"/>
      <c r="AE4" s="98"/>
      <c r="AF4" s="98"/>
      <c r="AG4" s="98"/>
      <c r="AH4" s="98"/>
      <c r="AI4" s="98"/>
      <c r="AJ4" s="98"/>
      <c r="AK4" s="98"/>
      <c r="AL4" s="98"/>
      <c r="AM4" s="98"/>
      <c r="AN4" s="98"/>
      <c r="AO4" s="98"/>
      <c r="AP4" s="9"/>
    </row>
    <row r="5" spans="1:42" ht="15.75" x14ac:dyDescent="0.25">
      <c r="A5" s="6" t="s">
        <v>51</v>
      </c>
      <c r="B5" s="28"/>
      <c r="C5" s="122" t="s">
        <v>59</v>
      </c>
      <c r="D5" s="122"/>
      <c r="E5" s="122" t="s">
        <v>60</v>
      </c>
      <c r="F5" s="122"/>
      <c r="G5" s="122" t="s">
        <v>61</v>
      </c>
      <c r="H5" s="122"/>
      <c r="I5" s="122" t="s">
        <v>62</v>
      </c>
      <c r="J5" s="122"/>
      <c r="K5" s="122" t="s">
        <v>63</v>
      </c>
      <c r="L5" s="122"/>
      <c r="M5" s="122" t="s">
        <v>64</v>
      </c>
      <c r="N5" s="122"/>
      <c r="O5" s="122" t="s">
        <v>67</v>
      </c>
      <c r="P5" s="122"/>
      <c r="Q5" s="122" t="s">
        <v>68</v>
      </c>
      <c r="R5" s="122"/>
      <c r="S5" s="122" t="s">
        <v>69</v>
      </c>
      <c r="T5" s="122"/>
      <c r="U5" s="9"/>
      <c r="V5" s="6" t="s">
        <v>52</v>
      </c>
      <c r="W5" s="28"/>
      <c r="X5" s="122" t="s">
        <v>59</v>
      </c>
      <c r="Y5" s="122"/>
      <c r="Z5" s="122" t="s">
        <v>60</v>
      </c>
      <c r="AA5" s="122"/>
      <c r="AB5" s="122" t="s">
        <v>61</v>
      </c>
      <c r="AC5" s="122"/>
      <c r="AD5" s="122" t="s">
        <v>62</v>
      </c>
      <c r="AE5" s="122"/>
      <c r="AF5" s="122" t="s">
        <v>63</v>
      </c>
      <c r="AG5" s="122"/>
      <c r="AH5" s="122" t="s">
        <v>64</v>
      </c>
      <c r="AI5" s="122"/>
      <c r="AJ5" s="123" t="s">
        <v>54</v>
      </c>
      <c r="AK5" s="124"/>
      <c r="AL5" s="122" t="s">
        <v>55</v>
      </c>
      <c r="AM5" s="122"/>
      <c r="AN5" s="122" t="s">
        <v>38</v>
      </c>
      <c r="AO5" s="122"/>
      <c r="AP5" s="9"/>
    </row>
    <row r="6" spans="1:42" x14ac:dyDescent="0.25">
      <c r="A6" s="96" t="s">
        <v>0</v>
      </c>
      <c r="B6" s="122" t="s">
        <v>2</v>
      </c>
      <c r="C6" s="11"/>
      <c r="D6" s="15" t="s">
        <v>65</v>
      </c>
      <c r="E6" s="11">
        <v>4</v>
      </c>
      <c r="F6" s="15" t="s">
        <v>65</v>
      </c>
      <c r="G6" s="11">
        <v>5</v>
      </c>
      <c r="H6" s="15" t="s">
        <v>65</v>
      </c>
      <c r="I6" s="12">
        <v>3</v>
      </c>
      <c r="J6" s="15" t="s">
        <v>65</v>
      </c>
      <c r="K6" s="12">
        <v>4</v>
      </c>
      <c r="L6" s="15" t="s">
        <v>65</v>
      </c>
      <c r="M6" s="12">
        <v>5</v>
      </c>
      <c r="N6" s="15" t="s">
        <v>65</v>
      </c>
      <c r="O6" s="12">
        <v>5</v>
      </c>
      <c r="P6" s="15" t="s">
        <v>65</v>
      </c>
      <c r="Q6" s="34">
        <v>5</v>
      </c>
      <c r="R6" s="15" t="s">
        <v>65</v>
      </c>
      <c r="S6" s="34">
        <v>2</v>
      </c>
      <c r="T6" s="15" t="s">
        <v>65</v>
      </c>
      <c r="U6" s="9"/>
      <c r="V6" s="96" t="s">
        <v>0</v>
      </c>
      <c r="W6" s="122" t="s">
        <v>3</v>
      </c>
      <c r="X6" s="11"/>
      <c r="Y6" s="15" t="s">
        <v>65</v>
      </c>
      <c r="Z6" s="11"/>
      <c r="AA6" s="15" t="s">
        <v>65</v>
      </c>
      <c r="AB6" s="11"/>
      <c r="AC6" s="15" t="s">
        <v>65</v>
      </c>
      <c r="AD6" s="11">
        <v>4</v>
      </c>
      <c r="AE6" s="15" t="s">
        <v>65</v>
      </c>
      <c r="AF6" s="11">
        <v>3</v>
      </c>
      <c r="AG6" s="15" t="s">
        <v>65</v>
      </c>
      <c r="AH6" s="11">
        <v>2</v>
      </c>
      <c r="AI6" s="15" t="s">
        <v>65</v>
      </c>
      <c r="AJ6" s="12">
        <v>2</v>
      </c>
      <c r="AK6" s="15" t="s">
        <v>65</v>
      </c>
      <c r="AL6" s="11">
        <v>2</v>
      </c>
      <c r="AM6" s="15" t="s">
        <v>65</v>
      </c>
      <c r="AN6" s="11">
        <v>2</v>
      </c>
      <c r="AO6" s="15" t="s">
        <v>65</v>
      </c>
      <c r="AP6" s="9"/>
    </row>
    <row r="7" spans="1:42" x14ac:dyDescent="0.25">
      <c r="A7" s="96"/>
      <c r="B7" s="122"/>
      <c r="C7" s="13"/>
      <c r="D7" s="16" t="s">
        <v>66</v>
      </c>
      <c r="E7" s="13">
        <v>5</v>
      </c>
      <c r="F7" s="16" t="s">
        <v>66</v>
      </c>
      <c r="G7" s="13">
        <v>4</v>
      </c>
      <c r="H7" s="16" t="s">
        <v>66</v>
      </c>
      <c r="I7" s="14">
        <v>2</v>
      </c>
      <c r="J7" s="16" t="s">
        <v>66</v>
      </c>
      <c r="K7" s="14">
        <v>4</v>
      </c>
      <c r="L7" s="16" t="s">
        <v>66</v>
      </c>
      <c r="M7" s="14">
        <v>4</v>
      </c>
      <c r="N7" s="16" t="s">
        <v>66</v>
      </c>
      <c r="O7" s="14">
        <v>4</v>
      </c>
      <c r="P7" s="16" t="s">
        <v>66</v>
      </c>
      <c r="Q7" s="35">
        <v>4</v>
      </c>
      <c r="R7" s="16" t="s">
        <v>66</v>
      </c>
      <c r="S7" s="35">
        <v>6</v>
      </c>
      <c r="T7" s="16" t="s">
        <v>66</v>
      </c>
      <c r="U7" s="9"/>
      <c r="V7" s="96"/>
      <c r="W7" s="122"/>
      <c r="X7" s="13"/>
      <c r="Y7" s="16" t="s">
        <v>66</v>
      </c>
      <c r="Z7" s="13"/>
      <c r="AA7" s="16" t="s">
        <v>66</v>
      </c>
      <c r="AB7" s="13">
        <v>1</v>
      </c>
      <c r="AC7" s="16" t="s">
        <v>66</v>
      </c>
      <c r="AD7" s="13">
        <v>1</v>
      </c>
      <c r="AE7" s="16" t="s">
        <v>66</v>
      </c>
      <c r="AF7" s="13">
        <v>1</v>
      </c>
      <c r="AG7" s="16" t="s">
        <v>66</v>
      </c>
      <c r="AH7" s="13">
        <v>3</v>
      </c>
      <c r="AI7" s="16" t="s">
        <v>66</v>
      </c>
      <c r="AJ7" s="14">
        <v>3</v>
      </c>
      <c r="AK7" s="16" t="s">
        <v>66</v>
      </c>
      <c r="AL7" s="13">
        <v>2</v>
      </c>
      <c r="AM7" s="16" t="s">
        <v>66</v>
      </c>
      <c r="AN7" s="13">
        <v>2</v>
      </c>
      <c r="AO7" s="16" t="s">
        <v>66</v>
      </c>
      <c r="AP7" s="9"/>
    </row>
    <row r="8" spans="1:42" x14ac:dyDescent="0.25">
      <c r="A8" s="96"/>
      <c r="B8" s="122" t="s">
        <v>29</v>
      </c>
      <c r="C8" s="11"/>
      <c r="D8" s="15" t="s">
        <v>65</v>
      </c>
      <c r="E8" s="11">
        <v>2</v>
      </c>
      <c r="F8" s="15" t="s">
        <v>65</v>
      </c>
      <c r="G8" s="11">
        <v>4</v>
      </c>
      <c r="H8" s="15" t="s">
        <v>65</v>
      </c>
      <c r="I8" s="12">
        <v>5</v>
      </c>
      <c r="J8" s="15" t="s">
        <v>65</v>
      </c>
      <c r="K8" s="12">
        <v>4</v>
      </c>
      <c r="L8" s="15" t="s">
        <v>65</v>
      </c>
      <c r="M8" s="12">
        <v>4</v>
      </c>
      <c r="N8" s="15" t="s">
        <v>65</v>
      </c>
      <c r="O8" s="12">
        <v>2</v>
      </c>
      <c r="P8" s="15" t="s">
        <v>65</v>
      </c>
      <c r="Q8" s="34">
        <v>2</v>
      </c>
      <c r="R8" s="15" t="s">
        <v>65</v>
      </c>
      <c r="S8" s="34">
        <v>2</v>
      </c>
      <c r="T8" s="15" t="s">
        <v>65</v>
      </c>
      <c r="U8" s="9"/>
      <c r="V8" s="96"/>
      <c r="W8" s="122" t="s">
        <v>4</v>
      </c>
      <c r="X8" s="11"/>
      <c r="Y8" s="15" t="s">
        <v>65</v>
      </c>
      <c r="Z8" s="11">
        <v>3</v>
      </c>
      <c r="AA8" s="15" t="s">
        <v>65</v>
      </c>
      <c r="AB8" s="11">
        <v>3</v>
      </c>
      <c r="AC8" s="15" t="s">
        <v>65</v>
      </c>
      <c r="AD8" s="11">
        <v>3</v>
      </c>
      <c r="AE8" s="15" t="s">
        <v>65</v>
      </c>
      <c r="AF8" s="11">
        <v>2</v>
      </c>
      <c r="AG8" s="15" t="s">
        <v>65</v>
      </c>
      <c r="AH8" s="11">
        <v>3</v>
      </c>
      <c r="AI8" s="15" t="s">
        <v>65</v>
      </c>
      <c r="AJ8" s="12">
        <v>1</v>
      </c>
      <c r="AK8" s="15" t="s">
        <v>65</v>
      </c>
      <c r="AL8" s="11">
        <v>2</v>
      </c>
      <c r="AM8" s="15" t="s">
        <v>65</v>
      </c>
      <c r="AN8" s="11">
        <v>3</v>
      </c>
      <c r="AO8" s="15" t="s">
        <v>65</v>
      </c>
      <c r="AP8" s="9"/>
    </row>
    <row r="9" spans="1:42" x14ac:dyDescent="0.25">
      <c r="A9" s="96"/>
      <c r="B9" s="122"/>
      <c r="C9" s="13"/>
      <c r="D9" s="16" t="s">
        <v>66</v>
      </c>
      <c r="E9" s="13">
        <v>3</v>
      </c>
      <c r="F9" s="16" t="s">
        <v>66</v>
      </c>
      <c r="G9" s="13">
        <v>4</v>
      </c>
      <c r="H9" s="16" t="s">
        <v>66</v>
      </c>
      <c r="I9" s="14">
        <v>3</v>
      </c>
      <c r="J9" s="16" t="s">
        <v>66</v>
      </c>
      <c r="K9" s="14">
        <v>4</v>
      </c>
      <c r="L9" s="16" t="s">
        <v>66</v>
      </c>
      <c r="M9" s="14">
        <v>4</v>
      </c>
      <c r="N9" s="16" t="s">
        <v>66</v>
      </c>
      <c r="O9" s="14">
        <v>4</v>
      </c>
      <c r="P9" s="16" t="s">
        <v>66</v>
      </c>
      <c r="Q9" s="35">
        <v>2</v>
      </c>
      <c r="R9" s="16" t="s">
        <v>66</v>
      </c>
      <c r="S9" s="35">
        <v>2</v>
      </c>
      <c r="T9" s="16" t="s">
        <v>66</v>
      </c>
      <c r="U9" s="9"/>
      <c r="V9" s="96"/>
      <c r="W9" s="122"/>
      <c r="X9" s="13"/>
      <c r="Y9" s="16" t="s">
        <v>66</v>
      </c>
      <c r="Z9" s="13">
        <v>1</v>
      </c>
      <c r="AA9" s="16" t="s">
        <v>66</v>
      </c>
      <c r="AB9" s="13">
        <v>2</v>
      </c>
      <c r="AC9" s="16" t="s">
        <v>66</v>
      </c>
      <c r="AD9" s="13">
        <v>2</v>
      </c>
      <c r="AE9" s="16" t="s">
        <v>66</v>
      </c>
      <c r="AF9" s="13">
        <v>2</v>
      </c>
      <c r="AG9" s="16" t="s">
        <v>66</v>
      </c>
      <c r="AH9" s="13">
        <v>2</v>
      </c>
      <c r="AI9" s="16" t="s">
        <v>66</v>
      </c>
      <c r="AJ9" s="14">
        <v>1</v>
      </c>
      <c r="AK9" s="16" t="s">
        <v>66</v>
      </c>
      <c r="AL9" s="13">
        <v>2</v>
      </c>
      <c r="AM9" s="16" t="s">
        <v>66</v>
      </c>
      <c r="AN9" s="13">
        <v>2</v>
      </c>
      <c r="AO9" s="16" t="s">
        <v>66</v>
      </c>
      <c r="AP9" s="9"/>
    </row>
    <row r="10" spans="1:42" x14ac:dyDescent="0.25">
      <c r="A10" s="96"/>
      <c r="B10" s="122" t="s">
        <v>30</v>
      </c>
      <c r="C10" s="11"/>
      <c r="D10" s="15" t="s">
        <v>65</v>
      </c>
      <c r="E10" s="11">
        <v>4</v>
      </c>
      <c r="F10" s="15" t="s">
        <v>65</v>
      </c>
      <c r="G10" s="11">
        <v>3</v>
      </c>
      <c r="H10" s="15" t="s">
        <v>65</v>
      </c>
      <c r="I10" s="12">
        <v>3</v>
      </c>
      <c r="J10" s="15" t="s">
        <v>65</v>
      </c>
      <c r="K10" s="12">
        <v>2</v>
      </c>
      <c r="L10" s="15" t="s">
        <v>65</v>
      </c>
      <c r="M10" s="12">
        <v>2</v>
      </c>
      <c r="N10" s="15" t="s">
        <v>65</v>
      </c>
      <c r="O10" s="12">
        <v>3</v>
      </c>
      <c r="P10" s="15" t="s">
        <v>65</v>
      </c>
      <c r="Q10" s="34">
        <v>4</v>
      </c>
      <c r="R10" s="15" t="s">
        <v>65</v>
      </c>
      <c r="S10" s="34">
        <v>3</v>
      </c>
      <c r="T10" s="15" t="s">
        <v>65</v>
      </c>
      <c r="U10" s="9"/>
      <c r="V10" s="96"/>
      <c r="W10" s="122" t="s">
        <v>5</v>
      </c>
      <c r="X10" s="11"/>
      <c r="Y10" s="15" t="s">
        <v>65</v>
      </c>
      <c r="Z10" s="11">
        <v>2</v>
      </c>
      <c r="AA10" s="15" t="s">
        <v>65</v>
      </c>
      <c r="AB10" s="11">
        <v>3</v>
      </c>
      <c r="AC10" s="15" t="s">
        <v>65</v>
      </c>
      <c r="AD10" s="11"/>
      <c r="AE10" s="15" t="s">
        <v>65</v>
      </c>
      <c r="AF10" s="11">
        <v>3</v>
      </c>
      <c r="AG10" s="15" t="s">
        <v>65</v>
      </c>
      <c r="AH10" s="11">
        <v>2</v>
      </c>
      <c r="AI10" s="15" t="s">
        <v>65</v>
      </c>
      <c r="AJ10" s="12">
        <v>2</v>
      </c>
      <c r="AK10" s="15" t="s">
        <v>65</v>
      </c>
      <c r="AL10" s="11">
        <v>3</v>
      </c>
      <c r="AM10" s="15" t="s">
        <v>65</v>
      </c>
      <c r="AN10" s="11">
        <v>2</v>
      </c>
      <c r="AO10" s="15" t="s">
        <v>65</v>
      </c>
      <c r="AP10" s="9"/>
    </row>
    <row r="11" spans="1:42" x14ac:dyDescent="0.25">
      <c r="A11" s="96"/>
      <c r="B11" s="122"/>
      <c r="C11" s="13"/>
      <c r="D11" s="16" t="s">
        <v>66</v>
      </c>
      <c r="E11" s="13">
        <v>3</v>
      </c>
      <c r="F11" s="16" t="s">
        <v>66</v>
      </c>
      <c r="G11" s="13">
        <v>3</v>
      </c>
      <c r="H11" s="16" t="s">
        <v>66</v>
      </c>
      <c r="I11" s="14">
        <v>3</v>
      </c>
      <c r="J11" s="16" t="s">
        <v>66</v>
      </c>
      <c r="K11" s="14">
        <v>5</v>
      </c>
      <c r="L11" s="16" t="s">
        <v>66</v>
      </c>
      <c r="M11" s="14">
        <v>5</v>
      </c>
      <c r="N11" s="16" t="s">
        <v>66</v>
      </c>
      <c r="O11" s="14">
        <v>6</v>
      </c>
      <c r="P11" s="16" t="s">
        <v>66</v>
      </c>
      <c r="Q11" s="35">
        <v>3</v>
      </c>
      <c r="R11" s="16" t="s">
        <v>66</v>
      </c>
      <c r="S11" s="35">
        <v>1</v>
      </c>
      <c r="T11" s="16" t="s">
        <v>66</v>
      </c>
      <c r="U11" s="9"/>
      <c r="V11" s="96"/>
      <c r="W11" s="122"/>
      <c r="X11" s="13"/>
      <c r="Y11" s="16" t="s">
        <v>66</v>
      </c>
      <c r="Z11" s="13"/>
      <c r="AA11" s="16" t="s">
        <v>66</v>
      </c>
      <c r="AB11" s="13">
        <v>2</v>
      </c>
      <c r="AC11" s="16" t="s">
        <v>66</v>
      </c>
      <c r="AD11" s="13"/>
      <c r="AE11" s="16" t="s">
        <v>66</v>
      </c>
      <c r="AF11" s="13">
        <v>2</v>
      </c>
      <c r="AG11" s="16" t="s">
        <v>66</v>
      </c>
      <c r="AH11" s="13">
        <v>2</v>
      </c>
      <c r="AI11" s="16" t="s">
        <v>66</v>
      </c>
      <c r="AJ11" s="14">
        <v>1</v>
      </c>
      <c r="AK11" s="16" t="s">
        <v>66</v>
      </c>
      <c r="AL11" s="13">
        <v>3</v>
      </c>
      <c r="AM11" s="16" t="s">
        <v>66</v>
      </c>
      <c r="AN11" s="13">
        <v>3</v>
      </c>
      <c r="AO11" s="16" t="s">
        <v>66</v>
      </c>
      <c r="AP11" s="9"/>
    </row>
    <row r="12" spans="1:42" x14ac:dyDescent="0.25">
      <c r="A12" s="96"/>
      <c r="B12" s="122" t="s">
        <v>31</v>
      </c>
      <c r="C12" s="11"/>
      <c r="D12" s="15" t="s">
        <v>65</v>
      </c>
      <c r="E12" s="11">
        <v>3</v>
      </c>
      <c r="F12" s="15" t="s">
        <v>65</v>
      </c>
      <c r="G12" s="11">
        <v>2</v>
      </c>
      <c r="H12" s="15" t="s">
        <v>65</v>
      </c>
      <c r="I12" s="12">
        <v>2</v>
      </c>
      <c r="J12" s="15" t="s">
        <v>65</v>
      </c>
      <c r="K12" s="12">
        <v>4</v>
      </c>
      <c r="L12" s="15" t="s">
        <v>65</v>
      </c>
      <c r="M12" s="12">
        <v>2</v>
      </c>
      <c r="N12" s="15" t="s">
        <v>65</v>
      </c>
      <c r="O12" s="12">
        <v>3</v>
      </c>
      <c r="P12" s="15" t="s">
        <v>65</v>
      </c>
      <c r="Q12" s="34">
        <v>3</v>
      </c>
      <c r="R12" s="15" t="s">
        <v>65</v>
      </c>
      <c r="S12" s="34">
        <v>4</v>
      </c>
      <c r="T12" s="15" t="s">
        <v>65</v>
      </c>
      <c r="U12" s="9"/>
      <c r="V12" s="96"/>
      <c r="W12" s="122" t="s">
        <v>6</v>
      </c>
      <c r="X12" s="11"/>
      <c r="Y12" s="15" t="s">
        <v>65</v>
      </c>
      <c r="Z12" s="11">
        <v>3</v>
      </c>
      <c r="AA12" s="15" t="s">
        <v>65</v>
      </c>
      <c r="AB12" s="11">
        <v>3</v>
      </c>
      <c r="AC12" s="15" t="s">
        <v>65</v>
      </c>
      <c r="AD12" s="11">
        <v>2</v>
      </c>
      <c r="AE12" s="15" t="s">
        <v>65</v>
      </c>
      <c r="AF12" s="11">
        <v>3</v>
      </c>
      <c r="AG12" s="15" t="s">
        <v>65</v>
      </c>
      <c r="AH12" s="11">
        <v>3</v>
      </c>
      <c r="AI12" s="15" t="s">
        <v>65</v>
      </c>
      <c r="AJ12" s="12">
        <v>2</v>
      </c>
      <c r="AK12" s="15" t="s">
        <v>65</v>
      </c>
      <c r="AL12" s="11">
        <v>3</v>
      </c>
      <c r="AM12" s="15" t="s">
        <v>65</v>
      </c>
      <c r="AN12" s="11">
        <v>1</v>
      </c>
      <c r="AO12" s="15" t="s">
        <v>65</v>
      </c>
      <c r="AP12" s="9"/>
    </row>
    <row r="13" spans="1:42" x14ac:dyDescent="0.25">
      <c r="A13" s="96"/>
      <c r="B13" s="122"/>
      <c r="C13" s="13"/>
      <c r="D13" s="16" t="s">
        <v>66</v>
      </c>
      <c r="E13" s="13">
        <v>4</v>
      </c>
      <c r="F13" s="16" t="s">
        <v>66</v>
      </c>
      <c r="G13" s="13">
        <v>4</v>
      </c>
      <c r="H13" s="16" t="s">
        <v>66</v>
      </c>
      <c r="I13" s="14">
        <v>4</v>
      </c>
      <c r="J13" s="16" t="s">
        <v>66</v>
      </c>
      <c r="K13" s="14">
        <v>1</v>
      </c>
      <c r="L13" s="16" t="s">
        <v>66</v>
      </c>
      <c r="M13" s="14">
        <v>3</v>
      </c>
      <c r="N13" s="16" t="s">
        <v>66</v>
      </c>
      <c r="O13" s="14">
        <v>3</v>
      </c>
      <c r="P13" s="16" t="s">
        <v>66</v>
      </c>
      <c r="Q13" s="35">
        <v>2</v>
      </c>
      <c r="R13" s="16" t="s">
        <v>66</v>
      </c>
      <c r="S13" s="35"/>
      <c r="T13" s="16" t="s">
        <v>66</v>
      </c>
      <c r="U13" s="9"/>
      <c r="V13" s="96"/>
      <c r="W13" s="122"/>
      <c r="X13" s="13"/>
      <c r="Y13" s="16" t="s">
        <v>66</v>
      </c>
      <c r="Z13" s="13">
        <v>2</v>
      </c>
      <c r="AA13" s="16" t="s">
        <v>66</v>
      </c>
      <c r="AB13" s="13">
        <v>2</v>
      </c>
      <c r="AC13" s="16" t="s">
        <v>66</v>
      </c>
      <c r="AD13" s="13">
        <v>2</v>
      </c>
      <c r="AE13" s="16" t="s">
        <v>66</v>
      </c>
      <c r="AF13" s="13">
        <v>2</v>
      </c>
      <c r="AG13" s="16" t="s">
        <v>66</v>
      </c>
      <c r="AH13" s="13">
        <v>2</v>
      </c>
      <c r="AI13" s="16" t="s">
        <v>66</v>
      </c>
      <c r="AJ13" s="14">
        <v>2</v>
      </c>
      <c r="AK13" s="16" t="s">
        <v>66</v>
      </c>
      <c r="AL13" s="13">
        <v>2</v>
      </c>
      <c r="AM13" s="16" t="s">
        <v>66</v>
      </c>
      <c r="AN13" s="13">
        <v>3</v>
      </c>
      <c r="AO13" s="16" t="s">
        <v>66</v>
      </c>
      <c r="AP13" s="9"/>
    </row>
    <row r="14" spans="1:42" x14ac:dyDescent="0.25">
      <c r="A14" s="96"/>
      <c r="B14" s="122" t="s">
        <v>32</v>
      </c>
      <c r="C14" s="11"/>
      <c r="D14" s="15" t="s">
        <v>65</v>
      </c>
      <c r="E14" s="11">
        <v>3</v>
      </c>
      <c r="F14" s="15" t="s">
        <v>65</v>
      </c>
      <c r="G14" s="11">
        <v>3</v>
      </c>
      <c r="H14" s="15" t="s">
        <v>65</v>
      </c>
      <c r="I14" s="12">
        <v>1</v>
      </c>
      <c r="J14" s="15" t="s">
        <v>65</v>
      </c>
      <c r="K14" s="12">
        <v>2</v>
      </c>
      <c r="L14" s="15" t="s">
        <v>65</v>
      </c>
      <c r="M14" s="12">
        <v>3</v>
      </c>
      <c r="N14" s="15" t="s">
        <v>65</v>
      </c>
      <c r="O14" s="12">
        <v>5</v>
      </c>
      <c r="P14" s="15" t="s">
        <v>65</v>
      </c>
      <c r="Q14" s="34">
        <v>2</v>
      </c>
      <c r="R14" s="15" t="s">
        <v>65</v>
      </c>
      <c r="S14" s="34">
        <v>3</v>
      </c>
      <c r="T14" s="15" t="s">
        <v>65</v>
      </c>
      <c r="U14" s="9"/>
      <c r="V14" s="96"/>
      <c r="W14" s="122" t="s">
        <v>7</v>
      </c>
      <c r="X14" s="11"/>
      <c r="Y14" s="15" t="s">
        <v>65</v>
      </c>
      <c r="Z14" s="11"/>
      <c r="AA14" s="15" t="s">
        <v>65</v>
      </c>
      <c r="AB14" s="11">
        <v>3</v>
      </c>
      <c r="AC14" s="15" t="s">
        <v>65</v>
      </c>
      <c r="AD14" s="11">
        <v>2</v>
      </c>
      <c r="AE14" s="15" t="s">
        <v>65</v>
      </c>
      <c r="AF14" s="11">
        <v>3</v>
      </c>
      <c r="AG14" s="15" t="s">
        <v>65</v>
      </c>
      <c r="AH14" s="11">
        <v>2</v>
      </c>
      <c r="AI14" s="15" t="s">
        <v>65</v>
      </c>
      <c r="AJ14" s="12">
        <v>3</v>
      </c>
      <c r="AK14" s="15" t="s">
        <v>65</v>
      </c>
      <c r="AL14" s="11">
        <v>2</v>
      </c>
      <c r="AM14" s="15" t="s">
        <v>65</v>
      </c>
      <c r="AN14" s="11">
        <v>3</v>
      </c>
      <c r="AO14" s="15" t="s">
        <v>65</v>
      </c>
      <c r="AP14" s="9"/>
    </row>
    <row r="15" spans="1:42" x14ac:dyDescent="0.25">
      <c r="A15" s="96"/>
      <c r="B15" s="122"/>
      <c r="C15" s="13"/>
      <c r="D15" s="16" t="s">
        <v>66</v>
      </c>
      <c r="E15" s="13">
        <v>3</v>
      </c>
      <c r="F15" s="16" t="s">
        <v>66</v>
      </c>
      <c r="G15" s="13">
        <v>4</v>
      </c>
      <c r="H15" s="16" t="s">
        <v>66</v>
      </c>
      <c r="I15" s="14">
        <v>3</v>
      </c>
      <c r="J15" s="16" t="s">
        <v>66</v>
      </c>
      <c r="K15" s="14">
        <v>4</v>
      </c>
      <c r="L15" s="16" t="s">
        <v>66</v>
      </c>
      <c r="M15" s="14">
        <v>4</v>
      </c>
      <c r="N15" s="16" t="s">
        <v>66</v>
      </c>
      <c r="O15" s="14">
        <v>4</v>
      </c>
      <c r="P15" s="16" t="s">
        <v>66</v>
      </c>
      <c r="Q15" s="35">
        <v>2</v>
      </c>
      <c r="R15" s="16" t="s">
        <v>66</v>
      </c>
      <c r="S15" s="35">
        <v>3</v>
      </c>
      <c r="T15" s="16" t="s">
        <v>66</v>
      </c>
      <c r="U15" s="9"/>
      <c r="V15" s="96"/>
      <c r="W15" s="122"/>
      <c r="X15" s="13"/>
      <c r="Y15" s="16" t="s">
        <v>66</v>
      </c>
      <c r="Z15" s="13">
        <v>2</v>
      </c>
      <c r="AA15" s="16" t="s">
        <v>66</v>
      </c>
      <c r="AB15" s="13">
        <v>2</v>
      </c>
      <c r="AC15" s="16" t="s">
        <v>66</v>
      </c>
      <c r="AD15" s="13">
        <v>3</v>
      </c>
      <c r="AE15" s="16" t="s">
        <v>66</v>
      </c>
      <c r="AF15" s="13">
        <v>1</v>
      </c>
      <c r="AG15" s="16" t="s">
        <v>66</v>
      </c>
      <c r="AH15" s="13">
        <v>2</v>
      </c>
      <c r="AI15" s="16" t="s">
        <v>66</v>
      </c>
      <c r="AJ15" s="14">
        <v>2</v>
      </c>
      <c r="AK15" s="16" t="s">
        <v>66</v>
      </c>
      <c r="AL15" s="13">
        <v>2</v>
      </c>
      <c r="AM15" s="16" t="s">
        <v>66</v>
      </c>
      <c r="AN15" s="13">
        <v>3</v>
      </c>
      <c r="AO15" s="16" t="s">
        <v>66</v>
      </c>
      <c r="AP15" s="9"/>
    </row>
    <row r="16" spans="1:42" x14ac:dyDescent="0.25">
      <c r="A16" s="96"/>
      <c r="B16" s="122" t="s">
        <v>33</v>
      </c>
      <c r="C16" s="11"/>
      <c r="D16" s="15" t="s">
        <v>65</v>
      </c>
      <c r="E16" s="11">
        <v>3</v>
      </c>
      <c r="F16" s="15" t="s">
        <v>65</v>
      </c>
      <c r="G16" s="11">
        <v>4</v>
      </c>
      <c r="H16" s="15" t="s">
        <v>65</v>
      </c>
      <c r="I16" s="12">
        <v>1</v>
      </c>
      <c r="J16" s="15" t="s">
        <v>65</v>
      </c>
      <c r="K16" s="12">
        <v>3</v>
      </c>
      <c r="L16" s="15" t="s">
        <v>65</v>
      </c>
      <c r="M16" s="12">
        <v>2</v>
      </c>
      <c r="N16" s="15" t="s">
        <v>65</v>
      </c>
      <c r="O16" s="12">
        <v>7</v>
      </c>
      <c r="P16" s="15" t="s">
        <v>65</v>
      </c>
      <c r="Q16" s="34">
        <v>2</v>
      </c>
      <c r="R16" s="15" t="s">
        <v>65</v>
      </c>
      <c r="S16" s="34">
        <v>2</v>
      </c>
      <c r="T16" s="15" t="s">
        <v>65</v>
      </c>
      <c r="U16" s="9"/>
      <c r="V16" s="96"/>
      <c r="W16" s="122" t="s">
        <v>8</v>
      </c>
      <c r="X16" s="11"/>
      <c r="Y16" s="15" t="s">
        <v>65</v>
      </c>
      <c r="Z16" s="11">
        <v>2</v>
      </c>
      <c r="AA16" s="15" t="s">
        <v>65</v>
      </c>
      <c r="AB16" s="11">
        <v>2</v>
      </c>
      <c r="AC16" s="15" t="s">
        <v>65</v>
      </c>
      <c r="AD16" s="11">
        <v>2</v>
      </c>
      <c r="AE16" s="15" t="s">
        <v>65</v>
      </c>
      <c r="AF16" s="11">
        <v>2</v>
      </c>
      <c r="AG16" s="15" t="s">
        <v>65</v>
      </c>
      <c r="AH16" s="11">
        <v>2</v>
      </c>
      <c r="AI16" s="15" t="s">
        <v>65</v>
      </c>
      <c r="AJ16" s="12">
        <v>3</v>
      </c>
      <c r="AK16" s="15" t="s">
        <v>65</v>
      </c>
      <c r="AL16" s="11">
        <v>2</v>
      </c>
      <c r="AM16" s="15" t="s">
        <v>65</v>
      </c>
      <c r="AN16" s="11">
        <v>2</v>
      </c>
      <c r="AO16" s="15" t="s">
        <v>65</v>
      </c>
      <c r="AP16" s="9"/>
    </row>
    <row r="17" spans="1:42" x14ac:dyDescent="0.25">
      <c r="A17" s="96"/>
      <c r="B17" s="122"/>
      <c r="C17" s="13"/>
      <c r="D17" s="16" t="s">
        <v>66</v>
      </c>
      <c r="E17" s="13">
        <v>3</v>
      </c>
      <c r="F17" s="16" t="s">
        <v>66</v>
      </c>
      <c r="G17" s="13">
        <v>2</v>
      </c>
      <c r="H17" s="16" t="s">
        <v>66</v>
      </c>
      <c r="I17" s="14">
        <v>4</v>
      </c>
      <c r="J17" s="16" t="s">
        <v>66</v>
      </c>
      <c r="K17" s="14">
        <v>2</v>
      </c>
      <c r="L17" s="16" t="s">
        <v>66</v>
      </c>
      <c r="M17" s="14">
        <v>5</v>
      </c>
      <c r="N17" s="16" t="s">
        <v>66</v>
      </c>
      <c r="O17" s="14">
        <v>2</v>
      </c>
      <c r="P17" s="16" t="s">
        <v>66</v>
      </c>
      <c r="Q17" s="35">
        <v>3</v>
      </c>
      <c r="R17" s="16" t="s">
        <v>66</v>
      </c>
      <c r="S17" s="35">
        <v>3</v>
      </c>
      <c r="T17" s="16" t="s">
        <v>66</v>
      </c>
      <c r="U17" s="9"/>
      <c r="V17" s="96"/>
      <c r="W17" s="122"/>
      <c r="X17" s="13"/>
      <c r="Y17" s="16" t="s">
        <v>66</v>
      </c>
      <c r="Z17" s="13">
        <v>2</v>
      </c>
      <c r="AA17" s="16" t="s">
        <v>66</v>
      </c>
      <c r="AB17" s="13">
        <v>2</v>
      </c>
      <c r="AC17" s="16" t="s">
        <v>66</v>
      </c>
      <c r="AD17" s="13">
        <v>2</v>
      </c>
      <c r="AE17" s="16" t="s">
        <v>66</v>
      </c>
      <c r="AF17" s="13">
        <v>2</v>
      </c>
      <c r="AG17" s="16" t="s">
        <v>66</v>
      </c>
      <c r="AH17" s="13">
        <v>2</v>
      </c>
      <c r="AI17" s="16" t="s">
        <v>66</v>
      </c>
      <c r="AJ17" s="14">
        <v>3</v>
      </c>
      <c r="AK17" s="16" t="s">
        <v>66</v>
      </c>
      <c r="AL17" s="13">
        <v>2</v>
      </c>
      <c r="AM17" s="16" t="s">
        <v>66</v>
      </c>
      <c r="AN17" s="13">
        <v>2</v>
      </c>
      <c r="AO17" s="16" t="s">
        <v>66</v>
      </c>
      <c r="AP17" s="9"/>
    </row>
    <row r="18" spans="1:42" x14ac:dyDescent="0.25">
      <c r="A18" s="96"/>
      <c r="B18" s="122" t="s">
        <v>34</v>
      </c>
      <c r="C18" s="11"/>
      <c r="D18" s="15" t="s">
        <v>65</v>
      </c>
      <c r="E18" s="11">
        <v>3</v>
      </c>
      <c r="F18" s="15" t="s">
        <v>65</v>
      </c>
      <c r="G18" s="11">
        <v>2</v>
      </c>
      <c r="H18" s="15" t="s">
        <v>65</v>
      </c>
      <c r="I18" s="12">
        <v>3</v>
      </c>
      <c r="J18" s="15" t="s">
        <v>65</v>
      </c>
      <c r="K18" s="12">
        <v>4</v>
      </c>
      <c r="L18" s="15" t="s">
        <v>65</v>
      </c>
      <c r="M18" s="12">
        <v>3</v>
      </c>
      <c r="N18" s="15" t="s">
        <v>65</v>
      </c>
      <c r="O18" s="12">
        <v>4</v>
      </c>
      <c r="P18" s="15" t="s">
        <v>65</v>
      </c>
      <c r="Q18" s="34">
        <v>3</v>
      </c>
      <c r="R18" s="15" t="s">
        <v>65</v>
      </c>
      <c r="S18" s="34"/>
      <c r="T18" s="15" t="s">
        <v>65</v>
      </c>
      <c r="U18" s="9"/>
      <c r="V18" s="96"/>
      <c r="W18" s="122" t="s">
        <v>9</v>
      </c>
      <c r="X18" s="11"/>
      <c r="Y18" s="15" t="s">
        <v>65</v>
      </c>
      <c r="Z18" s="11">
        <v>3</v>
      </c>
      <c r="AA18" s="15" t="s">
        <v>65</v>
      </c>
      <c r="AB18" s="11">
        <v>2</v>
      </c>
      <c r="AC18" s="15" t="s">
        <v>65</v>
      </c>
      <c r="AD18" s="11">
        <v>2</v>
      </c>
      <c r="AE18" s="15" t="s">
        <v>65</v>
      </c>
      <c r="AF18" s="11">
        <v>2</v>
      </c>
      <c r="AG18" s="15" t="s">
        <v>65</v>
      </c>
      <c r="AH18" s="11">
        <v>2</v>
      </c>
      <c r="AI18" s="15" t="s">
        <v>65</v>
      </c>
      <c r="AJ18" s="12">
        <v>2</v>
      </c>
      <c r="AK18" s="15" t="s">
        <v>65</v>
      </c>
      <c r="AL18" s="11">
        <v>2</v>
      </c>
      <c r="AM18" s="15" t="s">
        <v>65</v>
      </c>
      <c r="AN18" s="11">
        <v>3</v>
      </c>
      <c r="AO18" s="15" t="s">
        <v>65</v>
      </c>
      <c r="AP18" s="9"/>
    </row>
    <row r="19" spans="1:42" x14ac:dyDescent="0.25">
      <c r="A19" s="96"/>
      <c r="B19" s="122"/>
      <c r="C19" s="13"/>
      <c r="D19" s="16" t="s">
        <v>66</v>
      </c>
      <c r="E19" s="13">
        <v>4</v>
      </c>
      <c r="F19" s="16" t="s">
        <v>66</v>
      </c>
      <c r="G19" s="13">
        <v>4</v>
      </c>
      <c r="H19" s="16" t="s">
        <v>66</v>
      </c>
      <c r="I19" s="14">
        <v>5</v>
      </c>
      <c r="J19" s="16" t="s">
        <v>66</v>
      </c>
      <c r="K19" s="14">
        <v>2</v>
      </c>
      <c r="L19" s="16" t="s">
        <v>66</v>
      </c>
      <c r="M19" s="14"/>
      <c r="N19" s="16" t="s">
        <v>66</v>
      </c>
      <c r="O19" s="14">
        <v>2</v>
      </c>
      <c r="P19" s="16" t="s">
        <v>66</v>
      </c>
      <c r="Q19" s="35">
        <v>2</v>
      </c>
      <c r="R19" s="16" t="s">
        <v>66</v>
      </c>
      <c r="S19" s="35">
        <v>4</v>
      </c>
      <c r="T19" s="16" t="s">
        <v>66</v>
      </c>
      <c r="U19" s="9"/>
      <c r="V19" s="96"/>
      <c r="W19" s="122"/>
      <c r="X19" s="13"/>
      <c r="Y19" s="16" t="s">
        <v>66</v>
      </c>
      <c r="Z19" s="13">
        <v>2</v>
      </c>
      <c r="AA19" s="16" t="s">
        <v>66</v>
      </c>
      <c r="AB19" s="13">
        <v>3</v>
      </c>
      <c r="AC19" s="16" t="s">
        <v>66</v>
      </c>
      <c r="AD19" s="13">
        <v>2</v>
      </c>
      <c r="AE19" s="16" t="s">
        <v>66</v>
      </c>
      <c r="AF19" s="13">
        <v>2</v>
      </c>
      <c r="AG19" s="16" t="s">
        <v>66</v>
      </c>
      <c r="AH19" s="13">
        <v>2</v>
      </c>
      <c r="AI19" s="16" t="s">
        <v>66</v>
      </c>
      <c r="AJ19" s="14">
        <v>2</v>
      </c>
      <c r="AK19" s="16" t="s">
        <v>66</v>
      </c>
      <c r="AL19" s="13">
        <v>2</v>
      </c>
      <c r="AM19" s="16" t="s">
        <v>66</v>
      </c>
      <c r="AN19" s="13">
        <v>2</v>
      </c>
      <c r="AO19" s="16" t="s">
        <v>66</v>
      </c>
      <c r="AP19" s="9"/>
    </row>
    <row r="20" spans="1:42" x14ac:dyDescent="0.25">
      <c r="A20" s="96"/>
      <c r="B20" s="122" t="s">
        <v>35</v>
      </c>
      <c r="C20" s="11"/>
      <c r="D20" s="15" t="s">
        <v>65</v>
      </c>
      <c r="E20" s="11">
        <v>5</v>
      </c>
      <c r="F20" s="15" t="s">
        <v>65</v>
      </c>
      <c r="G20" s="11">
        <v>4</v>
      </c>
      <c r="H20" s="15" t="s">
        <v>65</v>
      </c>
      <c r="I20" s="12">
        <v>2</v>
      </c>
      <c r="J20" s="15" t="s">
        <v>65</v>
      </c>
      <c r="K20" s="12"/>
      <c r="L20" s="15" t="s">
        <v>65</v>
      </c>
      <c r="M20" s="12"/>
      <c r="N20" s="15" t="s">
        <v>65</v>
      </c>
      <c r="O20" s="12">
        <v>2</v>
      </c>
      <c r="P20" s="15" t="s">
        <v>65</v>
      </c>
      <c r="Q20" s="34">
        <v>2</v>
      </c>
      <c r="R20" s="15" t="s">
        <v>65</v>
      </c>
      <c r="S20" s="34">
        <v>2</v>
      </c>
      <c r="T20" s="15" t="s">
        <v>65</v>
      </c>
      <c r="U20" s="9"/>
      <c r="V20" s="96"/>
      <c r="W20" s="122" t="s">
        <v>10</v>
      </c>
      <c r="X20" s="11"/>
      <c r="Y20" s="15" t="s">
        <v>65</v>
      </c>
      <c r="Z20" s="11">
        <v>3</v>
      </c>
      <c r="AA20" s="15" t="s">
        <v>65</v>
      </c>
      <c r="AB20" s="11">
        <v>2</v>
      </c>
      <c r="AC20" s="15" t="s">
        <v>65</v>
      </c>
      <c r="AD20" s="11">
        <v>3</v>
      </c>
      <c r="AE20" s="15" t="s">
        <v>65</v>
      </c>
      <c r="AF20" s="11">
        <v>3</v>
      </c>
      <c r="AG20" s="15" t="s">
        <v>65</v>
      </c>
      <c r="AH20" s="11">
        <v>2</v>
      </c>
      <c r="AI20" s="15" t="s">
        <v>65</v>
      </c>
      <c r="AJ20" s="12">
        <v>2</v>
      </c>
      <c r="AK20" s="15" t="s">
        <v>65</v>
      </c>
      <c r="AL20" s="11">
        <v>2</v>
      </c>
      <c r="AM20" s="15" t="s">
        <v>65</v>
      </c>
      <c r="AN20" s="11">
        <v>5</v>
      </c>
      <c r="AO20" s="15" t="s">
        <v>65</v>
      </c>
      <c r="AP20" s="9"/>
    </row>
    <row r="21" spans="1:42" x14ac:dyDescent="0.25">
      <c r="A21" s="96"/>
      <c r="B21" s="122"/>
      <c r="C21" s="13"/>
      <c r="D21" s="16" t="s">
        <v>66</v>
      </c>
      <c r="E21" s="13">
        <v>3</v>
      </c>
      <c r="F21" s="16" t="s">
        <v>66</v>
      </c>
      <c r="G21" s="13">
        <v>3</v>
      </c>
      <c r="H21" s="16" t="s">
        <v>66</v>
      </c>
      <c r="I21" s="14">
        <v>2</v>
      </c>
      <c r="J21" s="16" t="s">
        <v>66</v>
      </c>
      <c r="K21" s="14">
        <v>6</v>
      </c>
      <c r="L21" s="16" t="s">
        <v>66</v>
      </c>
      <c r="M21" s="14"/>
      <c r="N21" s="16" t="s">
        <v>66</v>
      </c>
      <c r="O21" s="14">
        <v>3</v>
      </c>
      <c r="P21" s="16" t="s">
        <v>66</v>
      </c>
      <c r="Q21" s="35">
        <v>3</v>
      </c>
      <c r="R21" s="16" t="s">
        <v>66</v>
      </c>
      <c r="S21" s="35">
        <v>2</v>
      </c>
      <c r="T21" s="16" t="s">
        <v>66</v>
      </c>
      <c r="U21" s="9"/>
      <c r="V21" s="96"/>
      <c r="W21" s="122"/>
      <c r="X21" s="13"/>
      <c r="Y21" s="16" t="s">
        <v>66</v>
      </c>
      <c r="Z21" s="13">
        <v>3</v>
      </c>
      <c r="AA21" s="16" t="s">
        <v>66</v>
      </c>
      <c r="AB21" s="13">
        <v>2</v>
      </c>
      <c r="AC21" s="16" t="s">
        <v>66</v>
      </c>
      <c r="AD21" s="13">
        <v>3</v>
      </c>
      <c r="AE21" s="16" t="s">
        <v>66</v>
      </c>
      <c r="AF21" s="13">
        <v>4</v>
      </c>
      <c r="AG21" s="16" t="s">
        <v>66</v>
      </c>
      <c r="AH21" s="13">
        <v>2</v>
      </c>
      <c r="AI21" s="16" t="s">
        <v>66</v>
      </c>
      <c r="AJ21" s="14">
        <v>2</v>
      </c>
      <c r="AK21" s="16" t="s">
        <v>66</v>
      </c>
      <c r="AL21" s="13">
        <v>2</v>
      </c>
      <c r="AM21" s="16" t="s">
        <v>66</v>
      </c>
      <c r="AN21" s="13">
        <v>3</v>
      </c>
      <c r="AO21" s="16" t="s">
        <v>66</v>
      </c>
      <c r="AP21" s="9"/>
    </row>
    <row r="22" spans="1:42" x14ac:dyDescent="0.25">
      <c r="A22" s="96"/>
      <c r="B22" s="122" t="s">
        <v>36</v>
      </c>
      <c r="C22" s="11"/>
      <c r="D22" s="15" t="s">
        <v>65</v>
      </c>
      <c r="E22" s="11">
        <v>3</v>
      </c>
      <c r="F22" s="15" t="s">
        <v>65</v>
      </c>
      <c r="G22" s="11">
        <v>4</v>
      </c>
      <c r="H22" s="15" t="s">
        <v>65</v>
      </c>
      <c r="I22" s="12">
        <v>3</v>
      </c>
      <c r="J22" s="15" t="s">
        <v>65</v>
      </c>
      <c r="K22" s="12">
        <v>2</v>
      </c>
      <c r="L22" s="15" t="s">
        <v>65</v>
      </c>
      <c r="M22" s="12">
        <v>2</v>
      </c>
      <c r="N22" s="15" t="s">
        <v>65</v>
      </c>
      <c r="O22" s="12">
        <v>3</v>
      </c>
      <c r="P22" s="15" t="s">
        <v>65</v>
      </c>
      <c r="Q22" s="34">
        <v>2</v>
      </c>
      <c r="R22" s="15" t="s">
        <v>65</v>
      </c>
      <c r="S22" s="34">
        <v>3</v>
      </c>
      <c r="T22" s="15" t="s">
        <v>65</v>
      </c>
      <c r="U22" s="9"/>
      <c r="V22" s="96"/>
      <c r="W22" s="122" t="s">
        <v>11</v>
      </c>
      <c r="X22" s="11"/>
      <c r="Y22" s="15" t="s">
        <v>65</v>
      </c>
      <c r="Z22" s="11"/>
      <c r="AA22" s="15" t="s">
        <v>65</v>
      </c>
      <c r="AB22" s="11"/>
      <c r="AC22" s="15" t="s">
        <v>65</v>
      </c>
      <c r="AD22" s="12"/>
      <c r="AE22" s="15" t="s">
        <v>65</v>
      </c>
      <c r="AF22" s="12"/>
      <c r="AG22" s="15" t="s">
        <v>65</v>
      </c>
      <c r="AH22" s="12"/>
      <c r="AI22" s="15" t="s">
        <v>65</v>
      </c>
      <c r="AJ22" s="12"/>
      <c r="AK22" s="15" t="s">
        <v>65</v>
      </c>
      <c r="AL22" s="18"/>
      <c r="AM22" s="15" t="s">
        <v>65</v>
      </c>
      <c r="AN22" s="18"/>
      <c r="AO22" s="15" t="s">
        <v>65</v>
      </c>
      <c r="AP22" s="9"/>
    </row>
    <row r="23" spans="1:42" x14ac:dyDescent="0.25">
      <c r="A23" s="96"/>
      <c r="B23" s="122"/>
      <c r="C23" s="13"/>
      <c r="D23" s="16" t="s">
        <v>66</v>
      </c>
      <c r="E23" s="13">
        <v>2</v>
      </c>
      <c r="F23" s="16" t="s">
        <v>66</v>
      </c>
      <c r="G23" s="13">
        <v>4</v>
      </c>
      <c r="H23" s="16" t="s">
        <v>66</v>
      </c>
      <c r="I23" s="14">
        <v>1</v>
      </c>
      <c r="J23" s="16" t="s">
        <v>66</v>
      </c>
      <c r="K23" s="14">
        <v>1</v>
      </c>
      <c r="L23" s="16" t="s">
        <v>66</v>
      </c>
      <c r="M23" s="14">
        <v>2</v>
      </c>
      <c r="N23" s="16" t="s">
        <v>66</v>
      </c>
      <c r="O23" s="14">
        <v>1</v>
      </c>
      <c r="P23" s="16" t="s">
        <v>66</v>
      </c>
      <c r="Q23" s="35">
        <v>2</v>
      </c>
      <c r="R23" s="16" t="s">
        <v>66</v>
      </c>
      <c r="S23" s="35">
        <v>2</v>
      </c>
      <c r="T23" s="16" t="s">
        <v>66</v>
      </c>
      <c r="U23" s="9"/>
      <c r="V23" s="96"/>
      <c r="W23" s="122"/>
      <c r="X23" s="13"/>
      <c r="Y23" s="16" t="s">
        <v>66</v>
      </c>
      <c r="Z23" s="13"/>
      <c r="AA23" s="16" t="s">
        <v>66</v>
      </c>
      <c r="AB23" s="13"/>
      <c r="AC23" s="16" t="s">
        <v>66</v>
      </c>
      <c r="AD23" s="14"/>
      <c r="AE23" s="16" t="s">
        <v>66</v>
      </c>
      <c r="AF23" s="14"/>
      <c r="AG23" s="16" t="s">
        <v>66</v>
      </c>
      <c r="AH23" s="14"/>
      <c r="AI23" s="16" t="s">
        <v>66</v>
      </c>
      <c r="AJ23" s="14"/>
      <c r="AK23" s="16" t="s">
        <v>66</v>
      </c>
      <c r="AL23" s="19"/>
      <c r="AM23" s="16" t="s">
        <v>66</v>
      </c>
      <c r="AN23" s="19"/>
      <c r="AO23" s="16" t="s">
        <v>66</v>
      </c>
      <c r="AP23" s="9"/>
    </row>
    <row r="24" spans="1:42" x14ac:dyDescent="0.25">
      <c r="A24" s="96"/>
      <c r="B24" s="122" t="s">
        <v>37</v>
      </c>
      <c r="C24" s="11"/>
      <c r="D24" s="15" t="s">
        <v>65</v>
      </c>
      <c r="E24" s="11">
        <v>5</v>
      </c>
      <c r="F24" s="15" t="s">
        <v>65</v>
      </c>
      <c r="G24" s="11">
        <v>2</v>
      </c>
      <c r="H24" s="15" t="s">
        <v>65</v>
      </c>
      <c r="I24" s="12">
        <v>6</v>
      </c>
      <c r="J24" s="15" t="s">
        <v>65</v>
      </c>
      <c r="K24" s="12">
        <v>2</v>
      </c>
      <c r="L24" s="15" t="s">
        <v>65</v>
      </c>
      <c r="M24" s="12">
        <v>3</v>
      </c>
      <c r="N24" s="15" t="s">
        <v>65</v>
      </c>
      <c r="O24" s="12">
        <v>4</v>
      </c>
      <c r="P24" s="15" t="s">
        <v>65</v>
      </c>
      <c r="Q24" s="34">
        <v>3</v>
      </c>
      <c r="R24" s="15" t="s">
        <v>65</v>
      </c>
      <c r="S24" s="34">
        <v>6</v>
      </c>
      <c r="T24" s="15" t="s">
        <v>65</v>
      </c>
      <c r="U24" s="9"/>
      <c r="V24" s="96"/>
      <c r="W24" s="122" t="s">
        <v>25</v>
      </c>
      <c r="X24" s="11"/>
      <c r="Y24" s="15" t="s">
        <v>65</v>
      </c>
      <c r="Z24" s="11"/>
      <c r="AA24" s="15" t="s">
        <v>65</v>
      </c>
      <c r="AB24" s="11"/>
      <c r="AC24" s="15" t="s">
        <v>65</v>
      </c>
      <c r="AD24" s="12"/>
      <c r="AE24" s="15" t="s">
        <v>65</v>
      </c>
      <c r="AF24" s="12"/>
      <c r="AG24" s="15" t="s">
        <v>65</v>
      </c>
      <c r="AH24" s="12"/>
      <c r="AI24" s="15" t="s">
        <v>65</v>
      </c>
      <c r="AJ24" s="12"/>
      <c r="AK24" s="15" t="s">
        <v>65</v>
      </c>
      <c r="AL24" s="18"/>
      <c r="AM24" s="15" t="s">
        <v>65</v>
      </c>
      <c r="AN24" s="18"/>
      <c r="AO24" s="15" t="s">
        <v>65</v>
      </c>
      <c r="AP24" s="9"/>
    </row>
    <row r="25" spans="1:42" x14ac:dyDescent="0.25">
      <c r="A25" s="96"/>
      <c r="B25" s="122"/>
      <c r="C25" s="13"/>
      <c r="D25" s="16" t="s">
        <v>66</v>
      </c>
      <c r="E25" s="13">
        <v>5</v>
      </c>
      <c r="F25" s="16" t="s">
        <v>66</v>
      </c>
      <c r="G25" s="13">
        <v>2</v>
      </c>
      <c r="H25" s="16" t="s">
        <v>66</v>
      </c>
      <c r="I25" s="14">
        <v>5</v>
      </c>
      <c r="J25" s="16" t="s">
        <v>66</v>
      </c>
      <c r="K25" s="14">
        <v>3</v>
      </c>
      <c r="L25" s="16" t="s">
        <v>66</v>
      </c>
      <c r="M25" s="14">
        <v>2</v>
      </c>
      <c r="N25" s="16" t="s">
        <v>66</v>
      </c>
      <c r="O25" s="14">
        <v>3</v>
      </c>
      <c r="P25" s="16" t="s">
        <v>66</v>
      </c>
      <c r="Q25" s="35">
        <v>3</v>
      </c>
      <c r="R25" s="16" t="s">
        <v>66</v>
      </c>
      <c r="S25" s="35">
        <v>6</v>
      </c>
      <c r="T25" s="16" t="s">
        <v>66</v>
      </c>
      <c r="U25" s="9"/>
      <c r="V25" s="96"/>
      <c r="W25" s="122"/>
      <c r="X25" s="13"/>
      <c r="Y25" s="16" t="s">
        <v>66</v>
      </c>
      <c r="Z25" s="13"/>
      <c r="AA25" s="16" t="s">
        <v>66</v>
      </c>
      <c r="AB25" s="13"/>
      <c r="AC25" s="16" t="s">
        <v>66</v>
      </c>
      <c r="AD25" s="14"/>
      <c r="AE25" s="16" t="s">
        <v>66</v>
      </c>
      <c r="AF25" s="14"/>
      <c r="AG25" s="16" t="s">
        <v>66</v>
      </c>
      <c r="AH25" s="14"/>
      <c r="AI25" s="16" t="s">
        <v>66</v>
      </c>
      <c r="AJ25" s="14"/>
      <c r="AK25" s="16" t="s">
        <v>66</v>
      </c>
      <c r="AL25" s="19"/>
      <c r="AM25" s="16" t="s">
        <v>66</v>
      </c>
      <c r="AN25" s="19"/>
      <c r="AO25" s="16" t="s">
        <v>66</v>
      </c>
      <c r="AP25" s="9"/>
    </row>
    <row r="26" spans="1:42" x14ac:dyDescent="0.25">
      <c r="A26" s="96"/>
      <c r="B26" s="122" t="s">
        <v>54</v>
      </c>
      <c r="C26" s="11"/>
      <c r="D26" s="15" t="s">
        <v>65</v>
      </c>
      <c r="E26" s="11">
        <v>5</v>
      </c>
      <c r="F26" s="15" t="s">
        <v>65</v>
      </c>
      <c r="G26" s="11">
        <v>4</v>
      </c>
      <c r="H26" s="15" t="s">
        <v>65</v>
      </c>
      <c r="I26" s="12">
        <v>4</v>
      </c>
      <c r="J26" s="15" t="s">
        <v>65</v>
      </c>
      <c r="K26" s="12">
        <v>4</v>
      </c>
      <c r="L26" s="15" t="s">
        <v>65</v>
      </c>
      <c r="M26" s="12">
        <v>3</v>
      </c>
      <c r="N26" s="15" t="s">
        <v>65</v>
      </c>
      <c r="O26" s="12">
        <v>1</v>
      </c>
      <c r="P26" s="15" t="s">
        <v>65</v>
      </c>
      <c r="Q26" s="18" t="s">
        <v>93</v>
      </c>
      <c r="R26" s="15" t="s">
        <v>65</v>
      </c>
      <c r="S26" s="18" t="s">
        <v>91</v>
      </c>
      <c r="T26" s="15" t="s">
        <v>65</v>
      </c>
      <c r="U26" s="9"/>
      <c r="V26" s="96"/>
      <c r="W26" s="122" t="s">
        <v>26</v>
      </c>
      <c r="X26" s="11"/>
      <c r="Y26" s="15" t="s">
        <v>65</v>
      </c>
      <c r="Z26" s="11"/>
      <c r="AA26" s="15" t="s">
        <v>65</v>
      </c>
      <c r="AB26" s="11"/>
      <c r="AC26" s="15" t="s">
        <v>65</v>
      </c>
      <c r="AD26" s="12"/>
      <c r="AE26" s="15" t="s">
        <v>65</v>
      </c>
      <c r="AF26" s="12"/>
      <c r="AG26" s="15" t="s">
        <v>65</v>
      </c>
      <c r="AH26" s="12"/>
      <c r="AI26" s="15" t="s">
        <v>65</v>
      </c>
      <c r="AJ26" s="12"/>
      <c r="AK26" s="15" t="s">
        <v>65</v>
      </c>
      <c r="AL26" s="18"/>
      <c r="AM26" s="15" t="s">
        <v>65</v>
      </c>
      <c r="AN26" s="18"/>
      <c r="AO26" s="15" t="s">
        <v>65</v>
      </c>
      <c r="AP26" s="9"/>
    </row>
    <row r="27" spans="1:42" x14ac:dyDescent="0.25">
      <c r="A27" s="96"/>
      <c r="B27" s="122"/>
      <c r="C27" s="13"/>
      <c r="D27" s="16" t="s">
        <v>66</v>
      </c>
      <c r="E27" s="13">
        <v>5</v>
      </c>
      <c r="F27" s="16" t="s">
        <v>66</v>
      </c>
      <c r="G27" s="13">
        <v>5</v>
      </c>
      <c r="H27" s="16" t="s">
        <v>66</v>
      </c>
      <c r="I27" s="14">
        <v>3</v>
      </c>
      <c r="J27" s="16" t="s">
        <v>66</v>
      </c>
      <c r="K27" s="14">
        <v>1</v>
      </c>
      <c r="L27" s="16" t="s">
        <v>66</v>
      </c>
      <c r="M27" s="14">
        <v>2</v>
      </c>
      <c r="N27" s="16" t="s">
        <v>66</v>
      </c>
      <c r="O27" s="14">
        <v>4</v>
      </c>
      <c r="P27" s="16" t="s">
        <v>66</v>
      </c>
      <c r="Q27" s="19" t="s">
        <v>85</v>
      </c>
      <c r="R27" s="16" t="s">
        <v>66</v>
      </c>
      <c r="S27" s="19" t="s">
        <v>91</v>
      </c>
      <c r="T27" s="16" t="s">
        <v>66</v>
      </c>
      <c r="U27" s="9"/>
      <c r="V27" s="96"/>
      <c r="W27" s="122"/>
      <c r="X27" s="13"/>
      <c r="Y27" s="16" t="s">
        <v>66</v>
      </c>
      <c r="Z27" s="13"/>
      <c r="AA27" s="16" t="s">
        <v>66</v>
      </c>
      <c r="AB27" s="13"/>
      <c r="AC27" s="16" t="s">
        <v>66</v>
      </c>
      <c r="AD27" s="14"/>
      <c r="AE27" s="16" t="s">
        <v>66</v>
      </c>
      <c r="AF27" s="14"/>
      <c r="AG27" s="16" t="s">
        <v>66</v>
      </c>
      <c r="AH27" s="14"/>
      <c r="AI27" s="16" t="s">
        <v>66</v>
      </c>
      <c r="AJ27" s="14"/>
      <c r="AK27" s="16" t="s">
        <v>66</v>
      </c>
      <c r="AL27" s="19"/>
      <c r="AM27" s="16" t="s">
        <v>66</v>
      </c>
      <c r="AN27" s="19"/>
      <c r="AO27" s="16" t="s">
        <v>66</v>
      </c>
      <c r="AP27" s="9"/>
    </row>
    <row r="28" spans="1:42" x14ac:dyDescent="0.25">
      <c r="A28" s="96"/>
      <c r="B28" s="122" t="s">
        <v>55</v>
      </c>
      <c r="C28" s="11"/>
      <c r="D28" s="15" t="s">
        <v>65</v>
      </c>
      <c r="E28" s="11">
        <v>5</v>
      </c>
      <c r="F28" s="15" t="s">
        <v>65</v>
      </c>
      <c r="G28" s="11">
        <v>5</v>
      </c>
      <c r="H28" s="15" t="s">
        <v>65</v>
      </c>
      <c r="I28" s="12">
        <v>3</v>
      </c>
      <c r="J28" s="15" t="s">
        <v>65</v>
      </c>
      <c r="K28" s="12">
        <v>4</v>
      </c>
      <c r="L28" s="15" t="s">
        <v>65</v>
      </c>
      <c r="M28" s="12">
        <v>2</v>
      </c>
      <c r="N28" s="15" t="s">
        <v>65</v>
      </c>
      <c r="O28" s="12">
        <v>3</v>
      </c>
      <c r="P28" s="15" t="s">
        <v>65</v>
      </c>
      <c r="Q28" s="18" t="s">
        <v>85</v>
      </c>
      <c r="R28" s="15" t="s">
        <v>65</v>
      </c>
      <c r="S28" s="18"/>
      <c r="T28" s="15" t="s">
        <v>65</v>
      </c>
      <c r="U28" s="9"/>
      <c r="V28" s="96"/>
      <c r="W28" s="122" t="s">
        <v>12</v>
      </c>
      <c r="X28" s="11"/>
      <c r="Y28" s="15" t="s">
        <v>65</v>
      </c>
      <c r="Z28" s="11"/>
      <c r="AA28" s="15" t="s">
        <v>65</v>
      </c>
      <c r="AB28" s="11"/>
      <c r="AC28" s="15" t="s">
        <v>65</v>
      </c>
      <c r="AD28" s="12"/>
      <c r="AE28" s="15" t="s">
        <v>65</v>
      </c>
      <c r="AF28" s="12"/>
      <c r="AG28" s="15" t="s">
        <v>65</v>
      </c>
      <c r="AH28" s="12"/>
      <c r="AI28" s="15" t="s">
        <v>65</v>
      </c>
      <c r="AJ28" s="12"/>
      <c r="AK28" s="15" t="s">
        <v>65</v>
      </c>
      <c r="AL28" s="18"/>
      <c r="AM28" s="15" t="s">
        <v>65</v>
      </c>
      <c r="AN28" s="18"/>
      <c r="AO28" s="15" t="s">
        <v>65</v>
      </c>
      <c r="AP28" s="9"/>
    </row>
    <row r="29" spans="1:42" x14ac:dyDescent="0.25">
      <c r="A29" s="96"/>
      <c r="B29" s="122"/>
      <c r="C29" s="13"/>
      <c r="D29" s="16" t="s">
        <v>66</v>
      </c>
      <c r="E29" s="13">
        <v>5</v>
      </c>
      <c r="F29" s="16" t="s">
        <v>66</v>
      </c>
      <c r="G29" s="13">
        <v>5</v>
      </c>
      <c r="H29" s="16" t="s">
        <v>66</v>
      </c>
      <c r="I29" s="14">
        <v>3</v>
      </c>
      <c r="J29" s="16" t="s">
        <v>66</v>
      </c>
      <c r="K29" s="14">
        <v>3</v>
      </c>
      <c r="L29" s="16" t="s">
        <v>66</v>
      </c>
      <c r="M29" s="14">
        <v>2</v>
      </c>
      <c r="N29" s="16" t="s">
        <v>66</v>
      </c>
      <c r="O29" s="14">
        <v>2</v>
      </c>
      <c r="P29" s="16" t="s">
        <v>66</v>
      </c>
      <c r="Q29" s="19" t="s">
        <v>93</v>
      </c>
      <c r="R29" s="16" t="s">
        <v>66</v>
      </c>
      <c r="S29" s="19" t="s">
        <v>93</v>
      </c>
      <c r="T29" s="16" t="s">
        <v>66</v>
      </c>
      <c r="U29" s="9"/>
      <c r="V29" s="96"/>
      <c r="W29" s="122"/>
      <c r="X29" s="20"/>
      <c r="Y29" s="17" t="s">
        <v>66</v>
      </c>
      <c r="Z29" s="20"/>
      <c r="AA29" s="17" t="s">
        <v>66</v>
      </c>
      <c r="AB29" s="20"/>
      <c r="AC29" s="17" t="s">
        <v>66</v>
      </c>
      <c r="AD29" s="21"/>
      <c r="AE29" s="17" t="s">
        <v>66</v>
      </c>
      <c r="AF29" s="21"/>
      <c r="AG29" s="17" t="s">
        <v>66</v>
      </c>
      <c r="AH29" s="21"/>
      <c r="AI29" s="17" t="s">
        <v>66</v>
      </c>
      <c r="AJ29" s="21"/>
      <c r="AK29" s="17" t="s">
        <v>66</v>
      </c>
      <c r="AL29" s="22"/>
      <c r="AM29" s="17" t="s">
        <v>66</v>
      </c>
      <c r="AN29" s="22"/>
      <c r="AO29" s="17" t="s">
        <v>66</v>
      </c>
      <c r="AP29" s="9"/>
    </row>
    <row r="30" spans="1:42" x14ac:dyDescent="0.25">
      <c r="A30" s="96"/>
      <c r="B30" s="122" t="s">
        <v>38</v>
      </c>
      <c r="C30" s="11"/>
      <c r="D30" s="15" t="s">
        <v>65</v>
      </c>
      <c r="E30" s="11">
        <v>4</v>
      </c>
      <c r="F30" s="15" t="s">
        <v>65</v>
      </c>
      <c r="G30" s="11">
        <v>5</v>
      </c>
      <c r="H30" s="15" t="s">
        <v>65</v>
      </c>
      <c r="I30" s="12">
        <v>5</v>
      </c>
      <c r="J30" s="15" t="s">
        <v>65</v>
      </c>
      <c r="K30" s="12">
        <v>4</v>
      </c>
      <c r="L30" s="15" t="s">
        <v>65</v>
      </c>
      <c r="M30" s="12">
        <v>3</v>
      </c>
      <c r="N30" s="15" t="s">
        <v>65</v>
      </c>
      <c r="O30" s="12">
        <v>3</v>
      </c>
      <c r="P30" s="15" t="s">
        <v>65</v>
      </c>
      <c r="Q30" s="18" t="s">
        <v>85</v>
      </c>
      <c r="R30" s="15" t="s">
        <v>65</v>
      </c>
      <c r="S30" s="18" t="s">
        <v>103</v>
      </c>
      <c r="T30" s="15" t="s">
        <v>65</v>
      </c>
      <c r="U30" s="9"/>
      <c r="V30" s="96"/>
      <c r="W30" s="9"/>
      <c r="X30" s="9"/>
      <c r="Y30" s="9"/>
      <c r="Z30" s="9"/>
      <c r="AA30" s="9"/>
      <c r="AB30" s="9"/>
      <c r="AC30" s="9"/>
      <c r="AD30" s="9"/>
      <c r="AE30" s="9"/>
      <c r="AF30" s="9"/>
      <c r="AG30" s="9"/>
      <c r="AH30" s="9"/>
      <c r="AI30" s="9"/>
      <c r="AJ30" s="9"/>
      <c r="AK30" s="9"/>
      <c r="AL30" s="9"/>
      <c r="AM30" s="9"/>
      <c r="AN30" s="9"/>
      <c r="AO30" s="9"/>
      <c r="AP30" s="9"/>
    </row>
    <row r="31" spans="1:42" x14ac:dyDescent="0.25">
      <c r="A31" s="10"/>
      <c r="B31" s="122"/>
      <c r="C31" s="20"/>
      <c r="D31" s="17" t="s">
        <v>66</v>
      </c>
      <c r="E31" s="20">
        <v>4</v>
      </c>
      <c r="F31" s="17" t="s">
        <v>66</v>
      </c>
      <c r="G31" s="20">
        <v>5</v>
      </c>
      <c r="H31" s="17" t="s">
        <v>66</v>
      </c>
      <c r="I31" s="21">
        <v>5</v>
      </c>
      <c r="J31" s="17" t="s">
        <v>66</v>
      </c>
      <c r="K31" s="21">
        <v>3</v>
      </c>
      <c r="L31" s="17" t="s">
        <v>66</v>
      </c>
      <c r="M31" s="21">
        <v>4</v>
      </c>
      <c r="N31" s="17" t="s">
        <v>66</v>
      </c>
      <c r="O31" s="21">
        <v>2</v>
      </c>
      <c r="P31" s="17" t="s">
        <v>66</v>
      </c>
      <c r="Q31" s="22" t="s">
        <v>85</v>
      </c>
      <c r="R31" s="17" t="s">
        <v>66</v>
      </c>
      <c r="S31" s="22" t="s">
        <v>103</v>
      </c>
      <c r="T31" s="17" t="s">
        <v>66</v>
      </c>
      <c r="U31" s="9"/>
      <c r="V31" s="10"/>
      <c r="W31" s="9"/>
      <c r="X31" s="9"/>
      <c r="Y31" s="9"/>
      <c r="Z31" s="9"/>
      <c r="AA31" s="9"/>
      <c r="AB31" s="9"/>
      <c r="AC31" s="9"/>
      <c r="AD31" s="9"/>
      <c r="AE31" s="9"/>
      <c r="AF31" s="9"/>
      <c r="AG31" s="9"/>
      <c r="AH31" s="9"/>
      <c r="AI31" s="9"/>
      <c r="AJ31" s="9"/>
      <c r="AK31" s="9"/>
      <c r="AL31" s="9"/>
      <c r="AM31" s="9"/>
      <c r="AN31" s="9"/>
      <c r="AO31" s="9"/>
      <c r="AP31" s="9"/>
    </row>
    <row r="32" spans="1:42" x14ac:dyDescent="0.25">
      <c r="A32" s="9"/>
      <c r="B32" s="9"/>
      <c r="C32" s="9"/>
      <c r="D32" s="9"/>
      <c r="E32" s="9"/>
      <c r="F32" s="9"/>
      <c r="G32" s="9"/>
      <c r="H32" s="9"/>
      <c r="I32" s="9"/>
      <c r="J32" s="9"/>
      <c r="K32" s="9"/>
      <c r="L32" s="9"/>
      <c r="M32" s="9"/>
      <c r="N32" s="9"/>
      <c r="O32" s="9"/>
      <c r="P32" s="9"/>
      <c r="Q32" s="9"/>
      <c r="R32" s="9"/>
      <c r="S32" s="9"/>
      <c r="T32" s="9"/>
      <c r="U32" s="9"/>
      <c r="V32" s="9"/>
      <c r="W32" s="9"/>
      <c r="X32" s="9"/>
      <c r="Y32" s="9"/>
      <c r="Z32" s="9"/>
      <c r="AA32" s="9"/>
      <c r="AB32" s="9"/>
      <c r="AC32" s="9"/>
      <c r="AD32" s="9"/>
      <c r="AE32" s="9"/>
      <c r="AF32" s="9"/>
      <c r="AG32" s="9"/>
      <c r="AH32" s="9"/>
      <c r="AI32" s="9"/>
      <c r="AJ32" s="9"/>
      <c r="AK32" s="9"/>
      <c r="AL32" s="9"/>
      <c r="AM32" s="9"/>
      <c r="AN32" s="9"/>
      <c r="AO32" s="9"/>
      <c r="AP32" s="9"/>
    </row>
    <row r="33" spans="1:42" x14ac:dyDescent="0.25">
      <c r="A33" s="9"/>
      <c r="B33" s="9"/>
      <c r="C33" s="9"/>
      <c r="D33" s="9"/>
      <c r="E33" s="9"/>
      <c r="F33" s="9"/>
      <c r="G33" s="9"/>
      <c r="H33" s="9"/>
      <c r="I33" s="9"/>
      <c r="J33" s="9"/>
      <c r="K33" s="9"/>
      <c r="L33" s="9"/>
      <c r="M33" s="9"/>
      <c r="N33" s="9"/>
      <c r="O33" s="9"/>
      <c r="P33" s="9"/>
      <c r="Q33" s="9"/>
      <c r="R33" s="9"/>
      <c r="S33" s="9"/>
      <c r="T33" s="9"/>
      <c r="U33" s="9"/>
      <c r="V33" s="9"/>
      <c r="W33" s="9"/>
      <c r="X33" s="9"/>
      <c r="Y33" s="9"/>
      <c r="Z33" s="9"/>
      <c r="AA33" s="9"/>
      <c r="AB33" s="9"/>
      <c r="AC33" s="9"/>
      <c r="AD33" s="9"/>
      <c r="AE33" s="9"/>
      <c r="AF33" s="9"/>
      <c r="AG33" s="9"/>
      <c r="AH33" s="9"/>
      <c r="AI33" s="9"/>
      <c r="AJ33" s="9"/>
      <c r="AK33" s="9"/>
      <c r="AL33" s="9"/>
      <c r="AM33" s="9"/>
      <c r="AN33" s="9"/>
      <c r="AO33" s="9"/>
      <c r="AP33" s="9"/>
    </row>
    <row r="34" spans="1:42" x14ac:dyDescent="0.25">
      <c r="A34" s="9"/>
      <c r="B34" s="9"/>
      <c r="C34" s="9"/>
      <c r="D34" s="9"/>
      <c r="E34" s="9"/>
      <c r="F34" s="9"/>
      <c r="G34" s="9"/>
      <c r="H34" s="9"/>
      <c r="I34" s="9"/>
      <c r="J34" s="9"/>
      <c r="K34" s="9"/>
      <c r="L34" s="9"/>
      <c r="M34" s="9"/>
      <c r="N34" s="9"/>
      <c r="O34" s="9"/>
      <c r="P34" s="9"/>
      <c r="Q34" s="9"/>
      <c r="R34" s="9"/>
      <c r="S34" s="9"/>
      <c r="T34" s="9"/>
      <c r="U34" s="9"/>
      <c r="V34" s="9"/>
      <c r="W34" s="9"/>
      <c r="X34" s="9"/>
      <c r="Y34" s="9"/>
      <c r="Z34" s="9"/>
      <c r="AA34" s="9"/>
      <c r="AB34" s="9"/>
      <c r="AC34" s="9"/>
      <c r="AD34" s="9"/>
      <c r="AE34" s="9"/>
      <c r="AF34" s="9"/>
      <c r="AG34" s="9"/>
      <c r="AH34" s="9"/>
      <c r="AI34" s="9"/>
      <c r="AJ34" s="9"/>
      <c r="AK34" s="9"/>
      <c r="AL34" s="9"/>
      <c r="AM34" s="9"/>
      <c r="AN34" s="9"/>
      <c r="AO34" s="9"/>
      <c r="AP34" s="9"/>
    </row>
    <row r="35" spans="1:42" x14ac:dyDescent="0.25">
      <c r="A35" s="9"/>
      <c r="B35" s="9"/>
      <c r="C35" s="9"/>
      <c r="D35" s="9"/>
      <c r="E35" s="9"/>
      <c r="F35" s="9"/>
      <c r="G35" s="9"/>
      <c r="H35" s="9"/>
      <c r="I35" s="9"/>
      <c r="J35" s="9"/>
      <c r="K35" s="9"/>
      <c r="L35" s="9"/>
      <c r="M35" s="9"/>
      <c r="N35" s="9"/>
      <c r="O35" s="9"/>
      <c r="P35" s="9"/>
      <c r="Q35" s="9"/>
      <c r="R35" s="9"/>
      <c r="S35" s="9"/>
      <c r="T35" s="9"/>
      <c r="U35" s="9"/>
      <c r="V35" s="9"/>
      <c r="W35" s="9"/>
      <c r="X35" s="9"/>
      <c r="Y35" s="9"/>
      <c r="Z35" s="9"/>
      <c r="AA35" s="9"/>
      <c r="AB35" s="9"/>
      <c r="AC35" s="9"/>
      <c r="AD35" s="9"/>
      <c r="AE35" s="9"/>
      <c r="AF35" s="9"/>
      <c r="AG35" s="9"/>
      <c r="AH35" s="9"/>
      <c r="AI35" s="9"/>
      <c r="AJ35" s="9"/>
      <c r="AK35" s="9"/>
      <c r="AL35" s="9"/>
      <c r="AM35" s="9"/>
      <c r="AN35" s="9"/>
      <c r="AO35" s="9"/>
      <c r="AP35" s="9"/>
    </row>
    <row r="36" spans="1:42" x14ac:dyDescent="0.25">
      <c r="A36" s="9"/>
      <c r="B36" s="9"/>
      <c r="C36" s="9"/>
      <c r="D36" s="9"/>
      <c r="E36" s="9"/>
      <c r="F36" s="9"/>
      <c r="G36" s="9"/>
      <c r="H36" s="9"/>
      <c r="I36" s="9"/>
      <c r="J36" s="9"/>
      <c r="K36" s="9"/>
      <c r="L36" s="9"/>
      <c r="M36" s="9"/>
      <c r="N36" s="9"/>
      <c r="O36" s="9"/>
      <c r="P36" s="9"/>
      <c r="Q36" s="9"/>
      <c r="R36" s="9"/>
      <c r="S36" s="9"/>
      <c r="T36" s="9"/>
      <c r="U36" s="9"/>
      <c r="V36" s="9"/>
      <c r="W36" s="9"/>
      <c r="X36" s="9"/>
      <c r="Y36" s="9"/>
      <c r="Z36" s="9"/>
      <c r="AA36" s="9"/>
      <c r="AB36" s="9"/>
      <c r="AC36" s="9"/>
      <c r="AD36" s="9"/>
      <c r="AE36" s="9"/>
      <c r="AF36" s="9"/>
      <c r="AG36" s="9"/>
      <c r="AH36" s="9"/>
      <c r="AI36" s="9"/>
      <c r="AJ36" s="9"/>
      <c r="AK36" s="9"/>
      <c r="AL36" s="9"/>
      <c r="AM36" s="9"/>
      <c r="AN36" s="9"/>
      <c r="AO36" s="9"/>
      <c r="AP36" s="9"/>
    </row>
    <row r="37" spans="1:42" ht="28.5" x14ac:dyDescent="0.25">
      <c r="A37" s="4"/>
      <c r="B37" s="4"/>
      <c r="C37" s="95" t="s">
        <v>74</v>
      </c>
      <c r="D37" s="95"/>
      <c r="E37" s="95"/>
      <c r="F37" s="95"/>
      <c r="G37" s="95"/>
      <c r="H37" s="95"/>
      <c r="I37" s="95"/>
      <c r="J37" s="95"/>
      <c r="K37" s="95"/>
      <c r="L37" s="95"/>
      <c r="M37" s="95"/>
      <c r="N37" s="95"/>
      <c r="O37" s="95"/>
      <c r="P37" s="95"/>
      <c r="Q37" s="95"/>
      <c r="R37" s="95"/>
      <c r="S37" s="95"/>
      <c r="T37" s="95"/>
      <c r="U37" s="95"/>
      <c r="V37" s="95"/>
      <c r="W37" s="95"/>
      <c r="X37" s="95"/>
      <c r="Y37" s="95"/>
      <c r="Z37" s="95"/>
      <c r="AA37" s="95"/>
      <c r="AB37" s="95"/>
      <c r="AC37" s="95"/>
      <c r="AD37" s="95"/>
      <c r="AE37" s="95"/>
      <c r="AF37" s="95"/>
      <c r="AG37" s="9"/>
      <c r="AH37" s="9"/>
      <c r="AI37" s="9"/>
      <c r="AJ37" s="9"/>
      <c r="AK37" s="9"/>
      <c r="AL37" s="9"/>
      <c r="AM37" s="9"/>
      <c r="AN37" s="9"/>
      <c r="AO37" s="9"/>
    </row>
    <row r="38" spans="1:42" ht="18.75" x14ac:dyDescent="0.3">
      <c r="A38" s="4"/>
      <c r="B38" s="127" t="s">
        <v>86</v>
      </c>
      <c r="C38" s="127"/>
      <c r="D38" s="127"/>
      <c r="E38" s="127"/>
      <c r="F38" s="127"/>
      <c r="G38" s="127"/>
      <c r="H38" s="127"/>
      <c r="I38" s="127"/>
      <c r="J38" s="127"/>
      <c r="K38" s="127"/>
      <c r="L38" s="127"/>
      <c r="M38" s="127"/>
      <c r="N38" s="127"/>
      <c r="O38" s="127"/>
      <c r="P38" s="127"/>
      <c r="Q38" s="127"/>
      <c r="R38" s="127"/>
      <c r="S38" s="127"/>
      <c r="T38" s="127"/>
      <c r="U38" s="4"/>
      <c r="V38" s="4"/>
      <c r="W38" s="127" t="s">
        <v>89</v>
      </c>
      <c r="X38" s="127"/>
      <c r="Y38" s="127"/>
      <c r="Z38" s="127"/>
      <c r="AA38" s="127"/>
      <c r="AB38" s="127"/>
      <c r="AC38" s="127"/>
      <c r="AD38" s="127"/>
      <c r="AE38" s="127"/>
      <c r="AF38" s="127"/>
      <c r="AG38" s="127"/>
      <c r="AH38" s="127"/>
      <c r="AI38" s="127"/>
      <c r="AJ38" s="127"/>
      <c r="AK38" s="127"/>
      <c r="AL38" s="127"/>
      <c r="AM38" s="127"/>
      <c r="AN38" s="127"/>
      <c r="AO38" s="127"/>
    </row>
    <row r="39" spans="1:42" ht="36" x14ac:dyDescent="0.25">
      <c r="A39" s="4"/>
      <c r="B39" s="5"/>
      <c r="C39" s="97" t="s">
        <v>58</v>
      </c>
      <c r="D39" s="97"/>
      <c r="E39" s="97"/>
      <c r="F39" s="97"/>
      <c r="G39" s="97"/>
      <c r="H39" s="97"/>
      <c r="I39" s="97"/>
      <c r="J39" s="97"/>
      <c r="K39" s="97"/>
      <c r="L39" s="97"/>
      <c r="M39" s="97"/>
      <c r="N39" s="97"/>
      <c r="O39" s="97"/>
      <c r="P39" s="97"/>
      <c r="Q39" s="97"/>
      <c r="R39" s="97"/>
      <c r="S39" s="97"/>
      <c r="T39" s="97"/>
      <c r="V39" s="4"/>
      <c r="W39" s="5"/>
      <c r="X39" s="97" t="s">
        <v>58</v>
      </c>
      <c r="Y39" s="97"/>
      <c r="Z39" s="97"/>
      <c r="AA39" s="97"/>
      <c r="AB39" s="97"/>
      <c r="AC39" s="97"/>
      <c r="AD39" s="97"/>
      <c r="AE39" s="97"/>
      <c r="AF39" s="97"/>
      <c r="AG39" s="97"/>
      <c r="AH39" s="97"/>
      <c r="AI39" s="97"/>
      <c r="AJ39" s="97"/>
      <c r="AK39" s="97"/>
      <c r="AL39" s="97"/>
      <c r="AM39" s="97"/>
      <c r="AN39" s="97"/>
      <c r="AO39" s="97"/>
    </row>
    <row r="40" spans="1:42" ht="15.75" x14ac:dyDescent="0.25">
      <c r="A40" s="4"/>
      <c r="B40" s="5"/>
      <c r="C40" s="98"/>
      <c r="D40" s="98"/>
      <c r="E40" s="98"/>
      <c r="F40" s="98"/>
      <c r="G40" s="98"/>
      <c r="H40" s="98"/>
      <c r="I40" s="98"/>
      <c r="J40" s="98"/>
      <c r="K40" s="98"/>
      <c r="L40" s="98"/>
      <c r="M40" s="98"/>
      <c r="N40" s="98"/>
      <c r="O40" s="98"/>
      <c r="P40" s="98"/>
      <c r="Q40" s="98"/>
      <c r="R40" s="98"/>
      <c r="S40" s="98"/>
      <c r="T40" s="98"/>
      <c r="U40" s="9"/>
      <c r="V40" s="4"/>
      <c r="W40" s="5"/>
      <c r="X40" s="98"/>
      <c r="Y40" s="98"/>
      <c r="Z40" s="98"/>
      <c r="AA40" s="98"/>
      <c r="AB40" s="98"/>
      <c r="AC40" s="98"/>
      <c r="AD40" s="98"/>
      <c r="AE40" s="98"/>
      <c r="AF40" s="98"/>
      <c r="AG40" s="98"/>
      <c r="AH40" s="98"/>
      <c r="AI40" s="98"/>
      <c r="AJ40" s="98"/>
      <c r="AK40" s="98"/>
      <c r="AL40" s="98"/>
      <c r="AM40" s="98"/>
      <c r="AN40" s="98"/>
      <c r="AO40" s="98"/>
    </row>
    <row r="41" spans="1:42" ht="15.75" x14ac:dyDescent="0.25">
      <c r="A41" s="6" t="s">
        <v>51</v>
      </c>
      <c r="B41" s="28"/>
      <c r="C41" s="122" t="s">
        <v>59</v>
      </c>
      <c r="D41" s="122"/>
      <c r="E41" s="122" t="s">
        <v>60</v>
      </c>
      <c r="F41" s="122"/>
      <c r="G41" s="122" t="s">
        <v>61</v>
      </c>
      <c r="H41" s="122"/>
      <c r="I41" s="122" t="s">
        <v>62</v>
      </c>
      <c r="J41" s="122"/>
      <c r="K41" s="122" t="s">
        <v>63</v>
      </c>
      <c r="L41" s="122"/>
      <c r="M41" s="122" t="s">
        <v>64</v>
      </c>
      <c r="N41" s="122"/>
      <c r="O41" s="122" t="s">
        <v>67</v>
      </c>
      <c r="P41" s="122"/>
      <c r="Q41" s="122" t="s">
        <v>68</v>
      </c>
      <c r="R41" s="122"/>
      <c r="S41" s="122" t="s">
        <v>69</v>
      </c>
      <c r="T41" s="122"/>
      <c r="U41" s="9"/>
      <c r="V41" s="6" t="s">
        <v>52</v>
      </c>
      <c r="W41" s="28"/>
      <c r="X41" s="122" t="s">
        <v>59</v>
      </c>
      <c r="Y41" s="122"/>
      <c r="Z41" s="122" t="s">
        <v>60</v>
      </c>
      <c r="AA41" s="122"/>
      <c r="AB41" s="122" t="s">
        <v>61</v>
      </c>
      <c r="AC41" s="122"/>
      <c r="AD41" s="122" t="s">
        <v>62</v>
      </c>
      <c r="AE41" s="122"/>
      <c r="AF41" s="122" t="s">
        <v>63</v>
      </c>
      <c r="AG41" s="122"/>
      <c r="AH41" s="122" t="s">
        <v>64</v>
      </c>
      <c r="AI41" s="122"/>
      <c r="AJ41" s="123" t="s">
        <v>54</v>
      </c>
      <c r="AK41" s="124"/>
      <c r="AL41" s="122" t="s">
        <v>55</v>
      </c>
      <c r="AM41" s="122"/>
      <c r="AN41" s="122" t="s">
        <v>38</v>
      </c>
      <c r="AO41" s="122"/>
    </row>
    <row r="42" spans="1:42" ht="23.25" customHeight="1" x14ac:dyDescent="0.25">
      <c r="A42" s="96" t="s">
        <v>0</v>
      </c>
      <c r="B42" s="122" t="s">
        <v>2</v>
      </c>
      <c r="C42" s="125"/>
      <c r="D42" s="15" t="s">
        <v>65</v>
      </c>
      <c r="E42" s="120" t="str">
        <f>IF(QUOTIENT(E6+E7,2)&lt;4,4-QUOTIENT(E6+E7,2),"")</f>
        <v/>
      </c>
      <c r="F42" s="15" t="s">
        <v>65</v>
      </c>
      <c r="G42" s="120" t="str">
        <f>IF(QUOTIENT(G6+G7,2)&lt;4,4-QUOTIENT(G6+G7,2),"")</f>
        <v/>
      </c>
      <c r="H42" s="15" t="s">
        <v>65</v>
      </c>
      <c r="I42" s="120">
        <f>IF(QUOTIENT(I6+I7,2)&lt;4,4-QUOTIENT(I6+I7,2),"")</f>
        <v>2</v>
      </c>
      <c r="J42" s="15" t="s">
        <v>65</v>
      </c>
      <c r="K42" s="120" t="str">
        <f>IF(QUOTIENT(K6+K7,2)&lt;4,4-QUOTIENT(K6+K7,2),"")</f>
        <v/>
      </c>
      <c r="L42" s="15" t="s">
        <v>65</v>
      </c>
      <c r="M42" s="120" t="str">
        <f>IF(QUOTIENT(M6+M7,2)&lt;4,4-QUOTIENT(M6+M7,2),"")</f>
        <v/>
      </c>
      <c r="N42" s="15" t="s">
        <v>65</v>
      </c>
      <c r="O42" s="120" t="str">
        <f>IF(QUOTIENT(O6+O7,2)&lt;4,4-QUOTIENT(O6+O7,2),"")</f>
        <v/>
      </c>
      <c r="P42" s="15" t="s">
        <v>65</v>
      </c>
      <c r="Q42" s="120" t="str">
        <f>IF(QUOTIENT(Q6+Q7,2)&lt;4,4-QUOTIENT(Q6+Q7,2),"")</f>
        <v/>
      </c>
      <c r="R42" s="15" t="s">
        <v>65</v>
      </c>
      <c r="S42" s="120" t="str">
        <f>IF(QUOTIENT(S6+S7,2)&lt;4,4-QUOTIENT(S6+S7,2),"")</f>
        <v/>
      </c>
      <c r="T42" s="15" t="s">
        <v>65</v>
      </c>
      <c r="U42" s="9"/>
      <c r="V42" s="96" t="s">
        <v>71</v>
      </c>
      <c r="W42" s="122" t="s">
        <v>3</v>
      </c>
      <c r="X42" s="11"/>
      <c r="Y42" s="15" t="s">
        <v>65</v>
      </c>
      <c r="Z42" s="120">
        <f>IF(QUOTIENT(Z6+Z7,2)&lt;2,2-QUOTIENT(Z6+Z7,2),"")</f>
        <v>2</v>
      </c>
      <c r="AA42" s="15" t="s">
        <v>65</v>
      </c>
      <c r="AB42" s="120">
        <f>IF(QUOTIENT(AB6+AB7,2)&lt;2,2-QUOTIENT(AB6+AB7,2),"")</f>
        <v>2</v>
      </c>
      <c r="AC42" s="15" t="s">
        <v>65</v>
      </c>
      <c r="AD42" s="120" t="str">
        <f>IF(QUOTIENT(AD6+AD7,2)&lt;2,2-QUOTIENT(AD6+AD7,2),"")</f>
        <v/>
      </c>
      <c r="AE42" s="15" t="s">
        <v>65</v>
      </c>
      <c r="AF42" s="120" t="str">
        <f>IF(QUOTIENT(AF6+AF7,2)&lt;2,2-QUOTIENT(AF6+AF7,2),"")</f>
        <v/>
      </c>
      <c r="AG42" s="15" t="s">
        <v>65</v>
      </c>
      <c r="AH42" s="120" t="str">
        <f>IF(QUOTIENT(AH6+AH7,2)&lt;2,2-QUOTIENT(AH6+AH7,2),"")</f>
        <v/>
      </c>
      <c r="AI42" s="15" t="s">
        <v>65</v>
      </c>
      <c r="AJ42" s="120" t="str">
        <f>IF(QUOTIENT(AJ6+AJ7,2)&lt;2,2-QUOTIENT(AJ6+AJ7,2),"")</f>
        <v/>
      </c>
      <c r="AK42" s="15" t="s">
        <v>65</v>
      </c>
      <c r="AL42" s="120" t="str">
        <f>IF(QUOTIENT(AL6+AL7,2)&lt;2,2-QUOTIENT(AL6+AL7,2),"")</f>
        <v/>
      </c>
      <c r="AM42" s="15" t="s">
        <v>65</v>
      </c>
      <c r="AN42" s="120" t="str">
        <f>IF(QUOTIENT(AN6+AN7,2)&lt;2,2-QUOTIENT(AN6+AN7,2),"")</f>
        <v/>
      </c>
      <c r="AO42" s="15" t="s">
        <v>65</v>
      </c>
    </row>
    <row r="43" spans="1:42" ht="23.25" customHeight="1" x14ac:dyDescent="0.25">
      <c r="A43" s="96"/>
      <c r="B43" s="122"/>
      <c r="C43" s="126"/>
      <c r="D43" s="16" t="s">
        <v>66</v>
      </c>
      <c r="E43" s="121"/>
      <c r="F43" s="16" t="s">
        <v>66</v>
      </c>
      <c r="G43" s="121"/>
      <c r="H43" s="16" t="s">
        <v>66</v>
      </c>
      <c r="I43" s="121"/>
      <c r="J43" s="16" t="s">
        <v>66</v>
      </c>
      <c r="K43" s="121"/>
      <c r="L43" s="16" t="s">
        <v>66</v>
      </c>
      <c r="M43" s="121"/>
      <c r="N43" s="16" t="s">
        <v>66</v>
      </c>
      <c r="O43" s="121"/>
      <c r="P43" s="16" t="s">
        <v>66</v>
      </c>
      <c r="Q43" s="121"/>
      <c r="R43" s="16" t="s">
        <v>66</v>
      </c>
      <c r="S43" s="121"/>
      <c r="T43" s="16" t="s">
        <v>66</v>
      </c>
      <c r="U43" s="9"/>
      <c r="V43" s="96"/>
      <c r="W43" s="122"/>
      <c r="X43" s="13"/>
      <c r="Y43" s="16" t="s">
        <v>66</v>
      </c>
      <c r="Z43" s="121"/>
      <c r="AA43" s="16" t="s">
        <v>66</v>
      </c>
      <c r="AB43" s="121"/>
      <c r="AC43" s="16" t="s">
        <v>66</v>
      </c>
      <c r="AD43" s="121"/>
      <c r="AE43" s="16" t="s">
        <v>66</v>
      </c>
      <c r="AF43" s="121"/>
      <c r="AG43" s="16" t="s">
        <v>66</v>
      </c>
      <c r="AH43" s="121"/>
      <c r="AI43" s="16" t="s">
        <v>66</v>
      </c>
      <c r="AJ43" s="121"/>
      <c r="AK43" s="16" t="s">
        <v>66</v>
      </c>
      <c r="AL43" s="121"/>
      <c r="AM43" s="16" t="s">
        <v>66</v>
      </c>
      <c r="AN43" s="121"/>
      <c r="AO43" s="16" t="s">
        <v>66</v>
      </c>
    </row>
    <row r="44" spans="1:42" ht="23.25" customHeight="1" x14ac:dyDescent="0.25">
      <c r="A44" s="96"/>
      <c r="B44" s="122" t="s">
        <v>29</v>
      </c>
      <c r="C44" s="125"/>
      <c r="D44" s="15" t="s">
        <v>65</v>
      </c>
      <c r="E44" s="120">
        <f>IF(QUOTIENT(E8+E9,2)&lt;4,4-QUOTIENT(E8+E9,2),"")</f>
        <v>2</v>
      </c>
      <c r="F44" s="15" t="s">
        <v>65</v>
      </c>
      <c r="G44" s="120" t="str">
        <f>IF(QUOTIENT(G8+G9,2)&lt;4,4-QUOTIENT(G8+G9,2),"")</f>
        <v/>
      </c>
      <c r="H44" s="15" t="s">
        <v>65</v>
      </c>
      <c r="I44" s="120" t="str">
        <f>IF(QUOTIENT(I8+I9,2)&lt;4,4-QUOTIENT(I8+I9,2),"")</f>
        <v/>
      </c>
      <c r="J44" s="15" t="s">
        <v>65</v>
      </c>
      <c r="K44" s="120" t="str">
        <f>IF(QUOTIENT(K8+K9,2)&lt;4,4-QUOTIENT(K8+K9,2),"")</f>
        <v/>
      </c>
      <c r="L44" s="15" t="s">
        <v>65</v>
      </c>
      <c r="M44" s="120" t="str">
        <f>IF(QUOTIENT(M8+M9,2)&lt;4,4-QUOTIENT(M8+M9,2),"")</f>
        <v/>
      </c>
      <c r="N44" s="15" t="s">
        <v>65</v>
      </c>
      <c r="O44" s="120">
        <f>IF(QUOTIENT(O8+O9,2)&lt;4,4-QUOTIENT(O8+O9,2),"")</f>
        <v>1</v>
      </c>
      <c r="P44" s="15" t="s">
        <v>65</v>
      </c>
      <c r="Q44" s="120" t="str">
        <f t="shared" ref="Q44" si="0">IF(QUOTIENT(Q8+Q9,2)&lt;2,2-QUOTIENT(Q8+Q9,2),"")</f>
        <v/>
      </c>
      <c r="R44" s="15" t="s">
        <v>65</v>
      </c>
      <c r="S44" s="120" t="str">
        <f t="shared" ref="S44" si="1">IF(QUOTIENT(S8+S9,2)&lt;2,2-QUOTIENT(S8+S9,2),"")</f>
        <v/>
      </c>
      <c r="T44" s="15" t="s">
        <v>65</v>
      </c>
      <c r="U44" s="9"/>
      <c r="V44" s="96"/>
      <c r="W44" s="122" t="s">
        <v>4</v>
      </c>
      <c r="X44" s="11"/>
      <c r="Y44" s="15" t="s">
        <v>65</v>
      </c>
      <c r="Z44" s="120" t="str">
        <f>IF(QUOTIENT(Z8+Z9,2)&lt;2,2-QUOTIENT(Z8+Z9,2),"")</f>
        <v/>
      </c>
      <c r="AA44" s="15" t="s">
        <v>65</v>
      </c>
      <c r="AB44" s="120" t="str">
        <f t="shared" ref="AB44" si="2">IF(QUOTIENT(AB8+AB9,2)&lt;2,2-QUOTIENT(AB8+AB9,2),"")</f>
        <v/>
      </c>
      <c r="AC44" s="15" t="s">
        <v>65</v>
      </c>
      <c r="AD44" s="120" t="str">
        <f t="shared" ref="AD44" si="3">IF(QUOTIENT(AD8+AD9,2)&lt;2,2-QUOTIENT(AD8+AD9,2),"")</f>
        <v/>
      </c>
      <c r="AE44" s="15" t="s">
        <v>65</v>
      </c>
      <c r="AF44" s="120" t="str">
        <f t="shared" ref="AF44" si="4">IF(QUOTIENT(AF8+AF9,2)&lt;2,2-QUOTIENT(AF8+AF9,2),"")</f>
        <v/>
      </c>
      <c r="AG44" s="15" t="s">
        <v>65</v>
      </c>
      <c r="AH44" s="120" t="str">
        <f t="shared" ref="AH44" si="5">IF(QUOTIENT(AH8+AH9,2)&lt;2,2-QUOTIENT(AH8+AH9,2),"")</f>
        <v/>
      </c>
      <c r="AI44" s="15" t="s">
        <v>65</v>
      </c>
      <c r="AJ44" s="120">
        <f t="shared" ref="AJ44" si="6">IF(QUOTIENT(AJ8+AJ9,2)&lt;2,2-QUOTIENT(AJ8+AJ9,2),"")</f>
        <v>1</v>
      </c>
      <c r="AK44" s="15" t="s">
        <v>65</v>
      </c>
      <c r="AL44" s="120" t="str">
        <f t="shared" ref="AL44" si="7">IF(QUOTIENT(AL8+AL9,2)&lt;2,2-QUOTIENT(AL8+AL9,2),"")</f>
        <v/>
      </c>
      <c r="AM44" s="15" t="s">
        <v>65</v>
      </c>
      <c r="AN44" s="120" t="str">
        <f t="shared" ref="AN44" si="8">IF(QUOTIENT(AN8+AN9,2)&lt;2,2-QUOTIENT(AN8+AN9,2),"")</f>
        <v/>
      </c>
      <c r="AO44" s="15" t="s">
        <v>65</v>
      </c>
    </row>
    <row r="45" spans="1:42" ht="23.25" customHeight="1" x14ac:dyDescent="0.25">
      <c r="A45" s="96"/>
      <c r="B45" s="122"/>
      <c r="C45" s="126"/>
      <c r="D45" s="16" t="s">
        <v>66</v>
      </c>
      <c r="E45" s="121"/>
      <c r="F45" s="16" t="s">
        <v>66</v>
      </c>
      <c r="G45" s="121"/>
      <c r="H45" s="16" t="s">
        <v>66</v>
      </c>
      <c r="I45" s="121"/>
      <c r="J45" s="16" t="s">
        <v>66</v>
      </c>
      <c r="K45" s="121"/>
      <c r="L45" s="16" t="s">
        <v>66</v>
      </c>
      <c r="M45" s="121"/>
      <c r="N45" s="16" t="s">
        <v>66</v>
      </c>
      <c r="O45" s="121"/>
      <c r="P45" s="16" t="s">
        <v>66</v>
      </c>
      <c r="Q45" s="121"/>
      <c r="R45" s="16" t="s">
        <v>66</v>
      </c>
      <c r="S45" s="121"/>
      <c r="T45" s="16" t="s">
        <v>66</v>
      </c>
      <c r="U45" s="9"/>
      <c r="V45" s="96"/>
      <c r="W45" s="122"/>
      <c r="X45" s="13"/>
      <c r="Y45" s="16" t="s">
        <v>66</v>
      </c>
      <c r="Z45" s="121"/>
      <c r="AA45" s="16" t="s">
        <v>66</v>
      </c>
      <c r="AB45" s="121"/>
      <c r="AC45" s="16" t="s">
        <v>66</v>
      </c>
      <c r="AD45" s="121"/>
      <c r="AE45" s="16" t="s">
        <v>66</v>
      </c>
      <c r="AF45" s="121"/>
      <c r="AG45" s="16" t="s">
        <v>66</v>
      </c>
      <c r="AH45" s="121"/>
      <c r="AI45" s="16" t="s">
        <v>66</v>
      </c>
      <c r="AJ45" s="121"/>
      <c r="AK45" s="16" t="s">
        <v>66</v>
      </c>
      <c r="AL45" s="121"/>
      <c r="AM45" s="16" t="s">
        <v>66</v>
      </c>
      <c r="AN45" s="121"/>
      <c r="AO45" s="16" t="s">
        <v>66</v>
      </c>
    </row>
    <row r="46" spans="1:42" ht="23.25" customHeight="1" x14ac:dyDescent="0.25">
      <c r="A46" s="96"/>
      <c r="B46" s="122" t="s">
        <v>30</v>
      </c>
      <c r="C46" s="125"/>
      <c r="D46" s="15" t="s">
        <v>65</v>
      </c>
      <c r="E46" s="120" t="str">
        <f>IF(QUOTIENT(E10+E11,2)&lt;3,3-QUOTIENT(E10+E11,2),"")</f>
        <v/>
      </c>
      <c r="F46" s="15" t="s">
        <v>65</v>
      </c>
      <c r="G46" s="120" t="str">
        <f>IF(QUOTIENT(G10+G11,2)&lt;3,3-QUOTIENT(G10+G11,2),"")</f>
        <v/>
      </c>
      <c r="H46" s="15" t="s">
        <v>65</v>
      </c>
      <c r="I46" s="120" t="str">
        <f>IF(QUOTIENT(I10+I11,2)&lt;3,3-QUOTIENT(I10+I11,2),"")</f>
        <v/>
      </c>
      <c r="J46" s="15" t="s">
        <v>65</v>
      </c>
      <c r="K46" s="120" t="str">
        <f>IF(QUOTIENT(K10+K11,2)&lt;3,3-QUOTIENT(K10+K11,2),"")</f>
        <v/>
      </c>
      <c r="L46" s="15" t="s">
        <v>65</v>
      </c>
      <c r="M46" s="120" t="str">
        <f>IF(QUOTIENT(M10+M11,2)&lt;3,3-QUOTIENT(M10+M11,2),"")</f>
        <v/>
      </c>
      <c r="N46" s="15" t="s">
        <v>65</v>
      </c>
      <c r="O46" s="120" t="str">
        <f t="shared" ref="O46" si="9">IF(QUOTIENT(O10+O11,2)&lt;4,4-QUOTIENT(O10+O11,2),"")</f>
        <v/>
      </c>
      <c r="P46" s="15" t="s">
        <v>65</v>
      </c>
      <c r="Q46" s="120" t="str">
        <f t="shared" ref="Q46" si="10">IF(QUOTIENT(Q10+Q11,2)&lt;2,2-QUOTIENT(Q10+Q11,2),"")</f>
        <v/>
      </c>
      <c r="R46" s="15" t="s">
        <v>65</v>
      </c>
      <c r="S46" s="120" t="str">
        <f t="shared" ref="S46" si="11">IF(QUOTIENT(S10+S11,2)&lt;2,2-QUOTIENT(S10+S11,2),"")</f>
        <v/>
      </c>
      <c r="T46" s="15" t="s">
        <v>65</v>
      </c>
      <c r="U46" s="9"/>
      <c r="V46" s="96"/>
      <c r="W46" s="122" t="s">
        <v>5</v>
      </c>
      <c r="X46" s="11"/>
      <c r="Y46" s="15" t="s">
        <v>65</v>
      </c>
      <c r="Z46" s="120">
        <f>IF(QUOTIENT(Z10+Z11,2)&lt;2,2-QUOTIENT(Z10+Z11,2),"")</f>
        <v>1</v>
      </c>
      <c r="AA46" s="15" t="s">
        <v>65</v>
      </c>
      <c r="AB46" s="120" t="str">
        <f t="shared" ref="AB46" si="12">IF(QUOTIENT(AB10+AB11,2)&lt;2,2-QUOTIENT(AB10+AB11,2),"")</f>
        <v/>
      </c>
      <c r="AC46" s="15" t="s">
        <v>65</v>
      </c>
      <c r="AD46" s="120">
        <f t="shared" ref="AD46" si="13">IF(QUOTIENT(AD10+AD11,2)&lt;2,2-QUOTIENT(AD10+AD11,2),"")</f>
        <v>2</v>
      </c>
      <c r="AE46" s="15" t="s">
        <v>65</v>
      </c>
      <c r="AF46" s="120" t="str">
        <f t="shared" ref="AF46" si="14">IF(QUOTIENT(AF10+AF11,2)&lt;2,2-QUOTIENT(AF10+AF11,2),"")</f>
        <v/>
      </c>
      <c r="AG46" s="15" t="s">
        <v>65</v>
      </c>
      <c r="AH46" s="120" t="str">
        <f t="shared" ref="AH46" si="15">IF(QUOTIENT(AH10+AH11,2)&lt;2,2-QUOTIENT(AH10+AH11,2),"")</f>
        <v/>
      </c>
      <c r="AI46" s="15" t="s">
        <v>65</v>
      </c>
      <c r="AJ46" s="120">
        <f t="shared" ref="AJ46" si="16">IF(QUOTIENT(AJ10+AJ11,2)&lt;2,2-QUOTIENT(AJ10+AJ11,2),"")</f>
        <v>1</v>
      </c>
      <c r="AK46" s="15" t="s">
        <v>65</v>
      </c>
      <c r="AL46" s="120" t="str">
        <f t="shared" ref="AL46" si="17">IF(QUOTIENT(AL10+AL11,2)&lt;2,2-QUOTIENT(AL10+AL11,2),"")</f>
        <v/>
      </c>
      <c r="AM46" s="15" t="s">
        <v>65</v>
      </c>
      <c r="AN46" s="120" t="str">
        <f t="shared" ref="AN46" si="18">IF(QUOTIENT(AN10+AN11,2)&lt;2,2-QUOTIENT(AN10+AN11,2),"")</f>
        <v/>
      </c>
      <c r="AO46" s="15" t="s">
        <v>65</v>
      </c>
    </row>
    <row r="47" spans="1:42" ht="23.25" customHeight="1" x14ac:dyDescent="0.25">
      <c r="A47" s="96"/>
      <c r="B47" s="122"/>
      <c r="C47" s="126"/>
      <c r="D47" s="16" t="s">
        <v>66</v>
      </c>
      <c r="E47" s="121"/>
      <c r="F47" s="16" t="s">
        <v>66</v>
      </c>
      <c r="G47" s="121"/>
      <c r="H47" s="16" t="s">
        <v>66</v>
      </c>
      <c r="I47" s="121"/>
      <c r="J47" s="16" t="s">
        <v>66</v>
      </c>
      <c r="K47" s="121"/>
      <c r="L47" s="16" t="s">
        <v>66</v>
      </c>
      <c r="M47" s="121"/>
      <c r="N47" s="16" t="s">
        <v>66</v>
      </c>
      <c r="O47" s="121"/>
      <c r="P47" s="16" t="s">
        <v>66</v>
      </c>
      <c r="Q47" s="121"/>
      <c r="R47" s="16" t="s">
        <v>66</v>
      </c>
      <c r="S47" s="121"/>
      <c r="T47" s="16" t="s">
        <v>66</v>
      </c>
      <c r="U47" s="9"/>
      <c r="V47" s="96"/>
      <c r="W47" s="122"/>
      <c r="X47" s="13"/>
      <c r="Y47" s="16" t="s">
        <v>66</v>
      </c>
      <c r="Z47" s="121"/>
      <c r="AA47" s="16" t="s">
        <v>66</v>
      </c>
      <c r="AB47" s="121"/>
      <c r="AC47" s="16" t="s">
        <v>66</v>
      </c>
      <c r="AD47" s="121"/>
      <c r="AE47" s="16" t="s">
        <v>66</v>
      </c>
      <c r="AF47" s="121"/>
      <c r="AG47" s="16" t="s">
        <v>66</v>
      </c>
      <c r="AH47" s="121"/>
      <c r="AI47" s="16" t="s">
        <v>66</v>
      </c>
      <c r="AJ47" s="121"/>
      <c r="AK47" s="16" t="s">
        <v>66</v>
      </c>
      <c r="AL47" s="121"/>
      <c r="AM47" s="16" t="s">
        <v>66</v>
      </c>
      <c r="AN47" s="121"/>
      <c r="AO47" s="16" t="s">
        <v>66</v>
      </c>
    </row>
    <row r="48" spans="1:42" ht="23.25" customHeight="1" x14ac:dyDescent="0.25">
      <c r="A48" s="96"/>
      <c r="B48" s="122" t="s">
        <v>31</v>
      </c>
      <c r="C48" s="125"/>
      <c r="D48" s="15" t="s">
        <v>65</v>
      </c>
      <c r="E48" s="120" t="str">
        <f t="shared" ref="E48" si="19">IF(QUOTIENT(E12+E13,2)&lt;3,3-QUOTIENT(E12+E13,2),"")</f>
        <v/>
      </c>
      <c r="F48" s="15" t="s">
        <v>65</v>
      </c>
      <c r="G48" s="120" t="str">
        <f>IF(QUOTIENT(G12+G13,2)&lt;3,3-QUOTIENT(G12+G13,2),"")</f>
        <v/>
      </c>
      <c r="H48" s="15" t="s">
        <v>65</v>
      </c>
      <c r="I48" s="120" t="str">
        <f>IF(QUOTIENT(I12+I13,2)&lt;3,3-QUOTIENT(I12+I13,2),"")</f>
        <v/>
      </c>
      <c r="J48" s="15" t="s">
        <v>65</v>
      </c>
      <c r="K48" s="120">
        <f>IF(QUOTIENT(K12+K13,2)&lt;3,3-QUOTIENT(K12+K13,2),"")</f>
        <v>1</v>
      </c>
      <c r="L48" s="15" t="s">
        <v>65</v>
      </c>
      <c r="M48" s="120">
        <f t="shared" ref="M48" si="20">IF(QUOTIENT(M12+M13,2)&lt;3,3-QUOTIENT(M12+M13,2),"")</f>
        <v>1</v>
      </c>
      <c r="N48" s="15" t="s">
        <v>65</v>
      </c>
      <c r="O48" s="120">
        <f t="shared" ref="O48" si="21">IF(QUOTIENT(O12+O13,2)&lt;4,4-QUOTIENT(O12+O13,2),"")</f>
        <v>1</v>
      </c>
      <c r="P48" s="15" t="s">
        <v>65</v>
      </c>
      <c r="Q48" s="120" t="str">
        <f t="shared" ref="Q48" si="22">IF(QUOTIENT(Q12+Q13,2)&lt;2,2-QUOTIENT(Q12+Q13,2),"")</f>
        <v/>
      </c>
      <c r="R48" s="15" t="s">
        <v>65</v>
      </c>
      <c r="S48" s="120" t="str">
        <f t="shared" ref="S48" si="23">IF(QUOTIENT(S12+S13,2)&lt;2,2-QUOTIENT(S12+S13,2),"")</f>
        <v/>
      </c>
      <c r="T48" s="15" t="s">
        <v>65</v>
      </c>
      <c r="U48" s="9"/>
      <c r="V48" s="96"/>
      <c r="W48" s="122" t="s">
        <v>6</v>
      </c>
      <c r="X48" s="11"/>
      <c r="Y48" s="15" t="s">
        <v>65</v>
      </c>
      <c r="Z48" s="120" t="str">
        <f>IF(QUOTIENT(Z12+Z13,2)&lt;2,2-QUOTIENT(Z12+Z13,2),"")</f>
        <v/>
      </c>
      <c r="AA48" s="15" t="s">
        <v>65</v>
      </c>
      <c r="AB48" s="120" t="str">
        <f t="shared" ref="AB48" si="24">IF(QUOTIENT(AB12+AB13,2)&lt;2,2-QUOTIENT(AB12+AB13,2),"")</f>
        <v/>
      </c>
      <c r="AC48" s="15" t="s">
        <v>65</v>
      </c>
      <c r="AD48" s="120" t="str">
        <f t="shared" ref="AD48" si="25">IF(QUOTIENT(AD12+AD13,2)&lt;2,2-QUOTIENT(AD12+AD13,2),"")</f>
        <v/>
      </c>
      <c r="AE48" s="15" t="s">
        <v>65</v>
      </c>
      <c r="AF48" s="120" t="str">
        <f t="shared" ref="AF48" si="26">IF(QUOTIENT(AF12+AF13,2)&lt;2,2-QUOTIENT(AF12+AF13,2),"")</f>
        <v/>
      </c>
      <c r="AG48" s="15" t="s">
        <v>65</v>
      </c>
      <c r="AH48" s="120" t="str">
        <f t="shared" ref="AH48" si="27">IF(QUOTIENT(AH12+AH13,2)&lt;2,2-QUOTIENT(AH12+AH13,2),"")</f>
        <v/>
      </c>
      <c r="AI48" s="15" t="s">
        <v>65</v>
      </c>
      <c r="AJ48" s="120" t="str">
        <f t="shared" ref="AJ48" si="28">IF(QUOTIENT(AJ12+AJ13,2)&lt;2,2-QUOTIENT(AJ12+AJ13,2),"")</f>
        <v/>
      </c>
      <c r="AK48" s="15" t="s">
        <v>65</v>
      </c>
      <c r="AL48" s="120" t="str">
        <f t="shared" ref="AL48" si="29">IF(QUOTIENT(AL12+AL13,2)&lt;2,2-QUOTIENT(AL12+AL13,2),"")</f>
        <v/>
      </c>
      <c r="AM48" s="15" t="s">
        <v>65</v>
      </c>
      <c r="AN48" s="120" t="str">
        <f t="shared" ref="AN48" si="30">IF(QUOTIENT(AN12+AN13,2)&lt;2,2-QUOTIENT(AN12+AN13,2),"")</f>
        <v/>
      </c>
      <c r="AO48" s="15" t="s">
        <v>65</v>
      </c>
    </row>
    <row r="49" spans="1:41" ht="23.25" customHeight="1" x14ac:dyDescent="0.25">
      <c r="A49" s="96"/>
      <c r="B49" s="122"/>
      <c r="C49" s="126"/>
      <c r="D49" s="16" t="s">
        <v>66</v>
      </c>
      <c r="E49" s="121"/>
      <c r="F49" s="16" t="s">
        <v>66</v>
      </c>
      <c r="G49" s="121"/>
      <c r="H49" s="16" t="s">
        <v>66</v>
      </c>
      <c r="I49" s="121"/>
      <c r="J49" s="16" t="s">
        <v>66</v>
      </c>
      <c r="K49" s="121"/>
      <c r="L49" s="16" t="s">
        <v>66</v>
      </c>
      <c r="M49" s="121"/>
      <c r="N49" s="16" t="s">
        <v>66</v>
      </c>
      <c r="O49" s="121"/>
      <c r="P49" s="16" t="s">
        <v>66</v>
      </c>
      <c r="Q49" s="121"/>
      <c r="R49" s="16" t="s">
        <v>66</v>
      </c>
      <c r="S49" s="121"/>
      <c r="T49" s="16" t="s">
        <v>66</v>
      </c>
      <c r="U49" s="9"/>
      <c r="V49" s="96"/>
      <c r="W49" s="122"/>
      <c r="X49" s="13"/>
      <c r="Y49" s="16" t="s">
        <v>66</v>
      </c>
      <c r="Z49" s="121"/>
      <c r="AA49" s="16" t="s">
        <v>66</v>
      </c>
      <c r="AB49" s="121"/>
      <c r="AC49" s="16" t="s">
        <v>66</v>
      </c>
      <c r="AD49" s="121"/>
      <c r="AE49" s="16" t="s">
        <v>66</v>
      </c>
      <c r="AF49" s="121"/>
      <c r="AG49" s="16" t="s">
        <v>66</v>
      </c>
      <c r="AH49" s="121"/>
      <c r="AI49" s="16" t="s">
        <v>66</v>
      </c>
      <c r="AJ49" s="121"/>
      <c r="AK49" s="16" t="s">
        <v>66</v>
      </c>
      <c r="AL49" s="121"/>
      <c r="AM49" s="16" t="s">
        <v>66</v>
      </c>
      <c r="AN49" s="121"/>
      <c r="AO49" s="16" t="s">
        <v>66</v>
      </c>
    </row>
    <row r="50" spans="1:41" ht="23.25" customHeight="1" x14ac:dyDescent="0.25">
      <c r="A50" s="96"/>
      <c r="B50" s="122" t="s">
        <v>32</v>
      </c>
      <c r="C50" s="125"/>
      <c r="D50" s="15" t="s">
        <v>65</v>
      </c>
      <c r="E50" s="120" t="str">
        <f t="shared" ref="E50" si="31">IF(QUOTIENT(E14+E15,2)&lt;3,3-QUOTIENT(E14+E15,2),"")</f>
        <v/>
      </c>
      <c r="F50" s="15" t="s">
        <v>65</v>
      </c>
      <c r="G50" s="120" t="str">
        <f t="shared" ref="G50" si="32">IF(QUOTIENT(G14+G15,2)&lt;3,3-QUOTIENT(G14+G15,2),"")</f>
        <v/>
      </c>
      <c r="H50" s="15" t="s">
        <v>65</v>
      </c>
      <c r="I50" s="120">
        <f t="shared" ref="I50" si="33">IF(QUOTIENT(I14+I15,2)&lt;3,3-QUOTIENT(I14+I15,2),"")</f>
        <v>1</v>
      </c>
      <c r="J50" s="15" t="s">
        <v>65</v>
      </c>
      <c r="K50" s="120" t="str">
        <f t="shared" ref="K50" si="34">IF(QUOTIENT(K14+K15,2)&lt;3,3-QUOTIENT(K14+K15,2),"")</f>
        <v/>
      </c>
      <c r="L50" s="15" t="s">
        <v>65</v>
      </c>
      <c r="M50" s="120" t="str">
        <f t="shared" ref="M50" si="35">IF(QUOTIENT(M14+M15,2)&lt;3,3-QUOTIENT(M14+M15,2),"")</f>
        <v/>
      </c>
      <c r="N50" s="15" t="s">
        <v>65</v>
      </c>
      <c r="O50" s="120" t="str">
        <f t="shared" ref="O50" si="36">IF(QUOTIENT(O14+O15,2)&lt;4,4-QUOTIENT(O14+O15,2),"")</f>
        <v/>
      </c>
      <c r="P50" s="15" t="s">
        <v>65</v>
      </c>
      <c r="Q50" s="120" t="str">
        <f t="shared" ref="Q50" si="37">IF(QUOTIENT(Q14+Q15,2)&lt;2,2-QUOTIENT(Q14+Q15,2),"")</f>
        <v/>
      </c>
      <c r="R50" s="15" t="s">
        <v>65</v>
      </c>
      <c r="S50" s="120" t="str">
        <f t="shared" ref="S50" si="38">IF(QUOTIENT(S14+S15,2)&lt;2,2-QUOTIENT(S14+S15,2),"")</f>
        <v/>
      </c>
      <c r="T50" s="15" t="s">
        <v>65</v>
      </c>
      <c r="U50" s="9"/>
      <c r="V50" s="96"/>
      <c r="W50" s="122" t="s">
        <v>7</v>
      </c>
      <c r="X50" s="11"/>
      <c r="Y50" s="15" t="s">
        <v>65</v>
      </c>
      <c r="Z50" s="120">
        <f>IF(QUOTIENT(Z14+Z15,2)&lt;2,2-QUOTIENT(Z14+Z15,2),"")</f>
        <v>1</v>
      </c>
      <c r="AA50" s="15" t="s">
        <v>65</v>
      </c>
      <c r="AB50" s="120" t="str">
        <f t="shared" ref="AB50" si="39">IF(QUOTIENT(AB14+AB15,2)&lt;2,2-QUOTIENT(AB14+AB15,2),"")</f>
        <v/>
      </c>
      <c r="AC50" s="15" t="s">
        <v>65</v>
      </c>
      <c r="AD50" s="120" t="str">
        <f t="shared" ref="AD50" si="40">IF(QUOTIENT(AD14+AD15,2)&lt;2,2-QUOTIENT(AD14+AD15,2),"")</f>
        <v/>
      </c>
      <c r="AE50" s="15" t="s">
        <v>65</v>
      </c>
      <c r="AF50" s="120" t="str">
        <f t="shared" ref="AF50" si="41">IF(QUOTIENT(AF14+AF15,2)&lt;2,2-QUOTIENT(AF14+AF15,2),"")</f>
        <v/>
      </c>
      <c r="AG50" s="15" t="s">
        <v>65</v>
      </c>
      <c r="AH50" s="120" t="str">
        <f t="shared" ref="AH50" si="42">IF(QUOTIENT(AH14+AH15,2)&lt;2,2-QUOTIENT(AH14+AH15,2),"")</f>
        <v/>
      </c>
      <c r="AI50" s="15" t="s">
        <v>65</v>
      </c>
      <c r="AJ50" s="120" t="str">
        <f t="shared" ref="AJ50" si="43">IF(QUOTIENT(AJ14+AJ15,2)&lt;2,2-QUOTIENT(AJ14+AJ15,2),"")</f>
        <v/>
      </c>
      <c r="AK50" s="15" t="s">
        <v>65</v>
      </c>
      <c r="AL50" s="120" t="str">
        <f t="shared" ref="AL50" si="44">IF(QUOTIENT(AL14+AL15,2)&lt;2,2-QUOTIENT(AL14+AL15,2),"")</f>
        <v/>
      </c>
      <c r="AM50" s="15" t="s">
        <v>65</v>
      </c>
      <c r="AN50" s="120" t="str">
        <f t="shared" ref="AN50" si="45">IF(QUOTIENT(AN14+AN15,2)&lt;2,2-QUOTIENT(AN14+AN15,2),"")</f>
        <v/>
      </c>
      <c r="AO50" s="15" t="s">
        <v>65</v>
      </c>
    </row>
    <row r="51" spans="1:41" ht="23.25" customHeight="1" x14ac:dyDescent="0.25">
      <c r="A51" s="96"/>
      <c r="B51" s="122"/>
      <c r="C51" s="126"/>
      <c r="D51" s="16" t="s">
        <v>66</v>
      </c>
      <c r="E51" s="121"/>
      <c r="F51" s="16" t="s">
        <v>66</v>
      </c>
      <c r="G51" s="121"/>
      <c r="H51" s="16" t="s">
        <v>66</v>
      </c>
      <c r="I51" s="121"/>
      <c r="J51" s="16" t="s">
        <v>66</v>
      </c>
      <c r="K51" s="121"/>
      <c r="L51" s="16" t="s">
        <v>66</v>
      </c>
      <c r="M51" s="121"/>
      <c r="N51" s="16" t="s">
        <v>66</v>
      </c>
      <c r="O51" s="121"/>
      <c r="P51" s="16" t="s">
        <v>66</v>
      </c>
      <c r="Q51" s="121"/>
      <c r="R51" s="16" t="s">
        <v>66</v>
      </c>
      <c r="S51" s="121"/>
      <c r="T51" s="16" t="s">
        <v>66</v>
      </c>
      <c r="U51" s="9"/>
      <c r="V51" s="96"/>
      <c r="W51" s="122"/>
      <c r="X51" s="13"/>
      <c r="Y51" s="16" t="s">
        <v>66</v>
      </c>
      <c r="Z51" s="121"/>
      <c r="AA51" s="16" t="s">
        <v>66</v>
      </c>
      <c r="AB51" s="121"/>
      <c r="AC51" s="16" t="s">
        <v>66</v>
      </c>
      <c r="AD51" s="121"/>
      <c r="AE51" s="16" t="s">
        <v>66</v>
      </c>
      <c r="AF51" s="121"/>
      <c r="AG51" s="16" t="s">
        <v>66</v>
      </c>
      <c r="AH51" s="121"/>
      <c r="AI51" s="16" t="s">
        <v>66</v>
      </c>
      <c r="AJ51" s="121"/>
      <c r="AK51" s="16" t="s">
        <v>66</v>
      </c>
      <c r="AL51" s="121"/>
      <c r="AM51" s="16" t="s">
        <v>66</v>
      </c>
      <c r="AN51" s="121"/>
      <c r="AO51" s="16" t="s">
        <v>66</v>
      </c>
    </row>
    <row r="52" spans="1:41" ht="23.25" customHeight="1" x14ac:dyDescent="0.25">
      <c r="A52" s="96"/>
      <c r="B52" s="122" t="s">
        <v>33</v>
      </c>
      <c r="C52" s="125"/>
      <c r="D52" s="15" t="s">
        <v>65</v>
      </c>
      <c r="E52" s="120" t="str">
        <f t="shared" ref="E52" si="46">IF(QUOTIENT(E16+E17,2)&lt;3,3-QUOTIENT(E16+E17,2),"")</f>
        <v/>
      </c>
      <c r="F52" s="15" t="s">
        <v>65</v>
      </c>
      <c r="G52" s="120" t="str">
        <f t="shared" ref="G52" si="47">IF(QUOTIENT(G16+G17,2)&lt;3,3-QUOTIENT(G16+G17,2),"")</f>
        <v/>
      </c>
      <c r="H52" s="15" t="s">
        <v>65</v>
      </c>
      <c r="I52" s="120">
        <f t="shared" ref="I52" si="48">IF(QUOTIENT(I16+I17,2)&lt;3,3-QUOTIENT(I16+I17,2),"")</f>
        <v>1</v>
      </c>
      <c r="J52" s="15" t="s">
        <v>65</v>
      </c>
      <c r="K52" s="120">
        <f t="shared" ref="K52" si="49">IF(QUOTIENT(K16+K17,2)&lt;3,3-QUOTIENT(K16+K17,2),"")</f>
        <v>1</v>
      </c>
      <c r="L52" s="15" t="s">
        <v>65</v>
      </c>
      <c r="M52" s="120" t="str">
        <f t="shared" ref="M52" si="50">IF(QUOTIENT(M16+M17,2)&lt;3,3-QUOTIENT(M16+M17,2),"")</f>
        <v/>
      </c>
      <c r="N52" s="15" t="s">
        <v>65</v>
      </c>
      <c r="O52" s="120" t="str">
        <f t="shared" ref="O52" si="51">IF(QUOTIENT(O16+O17,2)&lt;4,4-QUOTIENT(O16+O17,2),"")</f>
        <v/>
      </c>
      <c r="P52" s="15" t="s">
        <v>65</v>
      </c>
      <c r="Q52" s="120" t="str">
        <f t="shared" ref="Q52" si="52">IF(QUOTIENT(Q16+Q17,2)&lt;2,2-QUOTIENT(Q16+Q17,2),"")</f>
        <v/>
      </c>
      <c r="R52" s="15" t="s">
        <v>65</v>
      </c>
      <c r="S52" s="120" t="str">
        <f t="shared" ref="S52" si="53">IF(QUOTIENT(S16+S17,2)&lt;2,2-QUOTIENT(S16+S17,2),"")</f>
        <v/>
      </c>
      <c r="T52" s="15" t="s">
        <v>65</v>
      </c>
      <c r="U52" s="9"/>
      <c r="V52" s="96"/>
      <c r="W52" s="122" t="s">
        <v>8</v>
      </c>
      <c r="X52" s="11"/>
      <c r="Y52" s="15" t="s">
        <v>65</v>
      </c>
      <c r="Z52" s="120" t="str">
        <f>IF(QUOTIENT(Z16+Z17,2)&lt;2,2-QUOTIENT(Z16+Z17,2),"")</f>
        <v/>
      </c>
      <c r="AA52" s="15" t="s">
        <v>65</v>
      </c>
      <c r="AB52" s="120" t="str">
        <f t="shared" ref="AB52" si="54">IF(QUOTIENT(AB16+AB17,2)&lt;2,2-QUOTIENT(AB16+AB17,2),"")</f>
        <v/>
      </c>
      <c r="AC52" s="15" t="s">
        <v>65</v>
      </c>
      <c r="AD52" s="120" t="str">
        <f t="shared" ref="AD52" si="55">IF(QUOTIENT(AD16+AD17,2)&lt;2,2-QUOTIENT(AD16+AD17,2),"")</f>
        <v/>
      </c>
      <c r="AE52" s="15" t="s">
        <v>65</v>
      </c>
      <c r="AF52" s="120" t="str">
        <f t="shared" ref="AF52" si="56">IF(QUOTIENT(AF16+AF17,2)&lt;2,2-QUOTIENT(AF16+AF17,2),"")</f>
        <v/>
      </c>
      <c r="AG52" s="15" t="s">
        <v>65</v>
      </c>
      <c r="AH52" s="120" t="str">
        <f t="shared" ref="AH52" si="57">IF(QUOTIENT(AH16+AH17,2)&lt;2,2-QUOTIENT(AH16+AH17,2),"")</f>
        <v/>
      </c>
      <c r="AI52" s="15" t="s">
        <v>65</v>
      </c>
      <c r="AJ52" s="120" t="str">
        <f t="shared" ref="AJ52" si="58">IF(QUOTIENT(AJ16+AJ17,2)&lt;2,2-QUOTIENT(AJ16+AJ17,2),"")</f>
        <v/>
      </c>
      <c r="AK52" s="15" t="s">
        <v>65</v>
      </c>
      <c r="AL52" s="120" t="str">
        <f t="shared" ref="AL52" si="59">IF(QUOTIENT(AL16+AL17,2)&lt;2,2-QUOTIENT(AL16+AL17,2),"")</f>
        <v/>
      </c>
      <c r="AM52" s="15" t="s">
        <v>65</v>
      </c>
      <c r="AN52" s="120" t="str">
        <f t="shared" ref="AN52" si="60">IF(QUOTIENT(AN16+AN17,2)&lt;2,2-QUOTIENT(AN16+AN17,2),"")</f>
        <v/>
      </c>
      <c r="AO52" s="15" t="s">
        <v>65</v>
      </c>
    </row>
    <row r="53" spans="1:41" ht="23.25" customHeight="1" x14ac:dyDescent="0.25">
      <c r="A53" s="96"/>
      <c r="B53" s="122"/>
      <c r="C53" s="126"/>
      <c r="D53" s="16" t="s">
        <v>66</v>
      </c>
      <c r="E53" s="121"/>
      <c r="F53" s="16" t="s">
        <v>66</v>
      </c>
      <c r="G53" s="121"/>
      <c r="H53" s="16" t="s">
        <v>66</v>
      </c>
      <c r="I53" s="121"/>
      <c r="J53" s="16" t="s">
        <v>66</v>
      </c>
      <c r="K53" s="121"/>
      <c r="L53" s="16" t="s">
        <v>66</v>
      </c>
      <c r="M53" s="121"/>
      <c r="N53" s="16" t="s">
        <v>66</v>
      </c>
      <c r="O53" s="121"/>
      <c r="P53" s="16" t="s">
        <v>66</v>
      </c>
      <c r="Q53" s="121"/>
      <c r="R53" s="16" t="s">
        <v>66</v>
      </c>
      <c r="S53" s="121"/>
      <c r="T53" s="16" t="s">
        <v>66</v>
      </c>
      <c r="U53" s="9"/>
      <c r="V53" s="96"/>
      <c r="W53" s="122"/>
      <c r="X53" s="13"/>
      <c r="Y53" s="16" t="s">
        <v>66</v>
      </c>
      <c r="Z53" s="121"/>
      <c r="AA53" s="16" t="s">
        <v>66</v>
      </c>
      <c r="AB53" s="121"/>
      <c r="AC53" s="16" t="s">
        <v>66</v>
      </c>
      <c r="AD53" s="121"/>
      <c r="AE53" s="16" t="s">
        <v>66</v>
      </c>
      <c r="AF53" s="121"/>
      <c r="AG53" s="16" t="s">
        <v>66</v>
      </c>
      <c r="AH53" s="121"/>
      <c r="AI53" s="16" t="s">
        <v>66</v>
      </c>
      <c r="AJ53" s="121"/>
      <c r="AK53" s="16" t="s">
        <v>66</v>
      </c>
      <c r="AL53" s="121"/>
      <c r="AM53" s="16" t="s">
        <v>66</v>
      </c>
      <c r="AN53" s="121"/>
      <c r="AO53" s="16" t="s">
        <v>66</v>
      </c>
    </row>
    <row r="54" spans="1:41" ht="23.25" customHeight="1" x14ac:dyDescent="0.25">
      <c r="A54" s="96"/>
      <c r="B54" s="122" t="s">
        <v>34</v>
      </c>
      <c r="C54" s="125"/>
      <c r="D54" s="15" t="s">
        <v>65</v>
      </c>
      <c r="E54" s="120" t="str">
        <f t="shared" ref="E54" si="61">IF(QUOTIENT(E18+E19,2)&lt;3,3-QUOTIENT(E18+E19,2),"")</f>
        <v/>
      </c>
      <c r="F54" s="15" t="s">
        <v>65</v>
      </c>
      <c r="G54" s="120" t="str">
        <f t="shared" ref="G54" si="62">IF(QUOTIENT(G18+G19,2)&lt;3,3-QUOTIENT(G18+G19,2),"")</f>
        <v/>
      </c>
      <c r="H54" s="15" t="s">
        <v>65</v>
      </c>
      <c r="I54" s="120" t="str">
        <f t="shared" ref="I54" si="63">IF(QUOTIENT(I18+I19,2)&lt;3,3-QUOTIENT(I18+I19,2),"")</f>
        <v/>
      </c>
      <c r="J54" s="15" t="s">
        <v>65</v>
      </c>
      <c r="K54" s="120" t="str">
        <f t="shared" ref="K54" si="64">IF(QUOTIENT(K18+K19,2)&lt;3,3-QUOTIENT(K18+K19,2),"")</f>
        <v/>
      </c>
      <c r="L54" s="15" t="s">
        <v>65</v>
      </c>
      <c r="M54" s="120">
        <f t="shared" ref="M54:M56" si="65">IF(QUOTIENT(M18+M19,2)&lt;2,2-QUOTIENT(M18+M19,2),"")</f>
        <v>1</v>
      </c>
      <c r="N54" s="15" t="s">
        <v>65</v>
      </c>
      <c r="O54" s="120" t="str">
        <f t="shared" ref="O54" si="66">IF(QUOTIENT(O18+O19,2)&lt;2,2-QUOTIENT(O18+O19,2),"")</f>
        <v/>
      </c>
      <c r="P54" s="15" t="s">
        <v>65</v>
      </c>
      <c r="Q54" s="120" t="str">
        <f t="shared" ref="Q54" si="67">IF(QUOTIENT(Q18+Q19,2)&lt;2,2-QUOTIENT(Q18+Q19,2),"")</f>
        <v/>
      </c>
      <c r="R54" s="15" t="s">
        <v>65</v>
      </c>
      <c r="S54" s="120" t="str">
        <f t="shared" ref="S54" si="68">IF(QUOTIENT(S18+S19,2)&lt;2,2-QUOTIENT(S18+S19,2),"")</f>
        <v/>
      </c>
      <c r="T54" s="15" t="s">
        <v>65</v>
      </c>
      <c r="U54" s="9"/>
      <c r="V54" s="96"/>
      <c r="W54" s="122" t="s">
        <v>9</v>
      </c>
      <c r="X54" s="11"/>
      <c r="Y54" s="15" t="s">
        <v>65</v>
      </c>
      <c r="Z54" s="120" t="str">
        <f>IF(QUOTIENT(Z18+Z19,2)&lt;2,2-QUOTIENT(Z18+Z19,2),"")</f>
        <v/>
      </c>
      <c r="AA54" s="15" t="s">
        <v>65</v>
      </c>
      <c r="AB54" s="120" t="str">
        <f t="shared" ref="AB54" si="69">IF(QUOTIENT(AB18+AB19,2)&lt;2,2-QUOTIENT(AB18+AB19,2),"")</f>
        <v/>
      </c>
      <c r="AC54" s="15" t="s">
        <v>65</v>
      </c>
      <c r="AD54" s="120" t="str">
        <f t="shared" ref="AD54" si="70">IF(QUOTIENT(AD18+AD19,2)&lt;2,2-QUOTIENT(AD18+AD19,2),"")</f>
        <v/>
      </c>
      <c r="AE54" s="15" t="s">
        <v>65</v>
      </c>
      <c r="AF54" s="120" t="str">
        <f t="shared" ref="AF54" si="71">IF(QUOTIENT(AF18+AF19,2)&lt;2,2-QUOTIENT(AF18+AF19,2),"")</f>
        <v/>
      </c>
      <c r="AG54" s="15" t="s">
        <v>65</v>
      </c>
      <c r="AH54" s="120" t="str">
        <f t="shared" ref="AH54" si="72">IF(QUOTIENT(AH18+AH19,2)&lt;2,2-QUOTIENT(AH18+AH19,2),"")</f>
        <v/>
      </c>
      <c r="AI54" s="15" t="s">
        <v>65</v>
      </c>
      <c r="AJ54" s="120" t="str">
        <f t="shared" ref="AJ54" si="73">IF(QUOTIENT(AJ18+AJ19,2)&lt;2,2-QUOTIENT(AJ18+AJ19,2),"")</f>
        <v/>
      </c>
      <c r="AK54" s="15" t="s">
        <v>65</v>
      </c>
      <c r="AL54" s="120" t="str">
        <f t="shared" ref="AL54" si="74">IF(QUOTIENT(AL18+AL19,2)&lt;2,2-QUOTIENT(AL18+AL19,2),"")</f>
        <v/>
      </c>
      <c r="AM54" s="15" t="s">
        <v>65</v>
      </c>
      <c r="AN54" s="120" t="str">
        <f t="shared" ref="AN54" si="75">IF(QUOTIENT(AN18+AN19,2)&lt;2,2-QUOTIENT(AN18+AN19,2),"")</f>
        <v/>
      </c>
      <c r="AO54" s="15" t="s">
        <v>65</v>
      </c>
    </row>
    <row r="55" spans="1:41" ht="23.25" customHeight="1" x14ac:dyDescent="0.25">
      <c r="A55" s="96"/>
      <c r="B55" s="122"/>
      <c r="C55" s="126"/>
      <c r="D55" s="16" t="s">
        <v>66</v>
      </c>
      <c r="E55" s="121"/>
      <c r="F55" s="16" t="s">
        <v>66</v>
      </c>
      <c r="G55" s="121"/>
      <c r="H55" s="16" t="s">
        <v>66</v>
      </c>
      <c r="I55" s="121"/>
      <c r="J55" s="16" t="s">
        <v>66</v>
      </c>
      <c r="K55" s="121"/>
      <c r="L55" s="16" t="s">
        <v>66</v>
      </c>
      <c r="M55" s="121"/>
      <c r="N55" s="16" t="s">
        <v>66</v>
      </c>
      <c r="O55" s="121"/>
      <c r="P55" s="16" t="s">
        <v>66</v>
      </c>
      <c r="Q55" s="121"/>
      <c r="R55" s="16" t="s">
        <v>66</v>
      </c>
      <c r="S55" s="121"/>
      <c r="T55" s="16" t="s">
        <v>66</v>
      </c>
      <c r="U55" s="9"/>
      <c r="V55" s="96"/>
      <c r="W55" s="122"/>
      <c r="X55" s="13"/>
      <c r="Y55" s="16" t="s">
        <v>66</v>
      </c>
      <c r="Z55" s="121"/>
      <c r="AA55" s="16" t="s">
        <v>66</v>
      </c>
      <c r="AB55" s="121"/>
      <c r="AC55" s="16" t="s">
        <v>66</v>
      </c>
      <c r="AD55" s="121"/>
      <c r="AE55" s="16" t="s">
        <v>66</v>
      </c>
      <c r="AF55" s="121"/>
      <c r="AG55" s="16" t="s">
        <v>66</v>
      </c>
      <c r="AH55" s="121"/>
      <c r="AI55" s="16" t="s">
        <v>66</v>
      </c>
      <c r="AJ55" s="121"/>
      <c r="AK55" s="16" t="s">
        <v>66</v>
      </c>
      <c r="AL55" s="121"/>
      <c r="AM55" s="16" t="s">
        <v>66</v>
      </c>
      <c r="AN55" s="121"/>
      <c r="AO55" s="16" t="s">
        <v>66</v>
      </c>
    </row>
    <row r="56" spans="1:41" ht="23.25" customHeight="1" x14ac:dyDescent="0.25">
      <c r="A56" s="96"/>
      <c r="B56" s="122" t="s">
        <v>35</v>
      </c>
      <c r="C56" s="125"/>
      <c r="D56" s="15" t="s">
        <v>65</v>
      </c>
      <c r="E56" s="120" t="str">
        <f t="shared" ref="E56" si="76">IF(QUOTIENT(E20+E21,2)&lt;3,3-QUOTIENT(E20+E21,2),"")</f>
        <v/>
      </c>
      <c r="F56" s="15" t="s">
        <v>65</v>
      </c>
      <c r="G56" s="120" t="str">
        <f t="shared" ref="G56" si="77">IF(QUOTIENT(G20+G21,2)&lt;3,3-QUOTIENT(G20+G21,2),"")</f>
        <v/>
      </c>
      <c r="H56" s="15" t="s">
        <v>65</v>
      </c>
      <c r="I56" s="120">
        <f t="shared" ref="I56" si="78">IF(QUOTIENT(I20+I21,2)&lt;3,3-QUOTIENT(I20+I21,2),"")</f>
        <v>1</v>
      </c>
      <c r="J56" s="15" t="s">
        <v>65</v>
      </c>
      <c r="K56" s="120" t="str">
        <f t="shared" ref="K56" si="79">IF(QUOTIENT(K20+K21,2)&lt;3,3-QUOTIENT(K20+K21,2),"")</f>
        <v/>
      </c>
      <c r="L56" s="15" t="s">
        <v>65</v>
      </c>
      <c r="M56" s="120">
        <f t="shared" si="65"/>
        <v>2</v>
      </c>
      <c r="N56" s="15" t="s">
        <v>65</v>
      </c>
      <c r="O56" s="120" t="str">
        <f t="shared" ref="O56" si="80">IF(QUOTIENT(O20+O21,2)&lt;2,2-QUOTIENT(O20+O21,2),"")</f>
        <v/>
      </c>
      <c r="P56" s="15" t="s">
        <v>65</v>
      </c>
      <c r="Q56" s="120" t="str">
        <f t="shared" ref="Q56" si="81">IF(QUOTIENT(Q20+Q21,2)&lt;2,2-QUOTIENT(Q20+Q21,2),"")</f>
        <v/>
      </c>
      <c r="R56" s="15" t="s">
        <v>65</v>
      </c>
      <c r="S56" s="120" t="str">
        <f t="shared" ref="S56" si="82">IF(QUOTIENT(S20+S21,2)&lt;2,2-QUOTIENT(S20+S21,2),"")</f>
        <v/>
      </c>
      <c r="T56" s="15" t="s">
        <v>65</v>
      </c>
      <c r="U56" s="9"/>
      <c r="V56" s="96"/>
      <c r="W56" s="122" t="s">
        <v>10</v>
      </c>
      <c r="X56" s="11"/>
      <c r="Y56" s="15" t="s">
        <v>65</v>
      </c>
      <c r="Z56" s="120" t="str">
        <f>IF(QUOTIENT(Z20+Z21,2)&lt;2,2-QUOTIENT(Z20+Z21,2),"")</f>
        <v/>
      </c>
      <c r="AA56" s="15" t="s">
        <v>65</v>
      </c>
      <c r="AB56" s="120" t="str">
        <f t="shared" ref="AB56" si="83">IF(QUOTIENT(AB20+AB21,2)&lt;2,2-QUOTIENT(AB20+AB21,2),"")</f>
        <v/>
      </c>
      <c r="AC56" s="15" t="s">
        <v>65</v>
      </c>
      <c r="AD56" s="120" t="str">
        <f t="shared" ref="AD56" si="84">IF(QUOTIENT(AD20+AD21,2)&lt;2,2-QUOTIENT(AD20+AD21,2),"")</f>
        <v/>
      </c>
      <c r="AE56" s="15" t="s">
        <v>65</v>
      </c>
      <c r="AF56" s="120" t="str">
        <f t="shared" ref="AF56" si="85">IF(QUOTIENT(AF20+AF21,2)&lt;2,2-QUOTIENT(AF20+AF21,2),"")</f>
        <v/>
      </c>
      <c r="AG56" s="15" t="s">
        <v>65</v>
      </c>
      <c r="AH56" s="120" t="str">
        <f t="shared" ref="AH56" si="86">IF(QUOTIENT(AH20+AH21,2)&lt;2,2-QUOTIENT(AH20+AH21,2),"")</f>
        <v/>
      </c>
      <c r="AI56" s="15" t="s">
        <v>65</v>
      </c>
      <c r="AJ56" s="120" t="str">
        <f t="shared" ref="AJ56" si="87">IF(QUOTIENT(AJ20+AJ21,2)&lt;2,2-QUOTIENT(AJ20+AJ21,2),"")</f>
        <v/>
      </c>
      <c r="AK56" s="15" t="s">
        <v>65</v>
      </c>
      <c r="AL56" s="120" t="str">
        <f t="shared" ref="AL56" si="88">IF(QUOTIENT(AL20+AL21,2)&lt;2,2-QUOTIENT(AL20+AL21,2),"")</f>
        <v/>
      </c>
      <c r="AM56" s="15" t="s">
        <v>65</v>
      </c>
      <c r="AN56" s="120">
        <f>IF(QUOTIENT(AN21+AN22,2)&lt;2,2-QUOTIENT(AN21+AN22,2),"")</f>
        <v>1</v>
      </c>
      <c r="AO56" s="15" t="s">
        <v>65</v>
      </c>
    </row>
    <row r="57" spans="1:41" ht="15" customHeight="1" x14ac:dyDescent="0.25">
      <c r="A57" s="96"/>
      <c r="B57" s="122"/>
      <c r="C57" s="126"/>
      <c r="D57" s="16" t="s">
        <v>66</v>
      </c>
      <c r="E57" s="121"/>
      <c r="F57" s="16" t="s">
        <v>66</v>
      </c>
      <c r="G57" s="121"/>
      <c r="H57" s="16" t="s">
        <v>66</v>
      </c>
      <c r="I57" s="121"/>
      <c r="J57" s="16" t="s">
        <v>66</v>
      </c>
      <c r="K57" s="121"/>
      <c r="L57" s="16" t="s">
        <v>66</v>
      </c>
      <c r="M57" s="121"/>
      <c r="N57" s="16" t="s">
        <v>66</v>
      </c>
      <c r="O57" s="121"/>
      <c r="P57" s="16" t="s">
        <v>66</v>
      </c>
      <c r="Q57" s="121"/>
      <c r="R57" s="16" t="s">
        <v>66</v>
      </c>
      <c r="S57" s="121"/>
      <c r="T57" s="16" t="s">
        <v>66</v>
      </c>
      <c r="U57" s="9"/>
      <c r="V57" s="96"/>
      <c r="W57" s="122"/>
      <c r="X57" s="13"/>
      <c r="Y57" s="16" t="s">
        <v>66</v>
      </c>
      <c r="Z57" s="121"/>
      <c r="AA57" s="16" t="s">
        <v>66</v>
      </c>
      <c r="AB57" s="121"/>
      <c r="AC57" s="16" t="s">
        <v>66</v>
      </c>
      <c r="AD57" s="121"/>
      <c r="AE57" s="16" t="s">
        <v>66</v>
      </c>
      <c r="AF57" s="121"/>
      <c r="AG57" s="16" t="s">
        <v>66</v>
      </c>
      <c r="AH57" s="121"/>
      <c r="AI57" s="16" t="s">
        <v>66</v>
      </c>
      <c r="AJ57" s="121"/>
      <c r="AK57" s="16" t="s">
        <v>66</v>
      </c>
      <c r="AL57" s="121"/>
      <c r="AM57" s="16" t="s">
        <v>66</v>
      </c>
      <c r="AN57" s="121"/>
      <c r="AO57" s="16" t="s">
        <v>66</v>
      </c>
    </row>
    <row r="58" spans="1:41" ht="23.25" customHeight="1" x14ac:dyDescent="0.25">
      <c r="A58" s="96"/>
      <c r="B58" s="122" t="s">
        <v>36</v>
      </c>
      <c r="C58" s="125"/>
      <c r="D58" s="15" t="s">
        <v>65</v>
      </c>
      <c r="E58" s="120" t="str">
        <f t="shared" ref="E58" si="89">IF(QUOTIENT(E22+E23,2)&lt;2,2-QUOTIENT(E22+E23,2),"")</f>
        <v/>
      </c>
      <c r="F58" s="15" t="s">
        <v>65</v>
      </c>
      <c r="G58" s="120" t="str">
        <f t="shared" ref="G58" si="90">IF(QUOTIENT(G22+G23,2)&lt;2,2-QUOTIENT(G22+G23,2),"")</f>
        <v/>
      </c>
      <c r="H58" s="15" t="s">
        <v>65</v>
      </c>
      <c r="I58" s="120" t="str">
        <f t="shared" ref="I58" si="91">IF(QUOTIENT(I22+I23,2)&lt;2,2-QUOTIENT(I22+I23,2),"")</f>
        <v/>
      </c>
      <c r="J58" s="15" t="s">
        <v>65</v>
      </c>
      <c r="K58" s="120">
        <f t="shared" ref="K58" si="92">IF(QUOTIENT(K22+K23,2)&lt;2,2-QUOTIENT(K22+K23,2),"")</f>
        <v>1</v>
      </c>
      <c r="L58" s="15" t="s">
        <v>65</v>
      </c>
      <c r="M58" s="120" t="str">
        <f t="shared" ref="M58" si="93">IF(QUOTIENT(M22+M23,2)&lt;2,2-QUOTIENT(M22+M23,2),"")</f>
        <v/>
      </c>
      <c r="N58" s="15" t="s">
        <v>65</v>
      </c>
      <c r="O58" s="120" t="str">
        <f t="shared" ref="O58" si="94">IF(QUOTIENT(O22+O23,2)&lt;2,2-QUOTIENT(O22+O23,2),"")</f>
        <v/>
      </c>
      <c r="P58" s="15" t="s">
        <v>65</v>
      </c>
      <c r="Q58" s="120" t="str">
        <f t="shared" ref="Q58" si="95">IF(QUOTIENT(Q22+Q23,2)&lt;2,2-QUOTIENT(Q22+Q23,2),"")</f>
        <v/>
      </c>
      <c r="R58" s="15" t="s">
        <v>65</v>
      </c>
      <c r="S58" s="120" t="str">
        <f t="shared" ref="S58" si="96">IF(QUOTIENT(S22+S23,2)&lt;2,2-QUOTIENT(S22+S23,2),"")</f>
        <v/>
      </c>
      <c r="T58" s="15" t="s">
        <v>65</v>
      </c>
      <c r="U58" s="9"/>
      <c r="V58" s="96"/>
      <c r="W58" s="9"/>
      <c r="X58" s="9"/>
      <c r="Y58" s="9"/>
      <c r="Z58" s="9"/>
      <c r="AA58" s="9"/>
      <c r="AB58" s="9"/>
      <c r="AC58" s="9"/>
      <c r="AD58" s="9"/>
      <c r="AE58" s="9"/>
      <c r="AF58" s="9"/>
      <c r="AG58" s="9"/>
      <c r="AH58" s="9"/>
      <c r="AI58" s="9"/>
      <c r="AJ58" s="9"/>
      <c r="AK58" s="9"/>
      <c r="AL58" s="9"/>
      <c r="AM58" s="9"/>
      <c r="AN58" s="9"/>
      <c r="AO58" s="9"/>
    </row>
    <row r="59" spans="1:41" ht="23.25" customHeight="1" x14ac:dyDescent="0.25">
      <c r="A59" s="96"/>
      <c r="B59" s="122"/>
      <c r="C59" s="126"/>
      <c r="D59" s="16" t="s">
        <v>66</v>
      </c>
      <c r="E59" s="121"/>
      <c r="F59" s="16" t="s">
        <v>66</v>
      </c>
      <c r="G59" s="121"/>
      <c r="H59" s="16" t="s">
        <v>66</v>
      </c>
      <c r="I59" s="121"/>
      <c r="J59" s="16" t="s">
        <v>66</v>
      </c>
      <c r="K59" s="121"/>
      <c r="L59" s="16" t="s">
        <v>66</v>
      </c>
      <c r="M59" s="121"/>
      <c r="N59" s="16" t="s">
        <v>66</v>
      </c>
      <c r="O59" s="121"/>
      <c r="P59" s="16" t="s">
        <v>66</v>
      </c>
      <c r="Q59" s="121"/>
      <c r="R59" s="16" t="s">
        <v>66</v>
      </c>
      <c r="S59" s="121"/>
      <c r="T59" s="16" t="s">
        <v>66</v>
      </c>
      <c r="U59" s="9"/>
      <c r="V59" s="96"/>
      <c r="W59" s="9"/>
      <c r="X59" s="9"/>
      <c r="Y59" s="9"/>
      <c r="Z59" s="9"/>
      <c r="AA59" s="9"/>
      <c r="AB59" s="9"/>
      <c r="AC59" s="9"/>
      <c r="AD59" s="9"/>
      <c r="AE59" s="9"/>
      <c r="AF59" s="9"/>
      <c r="AG59" s="9"/>
      <c r="AH59" s="9"/>
      <c r="AI59" s="9"/>
      <c r="AJ59" s="9"/>
      <c r="AK59" s="9"/>
      <c r="AL59" s="9"/>
      <c r="AM59" s="9"/>
      <c r="AN59" s="9"/>
      <c r="AO59" s="9"/>
    </row>
    <row r="60" spans="1:41" ht="15" customHeight="1" x14ac:dyDescent="0.25">
      <c r="A60" s="96"/>
      <c r="B60" s="122" t="s">
        <v>37</v>
      </c>
      <c r="C60" s="125"/>
      <c r="D60" s="15" t="s">
        <v>65</v>
      </c>
      <c r="E60" s="120" t="str">
        <f t="shared" ref="E60:E62" si="97">IF(QUOTIENT(E24+E25,2)&lt;2,2-QUOTIENT(E24+E25,2),"")</f>
        <v/>
      </c>
      <c r="F60" s="15" t="s">
        <v>65</v>
      </c>
      <c r="G60" s="120" t="str">
        <f t="shared" ref="G60" si="98">IF(QUOTIENT(G24+G25,2)&lt;2,2-QUOTIENT(G24+G25,2),"")</f>
        <v/>
      </c>
      <c r="H60" s="15" t="s">
        <v>65</v>
      </c>
      <c r="I60" s="120" t="str">
        <f t="shared" ref="I60" si="99">IF(QUOTIENT(I24+I25,2)&lt;2,2-QUOTIENT(I24+I25,2),"")</f>
        <v/>
      </c>
      <c r="J60" s="15" t="s">
        <v>65</v>
      </c>
      <c r="K60" s="120" t="str">
        <f t="shared" ref="K60" si="100">IF(QUOTIENT(K24+K25,2)&lt;2,2-QUOTIENT(K24+K25,2),"")</f>
        <v/>
      </c>
      <c r="L60" s="15" t="s">
        <v>65</v>
      </c>
      <c r="M60" s="120" t="str">
        <f t="shared" ref="M60" si="101">IF(QUOTIENT(M24+M25,2)&lt;2,2-QUOTIENT(M24+M25,2),"")</f>
        <v/>
      </c>
      <c r="N60" s="15" t="s">
        <v>65</v>
      </c>
      <c r="O60" s="120" t="str">
        <f t="shared" ref="O60" si="102">IF(QUOTIENT(O24+O25,2)&lt;2,2-QUOTIENT(O24+O25,2),"")</f>
        <v/>
      </c>
      <c r="P60" s="15" t="s">
        <v>65</v>
      </c>
      <c r="Q60" s="120" t="str">
        <f t="shared" ref="Q60" si="103">IF(QUOTIENT(Q24+Q25,2)&lt;2,2-QUOTIENT(Q24+Q25,2),"")</f>
        <v/>
      </c>
      <c r="R60" s="15" t="s">
        <v>65</v>
      </c>
      <c r="S60" s="120" t="str">
        <f t="shared" ref="S60" si="104">IF(QUOTIENT(S24+S25,2)&lt;2,2-QUOTIENT(S24+S25,2),"")</f>
        <v/>
      </c>
      <c r="T60" s="15" t="s">
        <v>65</v>
      </c>
      <c r="U60" s="9"/>
      <c r="V60" s="96"/>
    </row>
    <row r="61" spans="1:41" ht="15" customHeight="1" x14ac:dyDescent="0.25">
      <c r="A61" s="96"/>
      <c r="B61" s="122"/>
      <c r="C61" s="126"/>
      <c r="D61" s="16" t="s">
        <v>66</v>
      </c>
      <c r="E61" s="121"/>
      <c r="F61" s="16" t="s">
        <v>66</v>
      </c>
      <c r="G61" s="121"/>
      <c r="H61" s="16" t="s">
        <v>66</v>
      </c>
      <c r="I61" s="121"/>
      <c r="J61" s="16" t="s">
        <v>66</v>
      </c>
      <c r="K61" s="121"/>
      <c r="L61" s="16" t="s">
        <v>66</v>
      </c>
      <c r="M61" s="121"/>
      <c r="N61" s="16" t="s">
        <v>66</v>
      </c>
      <c r="O61" s="121"/>
      <c r="P61" s="16" t="s">
        <v>66</v>
      </c>
      <c r="Q61" s="121"/>
      <c r="R61" s="16" t="s">
        <v>66</v>
      </c>
      <c r="S61" s="121"/>
      <c r="T61" s="16" t="s">
        <v>66</v>
      </c>
      <c r="U61" s="9"/>
      <c r="V61" s="96"/>
    </row>
    <row r="62" spans="1:41" ht="15" customHeight="1" x14ac:dyDescent="0.25">
      <c r="A62" s="96"/>
      <c r="B62" s="122" t="s">
        <v>54</v>
      </c>
      <c r="C62" s="125"/>
      <c r="D62" s="15" t="s">
        <v>65</v>
      </c>
      <c r="E62" s="120" t="str">
        <f t="shared" si="97"/>
        <v/>
      </c>
      <c r="F62" s="15" t="s">
        <v>65</v>
      </c>
      <c r="G62" s="120" t="str">
        <f t="shared" ref="G62" si="105">IF(QUOTIENT(G26+G27,2)&lt;2,2-QUOTIENT(G26+G27,2),"")</f>
        <v/>
      </c>
      <c r="H62" s="15" t="s">
        <v>65</v>
      </c>
      <c r="I62" s="120" t="str">
        <f t="shared" ref="I62" si="106">IF(QUOTIENT(I26+I27,2)&lt;2,2-QUOTIENT(I26+I27,2),"")</f>
        <v/>
      </c>
      <c r="J62" s="15" t="s">
        <v>65</v>
      </c>
      <c r="K62" s="120" t="str">
        <f t="shared" ref="K62" si="107">IF(QUOTIENT(K26+K27,2)&lt;2,2-QUOTIENT(K26+K27,2),"")</f>
        <v/>
      </c>
      <c r="L62" s="15" t="s">
        <v>65</v>
      </c>
      <c r="M62" s="120" t="str">
        <f t="shared" ref="M62" si="108">IF(QUOTIENT(M26+M27,2)&lt;2,2-QUOTIENT(M26+M27,2),"")</f>
        <v/>
      </c>
      <c r="N62" s="15" t="s">
        <v>65</v>
      </c>
      <c r="O62" s="120" t="str">
        <f t="shared" ref="O62" si="109">IF(QUOTIENT(O26+O27,2)&lt;2,2-QUOTIENT(O26+O27,2),"")</f>
        <v/>
      </c>
      <c r="P62" s="15" t="s">
        <v>65</v>
      </c>
      <c r="Q62" s="120" t="str">
        <f t="shared" ref="Q62" si="110">IF(QUOTIENT(Q26+Q27,2)&lt;2,2-QUOTIENT(Q26+Q27,2),"")</f>
        <v/>
      </c>
      <c r="R62" s="15" t="s">
        <v>65</v>
      </c>
      <c r="S62" s="120" t="str">
        <f t="shared" ref="S62" si="111">IF(QUOTIENT(S26+S27,2)&lt;2,2-QUOTIENT(S26+S27,2),"")</f>
        <v/>
      </c>
      <c r="T62" s="15" t="s">
        <v>65</v>
      </c>
      <c r="U62" s="9"/>
      <c r="V62" s="96"/>
    </row>
    <row r="63" spans="1:41" ht="15" customHeight="1" x14ac:dyDescent="0.25">
      <c r="A63" s="96"/>
      <c r="B63" s="122"/>
      <c r="C63" s="126"/>
      <c r="D63" s="16" t="s">
        <v>66</v>
      </c>
      <c r="E63" s="121"/>
      <c r="F63" s="16" t="s">
        <v>66</v>
      </c>
      <c r="G63" s="121"/>
      <c r="H63" s="16" t="s">
        <v>66</v>
      </c>
      <c r="I63" s="121"/>
      <c r="J63" s="16" t="s">
        <v>66</v>
      </c>
      <c r="K63" s="121"/>
      <c r="L63" s="16" t="s">
        <v>66</v>
      </c>
      <c r="M63" s="121"/>
      <c r="N63" s="16" t="s">
        <v>66</v>
      </c>
      <c r="O63" s="121"/>
      <c r="P63" s="16" t="s">
        <v>66</v>
      </c>
      <c r="Q63" s="121"/>
      <c r="R63" s="16" t="s">
        <v>66</v>
      </c>
      <c r="S63" s="121"/>
      <c r="T63" s="16" t="s">
        <v>66</v>
      </c>
      <c r="U63" s="9"/>
      <c r="V63" s="96"/>
    </row>
    <row r="64" spans="1:41" ht="15" customHeight="1" x14ac:dyDescent="0.25">
      <c r="A64" s="96"/>
      <c r="B64" s="122" t="s">
        <v>55</v>
      </c>
      <c r="C64" s="125"/>
      <c r="D64" s="15" t="s">
        <v>65</v>
      </c>
      <c r="E64" s="120" t="str">
        <f t="shared" ref="E64" si="112">IF(QUOTIENT(E28+E29,2)&lt;2,2-QUOTIENT(E28+E29,2),"")</f>
        <v/>
      </c>
      <c r="F64" s="15" t="s">
        <v>65</v>
      </c>
      <c r="G64" s="120" t="str">
        <f t="shared" ref="G64" si="113">IF(QUOTIENT(G28+G29,2)&lt;2,2-QUOTIENT(G28+G29,2),"")</f>
        <v/>
      </c>
      <c r="H64" s="15" t="s">
        <v>65</v>
      </c>
      <c r="I64" s="120" t="str">
        <f t="shared" ref="I64" si="114">IF(QUOTIENT(I28+I29,2)&lt;2,2-QUOTIENT(I28+I29,2),"")</f>
        <v/>
      </c>
      <c r="J64" s="15" t="s">
        <v>65</v>
      </c>
      <c r="K64" s="120" t="str">
        <f t="shared" ref="K64" si="115">IF(QUOTIENT(K28+K29,2)&lt;2,2-QUOTIENT(K28+K29,2),"")</f>
        <v/>
      </c>
      <c r="L64" s="15" t="s">
        <v>65</v>
      </c>
      <c r="M64" s="120" t="str">
        <f t="shared" ref="M64" si="116">IF(QUOTIENT(M28+M29,2)&lt;2,2-QUOTIENT(M28+M29,2),"")</f>
        <v/>
      </c>
      <c r="N64" s="15" t="s">
        <v>65</v>
      </c>
      <c r="O64" s="120" t="str">
        <f t="shared" ref="O64" si="117">IF(QUOTIENT(O28+O29,2)&lt;2,2-QUOTIENT(O28+O29,2),"")</f>
        <v/>
      </c>
      <c r="P64" s="15" t="s">
        <v>65</v>
      </c>
      <c r="Q64" s="120" t="str">
        <f t="shared" ref="Q64" si="118">IF(QUOTIENT(Q28+Q29,2)&lt;2,2-QUOTIENT(Q28+Q29,2),"")</f>
        <v/>
      </c>
      <c r="R64" s="15" t="s">
        <v>65</v>
      </c>
      <c r="S64" s="120" t="str">
        <f t="shared" ref="S64" si="119">IF(QUOTIENT(S28+S29,2)&lt;2,2-QUOTIENT(S28+S29,2),"")</f>
        <v/>
      </c>
      <c r="T64" s="15" t="s">
        <v>65</v>
      </c>
      <c r="U64" s="9"/>
      <c r="V64" s="96"/>
    </row>
    <row r="65" spans="1:22" ht="15" customHeight="1" x14ac:dyDescent="0.25">
      <c r="A65" s="96"/>
      <c r="B65" s="122"/>
      <c r="C65" s="126"/>
      <c r="D65" s="16" t="s">
        <v>66</v>
      </c>
      <c r="E65" s="121"/>
      <c r="F65" s="16" t="s">
        <v>66</v>
      </c>
      <c r="G65" s="121"/>
      <c r="H65" s="16" t="s">
        <v>66</v>
      </c>
      <c r="I65" s="121"/>
      <c r="J65" s="16" t="s">
        <v>66</v>
      </c>
      <c r="K65" s="121"/>
      <c r="L65" s="16" t="s">
        <v>66</v>
      </c>
      <c r="M65" s="121"/>
      <c r="N65" s="16" t="s">
        <v>66</v>
      </c>
      <c r="O65" s="121"/>
      <c r="P65" s="16" t="s">
        <v>66</v>
      </c>
      <c r="Q65" s="121"/>
      <c r="R65" s="16" t="s">
        <v>66</v>
      </c>
      <c r="S65" s="121"/>
      <c r="T65" s="16" t="s">
        <v>66</v>
      </c>
      <c r="U65" s="9"/>
      <c r="V65" s="96"/>
    </row>
    <row r="66" spans="1:22" ht="15" customHeight="1" x14ac:dyDescent="0.25">
      <c r="A66" s="96"/>
      <c r="B66" s="122" t="s">
        <v>38</v>
      </c>
      <c r="C66" s="125"/>
      <c r="D66" s="15" t="s">
        <v>65</v>
      </c>
      <c r="E66" s="120" t="str">
        <f t="shared" ref="E66" si="120">IF(QUOTIENT(E30+E31,2)&lt;2,2-QUOTIENT(E30+E31,2),"")</f>
        <v/>
      </c>
      <c r="F66" s="15" t="s">
        <v>65</v>
      </c>
      <c r="G66" s="120" t="str">
        <f t="shared" ref="G66" si="121">IF(QUOTIENT(G30+G31,2)&lt;2,2-QUOTIENT(G30+G31,2),"")</f>
        <v/>
      </c>
      <c r="H66" s="15" t="s">
        <v>65</v>
      </c>
      <c r="I66" s="120" t="str">
        <f t="shared" ref="I66" si="122">IF(QUOTIENT(I30+I31,2)&lt;2,2-QUOTIENT(I30+I31,2),"")</f>
        <v/>
      </c>
      <c r="J66" s="15" t="s">
        <v>65</v>
      </c>
      <c r="K66" s="120" t="str">
        <f t="shared" ref="K66" si="123">IF(QUOTIENT(K30+K31,2)&lt;2,2-QUOTIENT(K30+K31,2),"")</f>
        <v/>
      </c>
      <c r="L66" s="15" t="s">
        <v>65</v>
      </c>
      <c r="M66" s="120" t="str">
        <f t="shared" ref="M66" si="124">IF(QUOTIENT(M30+M31,2)&lt;2,2-QUOTIENT(M30+M31,2),"")</f>
        <v/>
      </c>
      <c r="N66" s="15" t="s">
        <v>65</v>
      </c>
      <c r="O66" s="120" t="str">
        <f t="shared" ref="O66" si="125">IF(QUOTIENT(O30+O31,2)&lt;2,2-QUOTIENT(O30+O31,2),"")</f>
        <v/>
      </c>
      <c r="P66" s="15" t="s">
        <v>65</v>
      </c>
      <c r="Q66" s="120" t="str">
        <f t="shared" ref="Q66" si="126">IF(QUOTIENT(Q30+Q31,2)&lt;2,2-QUOTIENT(Q30+Q31,2),"")</f>
        <v/>
      </c>
      <c r="R66" s="15" t="s">
        <v>65</v>
      </c>
      <c r="S66" s="120" t="str">
        <f t="shared" ref="S66" si="127">IF(QUOTIENT(S30+S31,2)&lt;2,2-QUOTIENT(S30+S31,2),"")</f>
        <v/>
      </c>
      <c r="T66" s="15" t="s">
        <v>65</v>
      </c>
      <c r="U66" s="9"/>
      <c r="V66" s="96"/>
    </row>
    <row r="67" spans="1:22" ht="15" customHeight="1" x14ac:dyDescent="0.25">
      <c r="A67" s="10"/>
      <c r="B67" s="122"/>
      <c r="C67" s="126"/>
      <c r="D67" s="17" t="s">
        <v>66</v>
      </c>
      <c r="E67" s="121"/>
      <c r="F67" s="17" t="s">
        <v>66</v>
      </c>
      <c r="G67" s="121"/>
      <c r="H67" s="17" t="s">
        <v>66</v>
      </c>
      <c r="I67" s="121"/>
      <c r="J67" s="17" t="s">
        <v>66</v>
      </c>
      <c r="K67" s="121"/>
      <c r="L67" s="17" t="s">
        <v>66</v>
      </c>
      <c r="M67" s="121"/>
      <c r="N67" s="17" t="s">
        <v>66</v>
      </c>
      <c r="O67" s="121"/>
      <c r="P67" s="17" t="s">
        <v>66</v>
      </c>
      <c r="Q67" s="121"/>
      <c r="R67" s="17" t="s">
        <v>66</v>
      </c>
      <c r="S67" s="121"/>
      <c r="T67" s="17" t="s">
        <v>66</v>
      </c>
      <c r="U67" s="9"/>
      <c r="V67" s="10"/>
    </row>
  </sheetData>
  <mergeCells count="279">
    <mergeCell ref="AN44:AN45"/>
    <mergeCell ref="AN46:AN47"/>
    <mergeCell ref="AN48:AN49"/>
    <mergeCell ref="AN50:AN51"/>
    <mergeCell ref="AN52:AN53"/>
    <mergeCell ref="AN54:AN55"/>
    <mergeCell ref="AN56:AN57"/>
    <mergeCell ref="AJ44:AJ45"/>
    <mergeCell ref="AJ46:AJ47"/>
    <mergeCell ref="AJ48:AJ49"/>
    <mergeCell ref="AJ50:AJ51"/>
    <mergeCell ref="AJ52:AJ53"/>
    <mergeCell ref="AJ54:AJ55"/>
    <mergeCell ref="AJ56:AJ57"/>
    <mergeCell ref="AL44:AL45"/>
    <mergeCell ref="AL46:AL47"/>
    <mergeCell ref="AL48:AL49"/>
    <mergeCell ref="AL50:AL51"/>
    <mergeCell ref="AL52:AL53"/>
    <mergeCell ref="AL54:AL55"/>
    <mergeCell ref="AL56:AL57"/>
    <mergeCell ref="AF48:AF49"/>
    <mergeCell ref="AF50:AF51"/>
    <mergeCell ref="AF52:AF53"/>
    <mergeCell ref="AF54:AF55"/>
    <mergeCell ref="AF56:AF57"/>
    <mergeCell ref="AH44:AH45"/>
    <mergeCell ref="AH46:AH47"/>
    <mergeCell ref="AH48:AH49"/>
    <mergeCell ref="AH50:AH51"/>
    <mergeCell ref="AH52:AH53"/>
    <mergeCell ref="AH54:AH55"/>
    <mergeCell ref="AH56:AH57"/>
    <mergeCell ref="W38:AO38"/>
    <mergeCell ref="Z44:Z45"/>
    <mergeCell ref="Z46:Z47"/>
    <mergeCell ref="Z48:Z49"/>
    <mergeCell ref="Z50:Z51"/>
    <mergeCell ref="Z52:Z53"/>
    <mergeCell ref="Z54:Z55"/>
    <mergeCell ref="Z56:Z57"/>
    <mergeCell ref="AB44:AB45"/>
    <mergeCell ref="AB46:AB47"/>
    <mergeCell ref="AB48:AB49"/>
    <mergeCell ref="AB50:AB51"/>
    <mergeCell ref="AB52:AB53"/>
    <mergeCell ref="AB54:AB55"/>
    <mergeCell ref="AB56:AB57"/>
    <mergeCell ref="AD44:AD45"/>
    <mergeCell ref="AD46:AD47"/>
    <mergeCell ref="AD48:AD49"/>
    <mergeCell ref="AD50:AD51"/>
    <mergeCell ref="AD52:AD53"/>
    <mergeCell ref="AD54:AD55"/>
    <mergeCell ref="AD56:AD57"/>
    <mergeCell ref="AF44:AF45"/>
    <mergeCell ref="AF46:AF47"/>
    <mergeCell ref="Z42:Z43"/>
    <mergeCell ref="AB42:AB43"/>
    <mergeCell ref="AD42:AD43"/>
    <mergeCell ref="AF42:AF43"/>
    <mergeCell ref="AH42:AH43"/>
    <mergeCell ref="AJ42:AJ43"/>
    <mergeCell ref="AL42:AL43"/>
    <mergeCell ref="AN42:AN43"/>
    <mergeCell ref="B66:B67"/>
    <mergeCell ref="B58:B59"/>
    <mergeCell ref="B60:B61"/>
    <mergeCell ref="B62:B63"/>
    <mergeCell ref="C58:C59"/>
    <mergeCell ref="E58:E59"/>
    <mergeCell ref="G58:G59"/>
    <mergeCell ref="I58:I59"/>
    <mergeCell ref="K58:K59"/>
    <mergeCell ref="M58:M59"/>
    <mergeCell ref="O58:O59"/>
    <mergeCell ref="Q58:Q59"/>
    <mergeCell ref="I64:I65"/>
    <mergeCell ref="G56:G57"/>
    <mergeCell ref="I56:I57"/>
    <mergeCell ref="G64:G65"/>
    <mergeCell ref="E64:E65"/>
    <mergeCell ref="O60:O61"/>
    <mergeCell ref="Q60:Q61"/>
    <mergeCell ref="S60:S61"/>
    <mergeCell ref="C60:C61"/>
    <mergeCell ref="Q64:Q65"/>
    <mergeCell ref="O64:O65"/>
    <mergeCell ref="K56:K57"/>
    <mergeCell ref="M56:M57"/>
    <mergeCell ref="O56:O57"/>
    <mergeCell ref="Q56:Q57"/>
    <mergeCell ref="S56:S57"/>
    <mergeCell ref="S58:S59"/>
    <mergeCell ref="M60:M61"/>
    <mergeCell ref="I60:I61"/>
    <mergeCell ref="K60:K61"/>
    <mergeCell ref="C56:C57"/>
    <mergeCell ref="E56:E57"/>
    <mergeCell ref="E60:E61"/>
    <mergeCell ref="G60:G61"/>
    <mergeCell ref="AB41:AC41"/>
    <mergeCell ref="AD41:AE41"/>
    <mergeCell ref="AF41:AG41"/>
    <mergeCell ref="AH41:AI41"/>
    <mergeCell ref="A42:A66"/>
    <mergeCell ref="B42:B43"/>
    <mergeCell ref="V42:V66"/>
    <mergeCell ref="W42:W43"/>
    <mergeCell ref="B44:B45"/>
    <mergeCell ref="W44:W45"/>
    <mergeCell ref="B46:B47"/>
    <mergeCell ref="W46:W47"/>
    <mergeCell ref="B48:B49"/>
    <mergeCell ref="W48:W49"/>
    <mergeCell ref="B50:B51"/>
    <mergeCell ref="W50:W51"/>
    <mergeCell ref="B52:B53"/>
    <mergeCell ref="W52:W53"/>
    <mergeCell ref="B54:B55"/>
    <mergeCell ref="W54:W55"/>
    <mergeCell ref="B56:B57"/>
    <mergeCell ref="W56:W57"/>
    <mergeCell ref="B64:B65"/>
    <mergeCell ref="Q46:Q47"/>
    <mergeCell ref="W16:W17"/>
    <mergeCell ref="B20:B21"/>
    <mergeCell ref="W20:W21"/>
    <mergeCell ref="B24:B25"/>
    <mergeCell ref="W24:W25"/>
    <mergeCell ref="S41:T41"/>
    <mergeCell ref="X41:Y41"/>
    <mergeCell ref="C41:D41"/>
    <mergeCell ref="E41:F41"/>
    <mergeCell ref="G41:H41"/>
    <mergeCell ref="I41:J41"/>
    <mergeCell ref="K41:L41"/>
    <mergeCell ref="M41:N41"/>
    <mergeCell ref="O41:P41"/>
    <mergeCell ref="Q41:R41"/>
    <mergeCell ref="C37:AF37"/>
    <mergeCell ref="C39:T39"/>
    <mergeCell ref="X39:AO39"/>
    <mergeCell ref="C40:T40"/>
    <mergeCell ref="X40:AO40"/>
    <mergeCell ref="AJ41:AK41"/>
    <mergeCell ref="AL41:AM41"/>
    <mergeCell ref="AN41:AO41"/>
    <mergeCell ref="Z41:AA41"/>
    <mergeCell ref="K5:L5"/>
    <mergeCell ref="O5:P5"/>
    <mergeCell ref="A6:A30"/>
    <mergeCell ref="B6:B7"/>
    <mergeCell ref="V6:V30"/>
    <mergeCell ref="W6:W7"/>
    <mergeCell ref="B8:B9"/>
    <mergeCell ref="W8:W9"/>
    <mergeCell ref="B10:B11"/>
    <mergeCell ref="W10:W11"/>
    <mergeCell ref="B12:B13"/>
    <mergeCell ref="W12:W13"/>
    <mergeCell ref="B14:B15"/>
    <mergeCell ref="B28:B29"/>
    <mergeCell ref="W28:W29"/>
    <mergeCell ref="B30:B31"/>
    <mergeCell ref="B22:B23"/>
    <mergeCell ref="W22:W23"/>
    <mergeCell ref="B26:B27"/>
    <mergeCell ref="W26:W27"/>
    <mergeCell ref="B18:B19"/>
    <mergeCell ref="W18:W19"/>
    <mergeCell ref="W14:W15"/>
    <mergeCell ref="B16:B17"/>
    <mergeCell ref="Q48:Q49"/>
    <mergeCell ref="S48:S49"/>
    <mergeCell ref="Q5:R5"/>
    <mergeCell ref="S5:T5"/>
    <mergeCell ref="X5:Y5"/>
    <mergeCell ref="Z5:AA5"/>
    <mergeCell ref="C1:AF1"/>
    <mergeCell ref="C3:T3"/>
    <mergeCell ref="X3:AO3"/>
    <mergeCell ref="C4:T4"/>
    <mergeCell ref="X4:AO4"/>
    <mergeCell ref="AN5:AO5"/>
    <mergeCell ref="AB5:AC5"/>
    <mergeCell ref="AD5:AE5"/>
    <mergeCell ref="AF5:AG5"/>
    <mergeCell ref="AH5:AI5"/>
    <mergeCell ref="AJ5:AK5"/>
    <mergeCell ref="AL5:AM5"/>
    <mergeCell ref="M5:N5"/>
    <mergeCell ref="C5:D5"/>
    <mergeCell ref="E5:F5"/>
    <mergeCell ref="G5:H5"/>
    <mergeCell ref="I5:J5"/>
    <mergeCell ref="M42:M43"/>
    <mergeCell ref="O42:O43"/>
    <mergeCell ref="Q42:Q43"/>
    <mergeCell ref="S42:S43"/>
    <mergeCell ref="C44:C45"/>
    <mergeCell ref="E44:E45"/>
    <mergeCell ref="G44:G45"/>
    <mergeCell ref="I44:I45"/>
    <mergeCell ref="K44:K45"/>
    <mergeCell ref="M44:M45"/>
    <mergeCell ref="O44:O45"/>
    <mergeCell ref="Q44:Q45"/>
    <mergeCell ref="S44:S45"/>
    <mergeCell ref="C42:C43"/>
    <mergeCell ref="E42:E43"/>
    <mergeCell ref="G42:G43"/>
    <mergeCell ref="I42:I43"/>
    <mergeCell ref="K42:K43"/>
    <mergeCell ref="S46:S47"/>
    <mergeCell ref="C50:C51"/>
    <mergeCell ref="E50:E51"/>
    <mergeCell ref="G50:G51"/>
    <mergeCell ref="I50:I51"/>
    <mergeCell ref="K50:K51"/>
    <mergeCell ref="M50:M51"/>
    <mergeCell ref="O50:O51"/>
    <mergeCell ref="Q50:Q51"/>
    <mergeCell ref="S50:S51"/>
    <mergeCell ref="I48:I49"/>
    <mergeCell ref="K48:K49"/>
    <mergeCell ref="M48:M49"/>
    <mergeCell ref="O48:O49"/>
    <mergeCell ref="I46:I47"/>
    <mergeCell ref="K46:K47"/>
    <mergeCell ref="M46:M47"/>
    <mergeCell ref="O46:O47"/>
    <mergeCell ref="C46:C47"/>
    <mergeCell ref="E46:E47"/>
    <mergeCell ref="G46:G47"/>
    <mergeCell ref="C48:C49"/>
    <mergeCell ref="E48:E49"/>
    <mergeCell ref="G48:G49"/>
    <mergeCell ref="O52:O53"/>
    <mergeCell ref="Q52:Q53"/>
    <mergeCell ref="S52:S53"/>
    <mergeCell ref="C54:C55"/>
    <mergeCell ref="E54:E55"/>
    <mergeCell ref="G54:G55"/>
    <mergeCell ref="I54:I55"/>
    <mergeCell ref="K54:K55"/>
    <mergeCell ref="M54:M55"/>
    <mergeCell ref="O54:O55"/>
    <mergeCell ref="Q54:Q55"/>
    <mergeCell ref="S54:S55"/>
    <mergeCell ref="C52:C53"/>
    <mergeCell ref="E52:E53"/>
    <mergeCell ref="G52:G53"/>
    <mergeCell ref="I52:I53"/>
    <mergeCell ref="K52:K53"/>
    <mergeCell ref="B38:T38"/>
    <mergeCell ref="Q66:Q67"/>
    <mergeCell ref="S66:S67"/>
    <mergeCell ref="C64:C65"/>
    <mergeCell ref="C62:C63"/>
    <mergeCell ref="C66:C67"/>
    <mergeCell ref="E66:E67"/>
    <mergeCell ref="G66:G67"/>
    <mergeCell ref="I66:I67"/>
    <mergeCell ref="K66:K67"/>
    <mergeCell ref="M66:M67"/>
    <mergeCell ref="O66:O67"/>
    <mergeCell ref="E62:E63"/>
    <mergeCell ref="G62:G63"/>
    <mergeCell ref="I62:I63"/>
    <mergeCell ref="K62:K63"/>
    <mergeCell ref="M62:M63"/>
    <mergeCell ref="O62:O63"/>
    <mergeCell ref="Q62:Q63"/>
    <mergeCell ref="S62:S63"/>
    <mergeCell ref="S64:S65"/>
    <mergeCell ref="M64:M65"/>
    <mergeCell ref="K64:K65"/>
    <mergeCell ref="M52:M53"/>
  </mergeCells>
  <pageMargins left="0.7" right="0.7" top="0.75" bottom="0.75" header="0.3" footer="0.3"/>
  <pageSetup scale="42" orientation="landscape" r:id="rId1"/>
  <ignoredErrors>
    <ignoredError sqref="B6:B31 C5:T5 W6:W29 X5:AO5 B41:T41 W41:AO41 W44:Y44 W43:Y43 AA43 AC43 AE43 AG43 AI43 AK43 AM43 AO43 B61:D61 B60:D60 F60 B63:D63 B62:D62 F62 B65:D65 B64:D64 F64 B67:D67 B66:D66 F66 H61 H60 H63 H62 H65 H64 H67 H66 J61 J60 J63 J62 J65 J64 J67 J66 L61 L60 L63 L62 L65 L64 L67 L66 N61 N60 N63 N62 N65 N64 N67 N66 P61 P60 P63 P62 P65 P64 P67 P66 R61 R60 R63 R62 R65 R64 R67 R66 T61 T60 T63 T62 T65 T64 T67 T66 B43:D43 B42:D42 H42 B45:D45 B44:D44 J44 B47:D47 B46:D46 L46 B49:D49 B48:D48 L48 B51:D51 B50:D50 N50 P50 B53:D53 B52:D52 N52 B55:D55 B54:D54 N54 H46 P46 R46 P44 R44 N44 L44 R45 R47 N42 L43 L42 J43 J42 F42 B57:D57 B56:D56 J56 H45 H44 T44 T45 J46 T46 T47 F49 F48 P48 P49 R48 R49 T48 T49 F50 L50 R50 T51 T50 F52 P52 R52 F54 R53 R55 R54 F56 B59:D59 B58:D58 F58 W46:Y46 W45:Y45 AA45 W48:Y48 W47:Y47 AA47 W50:Y50 W49:Y49 AA49 W52:Y52 W51:Y51 AA51 W54:Y54 W53:Y53 AA53 W56:Y56 W55:Y55 AA55 W57:Y57 AA57 W42:Y42 AC42 AC44 AC46 AC45 AC48 AC47 AC50 AC49 AC52 AC51 AC54 AC53 AC56 AC55 AC57 AE42 AE44 AE46 AE45 AE48 AE47 AE50 AE49 AE52 AE51 AE54 AE53 AE56 AE55 AE57 AG42 AG44 AG46 AG45 AG48 AG47 AG50 AG49 AG52 AG51 AG54 AG53 AG56 AG55 AG57 AI42 AI44 AI46 AI45 AI48 AI47 AI50 AI49 AI52 AI51 AI54 AI53 AI56 AI55 AI57 AK42 AK44 AK46 AK45 AK48 AK47 AK50 AK49 AK52 AK51 AK54 AK53 AK56 AK55 AK57 AM42 AM44 AM46 AM45 AM48 AM47 AM50 AM49 AM52 AM51 AM54 AM53 AM56 AM55 AM57 AO42 AO44 AO46 AO45 AO48 AO47 AO50 AO49 AO52 AO51 AO54 AO53 AO56 AO55 AO57 R30 R31 F43 F61 F63 F65 F67 F45 F44 F47 F46 F51 F53 F55 F57 F59 H43 H49 H48 H50 H52 H54 H56 H58 H47 H51 H53 H55 H57 H59 N43 P42 P43 R42 R43 T42 T43 J45 J49 J48 J50 J52 J54 J58 J47 J51 J53 J55 J57 J59 L56 L45 L49 L52 L54 L58 L47 L51 L53 L55 L57 L59 N46 N48 N56 N45 N49 N58 N47 N51 N53 N55 N57 N59 P54 P56 P45 P58 P47 P51 P53 P55 P57 P59 R56 R58 R51 R57 R59 T52 T53 T55 T54 T56 T58 T57 T59 AA42 AA44 AA46 AA48 AA50 AA52 AA54 AA56 R29 R28 R27 R26 S26 S27 Q26:Q29 S29 Q30:Q31" numberStoredAsText="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Hoja11"/>
  <dimension ref="A1:AQ67"/>
  <sheetViews>
    <sheetView workbookViewId="0">
      <selection activeCell="K15" sqref="K15"/>
    </sheetView>
  </sheetViews>
  <sheetFormatPr baseColWidth="10" defaultColWidth="11.42578125" defaultRowHeight="15" x14ac:dyDescent="0.25"/>
  <cols>
    <col min="2" max="2" width="5.5703125" bestFit="1" customWidth="1"/>
    <col min="3" max="3" width="4.42578125" customWidth="1"/>
    <col min="4" max="4" width="2.140625" bestFit="1" customWidth="1"/>
    <col min="5" max="5" width="5.5703125" customWidth="1"/>
    <col min="6" max="6" width="2.140625" bestFit="1" customWidth="1"/>
    <col min="7" max="7" width="5.28515625" customWidth="1"/>
    <col min="8" max="8" width="2.140625" bestFit="1" customWidth="1"/>
    <col min="9" max="9" width="4.85546875" customWidth="1"/>
    <col min="10" max="10" width="2.140625" bestFit="1" customWidth="1"/>
    <col min="11" max="11" width="5.42578125" customWidth="1"/>
    <col min="12" max="12" width="2.140625" bestFit="1" customWidth="1"/>
    <col min="13" max="13" width="5.28515625" customWidth="1"/>
    <col min="14" max="14" width="2.140625" bestFit="1" customWidth="1"/>
    <col min="15" max="15" width="5.140625" customWidth="1"/>
    <col min="16" max="16" width="2.140625" bestFit="1" customWidth="1"/>
    <col min="17" max="17" width="4.85546875" customWidth="1"/>
    <col min="18" max="18" width="2.140625" bestFit="1" customWidth="1"/>
    <col min="19" max="19" width="4.7109375" customWidth="1"/>
    <col min="20" max="20" width="2.140625" bestFit="1" customWidth="1"/>
    <col min="21" max="21" width="0.5703125" customWidth="1"/>
    <col min="23" max="23" width="5.28515625" bestFit="1" customWidth="1"/>
    <col min="24" max="24" width="5.140625" customWidth="1"/>
    <col min="25" max="25" width="2.140625" bestFit="1" customWidth="1"/>
    <col min="26" max="26" width="5.140625" customWidth="1"/>
    <col min="27" max="27" width="2.140625" bestFit="1" customWidth="1"/>
    <col min="28" max="28" width="5.140625" customWidth="1"/>
    <col min="29" max="29" width="2.140625" bestFit="1" customWidth="1"/>
    <col min="30" max="30" width="5" customWidth="1"/>
    <col min="31" max="31" width="2.140625" bestFit="1" customWidth="1"/>
    <col min="32" max="32" width="5.28515625" customWidth="1"/>
    <col min="33" max="33" width="2.140625" bestFit="1" customWidth="1"/>
    <col min="34" max="34" width="5.5703125" customWidth="1"/>
    <col min="35" max="35" width="2.140625" bestFit="1" customWidth="1"/>
    <col min="36" max="36" width="5.5703125" customWidth="1"/>
    <col min="37" max="37" width="2.140625" bestFit="1" customWidth="1"/>
    <col min="38" max="38" width="5.7109375" customWidth="1"/>
    <col min="39" max="39" width="2.140625" bestFit="1" customWidth="1"/>
    <col min="40" max="40" width="5.7109375" customWidth="1"/>
    <col min="41" max="41" width="2.140625" bestFit="1" customWidth="1"/>
    <col min="43" max="43" width="12.140625" bestFit="1" customWidth="1"/>
  </cols>
  <sheetData>
    <row r="1" spans="1:41" ht="23.25" x14ac:dyDescent="0.25">
      <c r="A1" s="4"/>
      <c r="B1" s="4"/>
      <c r="C1" s="95" t="s">
        <v>78</v>
      </c>
      <c r="D1" s="95"/>
      <c r="E1" s="95"/>
      <c r="F1" s="95"/>
      <c r="G1" s="95"/>
      <c r="H1" s="95"/>
      <c r="I1" s="95"/>
      <c r="J1" s="95"/>
      <c r="K1" s="95"/>
      <c r="L1" s="95"/>
      <c r="M1" s="95"/>
      <c r="N1" s="95"/>
      <c r="O1" s="95"/>
      <c r="P1" s="95"/>
      <c r="Q1" s="95"/>
      <c r="R1" s="95"/>
      <c r="S1" s="95"/>
      <c r="T1" s="95"/>
      <c r="U1" s="95"/>
      <c r="V1" s="95"/>
      <c r="W1" s="95"/>
      <c r="X1" s="95"/>
      <c r="Y1" s="95"/>
      <c r="Z1" s="95"/>
      <c r="AA1" s="95"/>
      <c r="AB1" s="95"/>
      <c r="AC1" s="95"/>
      <c r="AD1" s="95"/>
      <c r="AE1" s="95"/>
      <c r="AF1" s="95"/>
      <c r="AG1" s="9"/>
      <c r="AH1" s="9"/>
      <c r="AI1" s="9"/>
      <c r="AJ1" s="9"/>
      <c r="AK1" s="9"/>
      <c r="AL1" s="9"/>
      <c r="AM1" s="9"/>
      <c r="AN1" s="9"/>
      <c r="AO1" s="9"/>
    </row>
    <row r="2" spans="1:41" x14ac:dyDescent="0.25">
      <c r="A2" s="4"/>
      <c r="B2" s="4"/>
      <c r="C2" s="4"/>
      <c r="D2" s="4"/>
      <c r="E2" s="4"/>
      <c r="F2" s="4"/>
      <c r="G2" s="4"/>
      <c r="H2" s="4"/>
      <c r="I2" s="4"/>
      <c r="J2" s="4"/>
      <c r="K2" s="4"/>
      <c r="L2" s="4"/>
      <c r="M2" s="4"/>
      <c r="N2" s="4"/>
      <c r="O2" s="4"/>
      <c r="P2" s="4"/>
      <c r="Q2" s="4"/>
      <c r="R2" s="4"/>
      <c r="S2" s="4"/>
      <c r="T2" s="4"/>
      <c r="U2" s="4"/>
      <c r="V2" s="4"/>
      <c r="W2" s="4"/>
      <c r="X2" s="4"/>
      <c r="Y2" s="4"/>
      <c r="Z2" s="4"/>
      <c r="AA2" s="4"/>
      <c r="AB2" s="4"/>
      <c r="AC2" s="4"/>
      <c r="AD2" s="4"/>
      <c r="AE2" s="4"/>
      <c r="AF2" s="4"/>
      <c r="AG2" s="9"/>
      <c r="AH2" s="9"/>
      <c r="AI2" s="9"/>
      <c r="AJ2" s="9"/>
      <c r="AK2" s="9"/>
      <c r="AL2" s="9"/>
      <c r="AM2" s="9"/>
      <c r="AN2" s="9"/>
      <c r="AO2" s="9"/>
    </row>
    <row r="3" spans="1:41" ht="36" x14ac:dyDescent="0.25">
      <c r="A3" s="4"/>
      <c r="B3" s="5"/>
      <c r="C3" s="97" t="s">
        <v>58</v>
      </c>
      <c r="D3" s="97"/>
      <c r="E3" s="97"/>
      <c r="F3" s="97"/>
      <c r="G3" s="97"/>
      <c r="H3" s="97"/>
      <c r="I3" s="97"/>
      <c r="J3" s="97"/>
      <c r="K3" s="97"/>
      <c r="L3" s="97"/>
      <c r="M3" s="97"/>
      <c r="N3" s="97"/>
      <c r="O3" s="97"/>
      <c r="P3" s="97"/>
      <c r="Q3" s="97"/>
      <c r="R3" s="97"/>
      <c r="S3" s="97"/>
      <c r="T3" s="97"/>
      <c r="V3" s="4"/>
      <c r="W3" s="5"/>
      <c r="X3" s="97" t="s">
        <v>58</v>
      </c>
      <c r="Y3" s="97"/>
      <c r="Z3" s="97"/>
      <c r="AA3" s="97"/>
      <c r="AB3" s="97"/>
      <c r="AC3" s="97"/>
      <c r="AD3" s="97"/>
      <c r="AE3" s="97"/>
      <c r="AF3" s="97"/>
      <c r="AG3" s="97"/>
      <c r="AH3" s="97"/>
      <c r="AI3" s="97"/>
      <c r="AJ3" s="97"/>
      <c r="AK3" s="97"/>
      <c r="AL3" s="97"/>
      <c r="AM3" s="97"/>
      <c r="AN3" s="97"/>
      <c r="AO3" s="97"/>
    </row>
    <row r="4" spans="1:41" ht="15.75" x14ac:dyDescent="0.25">
      <c r="A4" s="4"/>
      <c r="B4" s="5"/>
      <c r="C4" s="98"/>
      <c r="D4" s="98"/>
      <c r="E4" s="98"/>
      <c r="F4" s="98"/>
      <c r="G4" s="98"/>
      <c r="H4" s="98"/>
      <c r="I4" s="98"/>
      <c r="J4" s="98"/>
      <c r="K4" s="98"/>
      <c r="L4" s="98"/>
      <c r="M4" s="98"/>
      <c r="N4" s="98"/>
      <c r="O4" s="98"/>
      <c r="P4" s="98"/>
      <c r="Q4" s="98"/>
      <c r="R4" s="98"/>
      <c r="S4" s="98"/>
      <c r="T4" s="98"/>
      <c r="U4" s="9"/>
      <c r="V4" s="4"/>
      <c r="W4" s="5"/>
      <c r="X4" s="98"/>
      <c r="Y4" s="98"/>
      <c r="Z4" s="98"/>
      <c r="AA4" s="98"/>
      <c r="AB4" s="98"/>
      <c r="AC4" s="98"/>
      <c r="AD4" s="98"/>
      <c r="AE4" s="98"/>
      <c r="AF4" s="98"/>
      <c r="AG4" s="98"/>
      <c r="AH4" s="98"/>
      <c r="AI4" s="98"/>
      <c r="AJ4" s="98"/>
      <c r="AK4" s="98"/>
      <c r="AL4" s="98"/>
      <c r="AM4" s="98"/>
      <c r="AN4" s="98"/>
      <c r="AO4" s="98"/>
    </row>
    <row r="5" spans="1:41" ht="15.75" x14ac:dyDescent="0.25">
      <c r="A5" s="6" t="s">
        <v>51</v>
      </c>
      <c r="B5" s="28"/>
      <c r="C5" s="122" t="s">
        <v>59</v>
      </c>
      <c r="D5" s="122"/>
      <c r="E5" s="122" t="s">
        <v>60</v>
      </c>
      <c r="F5" s="122"/>
      <c r="G5" s="122" t="s">
        <v>61</v>
      </c>
      <c r="H5" s="122"/>
      <c r="I5" s="122" t="s">
        <v>62</v>
      </c>
      <c r="J5" s="122"/>
      <c r="K5" s="122" t="s">
        <v>63</v>
      </c>
      <c r="L5" s="122"/>
      <c r="M5" s="122" t="s">
        <v>64</v>
      </c>
      <c r="N5" s="122"/>
      <c r="O5" s="122" t="s">
        <v>67</v>
      </c>
      <c r="P5" s="122"/>
      <c r="Q5" s="122" t="s">
        <v>68</v>
      </c>
      <c r="R5" s="122"/>
      <c r="S5" s="122" t="s">
        <v>69</v>
      </c>
      <c r="T5" s="122"/>
      <c r="U5" s="9"/>
      <c r="V5" s="6" t="s">
        <v>52</v>
      </c>
      <c r="W5" s="28"/>
      <c r="X5" s="122" t="s">
        <v>59</v>
      </c>
      <c r="Y5" s="122"/>
      <c r="Z5" s="122" t="s">
        <v>60</v>
      </c>
      <c r="AA5" s="122"/>
      <c r="AB5" s="122" t="s">
        <v>61</v>
      </c>
      <c r="AC5" s="122"/>
      <c r="AD5" s="122" t="s">
        <v>62</v>
      </c>
      <c r="AE5" s="122"/>
      <c r="AF5" s="122" t="s">
        <v>63</v>
      </c>
      <c r="AG5" s="122"/>
      <c r="AH5" s="122" t="s">
        <v>64</v>
      </c>
      <c r="AI5" s="122"/>
      <c r="AJ5" s="123" t="s">
        <v>54</v>
      </c>
      <c r="AK5" s="124"/>
      <c r="AL5" s="122" t="s">
        <v>55</v>
      </c>
      <c r="AM5" s="122"/>
      <c r="AN5" s="122" t="s">
        <v>38</v>
      </c>
      <c r="AO5" s="122"/>
    </row>
    <row r="6" spans="1:41" x14ac:dyDescent="0.25">
      <c r="A6" s="96" t="s">
        <v>0</v>
      </c>
      <c r="B6" s="122" t="s">
        <v>2</v>
      </c>
      <c r="C6" s="11"/>
      <c r="D6" s="15" t="s">
        <v>65</v>
      </c>
      <c r="E6" s="11"/>
      <c r="F6" s="15" t="s">
        <v>65</v>
      </c>
      <c r="G6" s="11">
        <v>1</v>
      </c>
      <c r="H6" s="15" t="s">
        <v>65</v>
      </c>
      <c r="I6" s="12">
        <v>3</v>
      </c>
      <c r="J6" s="15" t="s">
        <v>65</v>
      </c>
      <c r="K6" s="12">
        <v>4</v>
      </c>
      <c r="L6" s="15" t="s">
        <v>65</v>
      </c>
      <c r="M6" s="12">
        <v>3</v>
      </c>
      <c r="N6" s="15" t="s">
        <v>65</v>
      </c>
      <c r="O6" s="12">
        <v>3</v>
      </c>
      <c r="P6" s="15" t="s">
        <v>65</v>
      </c>
      <c r="Q6" s="34">
        <v>4</v>
      </c>
      <c r="R6" s="15" t="s">
        <v>65</v>
      </c>
      <c r="S6" s="34">
        <v>3</v>
      </c>
      <c r="T6" s="15" t="s">
        <v>65</v>
      </c>
      <c r="U6" s="9"/>
      <c r="V6" s="96" t="s">
        <v>0</v>
      </c>
      <c r="W6" s="122" t="s">
        <v>3</v>
      </c>
      <c r="X6" s="11"/>
      <c r="Y6" s="15" t="s">
        <v>65</v>
      </c>
      <c r="Z6" s="11"/>
      <c r="AA6" s="15" t="s">
        <v>65</v>
      </c>
      <c r="AB6" s="11"/>
      <c r="AC6" s="15" t="s">
        <v>65</v>
      </c>
      <c r="AD6" s="12"/>
      <c r="AE6" s="15" t="s">
        <v>65</v>
      </c>
      <c r="AF6" s="12"/>
      <c r="AG6" s="15" t="s">
        <v>65</v>
      </c>
      <c r="AH6" s="12"/>
      <c r="AI6" s="15" t="s">
        <v>65</v>
      </c>
      <c r="AJ6" s="12"/>
      <c r="AK6" s="15" t="s">
        <v>65</v>
      </c>
      <c r="AL6" s="18"/>
      <c r="AM6" s="15" t="s">
        <v>65</v>
      </c>
      <c r="AN6" s="18"/>
      <c r="AO6" s="15" t="s">
        <v>65</v>
      </c>
    </row>
    <row r="7" spans="1:41" x14ac:dyDescent="0.25">
      <c r="A7" s="96"/>
      <c r="B7" s="122"/>
      <c r="C7" s="13"/>
      <c r="D7" s="16" t="s">
        <v>66</v>
      </c>
      <c r="E7" s="13">
        <v>1</v>
      </c>
      <c r="F7" s="16" t="s">
        <v>66</v>
      </c>
      <c r="G7" s="13">
        <v>1</v>
      </c>
      <c r="H7" s="16" t="s">
        <v>66</v>
      </c>
      <c r="I7" s="14">
        <v>2</v>
      </c>
      <c r="J7" s="16" t="s">
        <v>66</v>
      </c>
      <c r="K7" s="14">
        <v>3</v>
      </c>
      <c r="L7" s="16" t="s">
        <v>66</v>
      </c>
      <c r="M7" s="14">
        <v>3</v>
      </c>
      <c r="N7" s="16" t="s">
        <v>66</v>
      </c>
      <c r="O7" s="14">
        <v>2</v>
      </c>
      <c r="P7" s="16" t="s">
        <v>66</v>
      </c>
      <c r="Q7" s="35">
        <v>4</v>
      </c>
      <c r="R7" s="16">
        <v>0</v>
      </c>
      <c r="S7" s="35">
        <v>3</v>
      </c>
      <c r="T7" s="16" t="s">
        <v>66</v>
      </c>
      <c r="U7" s="9"/>
      <c r="V7" s="96"/>
      <c r="W7" s="122"/>
      <c r="X7" s="13"/>
      <c r="Y7" s="16" t="s">
        <v>66</v>
      </c>
      <c r="Z7" s="13"/>
      <c r="AA7" s="16" t="s">
        <v>66</v>
      </c>
      <c r="AB7" s="13"/>
      <c r="AC7" s="16" t="s">
        <v>66</v>
      </c>
      <c r="AD7" s="14"/>
      <c r="AE7" s="16" t="s">
        <v>66</v>
      </c>
      <c r="AF7" s="14"/>
      <c r="AG7" s="16" t="s">
        <v>66</v>
      </c>
      <c r="AH7" s="14"/>
      <c r="AI7" s="16" t="s">
        <v>66</v>
      </c>
      <c r="AJ7" s="14"/>
      <c r="AK7" s="16" t="s">
        <v>66</v>
      </c>
      <c r="AL7" s="19"/>
      <c r="AM7" s="16" t="s">
        <v>66</v>
      </c>
      <c r="AN7" s="19"/>
      <c r="AO7" s="16" t="s">
        <v>66</v>
      </c>
    </row>
    <row r="8" spans="1:41" x14ac:dyDescent="0.25">
      <c r="A8" s="96"/>
      <c r="B8" s="122" t="s">
        <v>29</v>
      </c>
      <c r="C8" s="11"/>
      <c r="D8" s="15" t="s">
        <v>65</v>
      </c>
      <c r="E8" s="11">
        <v>2</v>
      </c>
      <c r="F8" s="15" t="s">
        <v>65</v>
      </c>
      <c r="G8" s="11">
        <v>1</v>
      </c>
      <c r="H8" s="15" t="s">
        <v>65</v>
      </c>
      <c r="I8" s="12"/>
      <c r="J8" s="15" t="s">
        <v>65</v>
      </c>
      <c r="K8" s="12"/>
      <c r="L8" s="15" t="s">
        <v>65</v>
      </c>
      <c r="M8" s="12">
        <v>1</v>
      </c>
      <c r="N8" s="15" t="s">
        <v>65</v>
      </c>
      <c r="O8" s="12">
        <v>2</v>
      </c>
      <c r="P8" s="15" t="s">
        <v>65</v>
      </c>
      <c r="Q8" s="34">
        <v>2</v>
      </c>
      <c r="R8" s="15" t="s">
        <v>65</v>
      </c>
      <c r="S8" s="34">
        <v>3</v>
      </c>
      <c r="T8" s="15" t="s">
        <v>65</v>
      </c>
      <c r="U8" s="9"/>
      <c r="V8" s="96"/>
      <c r="W8" s="122" t="s">
        <v>4</v>
      </c>
      <c r="X8" s="11"/>
      <c r="Y8" s="15" t="s">
        <v>65</v>
      </c>
      <c r="Z8" s="11"/>
      <c r="AA8" s="15" t="s">
        <v>65</v>
      </c>
      <c r="AB8" s="11"/>
      <c r="AC8" s="15" t="s">
        <v>65</v>
      </c>
      <c r="AD8" s="12"/>
      <c r="AE8" s="15" t="s">
        <v>65</v>
      </c>
      <c r="AF8" s="12"/>
      <c r="AG8" s="15" t="s">
        <v>65</v>
      </c>
      <c r="AH8" s="12"/>
      <c r="AI8" s="15" t="s">
        <v>65</v>
      </c>
      <c r="AJ8" s="12"/>
      <c r="AK8" s="15" t="s">
        <v>65</v>
      </c>
      <c r="AL8" s="18"/>
      <c r="AM8" s="15" t="s">
        <v>65</v>
      </c>
      <c r="AN8" s="18"/>
      <c r="AO8" s="15" t="s">
        <v>65</v>
      </c>
    </row>
    <row r="9" spans="1:41" x14ac:dyDescent="0.25">
      <c r="A9" s="96"/>
      <c r="B9" s="122"/>
      <c r="C9" s="13"/>
      <c r="D9" s="16" t="s">
        <v>66</v>
      </c>
      <c r="E9" s="13">
        <v>2</v>
      </c>
      <c r="F9" s="16" t="s">
        <v>66</v>
      </c>
      <c r="G9" s="13">
        <v>2</v>
      </c>
      <c r="H9" s="16" t="s">
        <v>66</v>
      </c>
      <c r="I9" s="14">
        <v>2</v>
      </c>
      <c r="J9" s="16" t="s">
        <v>66</v>
      </c>
      <c r="K9" s="14"/>
      <c r="L9" s="16" t="s">
        <v>66</v>
      </c>
      <c r="M9" s="14">
        <v>1</v>
      </c>
      <c r="N9" s="16" t="s">
        <v>66</v>
      </c>
      <c r="O9" s="14">
        <v>3</v>
      </c>
      <c r="P9" s="16" t="s">
        <v>66</v>
      </c>
      <c r="Q9" s="35">
        <v>2</v>
      </c>
      <c r="R9" s="16" t="s">
        <v>66</v>
      </c>
      <c r="S9" s="35">
        <v>2</v>
      </c>
      <c r="T9" s="16" t="s">
        <v>66</v>
      </c>
      <c r="U9" s="9"/>
      <c r="V9" s="96"/>
      <c r="W9" s="122"/>
      <c r="X9" s="13"/>
      <c r="Y9" s="16" t="s">
        <v>66</v>
      </c>
      <c r="Z9" s="13"/>
      <c r="AA9" s="16" t="s">
        <v>66</v>
      </c>
      <c r="AB9" s="13"/>
      <c r="AC9" s="16" t="s">
        <v>66</v>
      </c>
      <c r="AD9" s="14"/>
      <c r="AE9" s="16" t="s">
        <v>66</v>
      </c>
      <c r="AF9" s="14"/>
      <c r="AG9" s="16" t="s">
        <v>66</v>
      </c>
      <c r="AH9" s="14"/>
      <c r="AI9" s="16" t="s">
        <v>66</v>
      </c>
      <c r="AJ9" s="14"/>
      <c r="AK9" s="16" t="s">
        <v>66</v>
      </c>
      <c r="AL9" s="19"/>
      <c r="AM9" s="16" t="s">
        <v>66</v>
      </c>
      <c r="AN9" s="19"/>
      <c r="AO9" s="16" t="s">
        <v>66</v>
      </c>
    </row>
    <row r="10" spans="1:41" x14ac:dyDescent="0.25">
      <c r="A10" s="96"/>
      <c r="B10" s="122" t="s">
        <v>30</v>
      </c>
      <c r="C10" s="11"/>
      <c r="D10" s="15" t="s">
        <v>65</v>
      </c>
      <c r="E10" s="11">
        <v>2</v>
      </c>
      <c r="F10" s="15" t="s">
        <v>65</v>
      </c>
      <c r="G10" s="11">
        <v>3</v>
      </c>
      <c r="H10" s="15" t="s">
        <v>65</v>
      </c>
      <c r="I10" s="12"/>
      <c r="J10" s="15" t="s">
        <v>65</v>
      </c>
      <c r="K10" s="12"/>
      <c r="L10" s="15" t="s">
        <v>65</v>
      </c>
      <c r="M10" s="12">
        <v>1</v>
      </c>
      <c r="N10" s="15" t="s">
        <v>65</v>
      </c>
      <c r="O10" s="12">
        <v>3</v>
      </c>
      <c r="P10" s="15" t="s">
        <v>65</v>
      </c>
      <c r="Q10" s="34">
        <v>2</v>
      </c>
      <c r="R10" s="15" t="s">
        <v>65</v>
      </c>
      <c r="S10" s="34">
        <v>3</v>
      </c>
      <c r="T10" s="15" t="s">
        <v>65</v>
      </c>
      <c r="U10" s="9"/>
      <c r="V10" s="96"/>
      <c r="W10" s="122" t="s">
        <v>5</v>
      </c>
      <c r="X10" s="11"/>
      <c r="Y10" s="15" t="s">
        <v>65</v>
      </c>
      <c r="Z10" s="11"/>
      <c r="AA10" s="15" t="s">
        <v>65</v>
      </c>
      <c r="AB10" s="11"/>
      <c r="AC10" s="15" t="s">
        <v>65</v>
      </c>
      <c r="AD10" s="12"/>
      <c r="AE10" s="15" t="s">
        <v>65</v>
      </c>
      <c r="AF10" s="12"/>
      <c r="AG10" s="15" t="s">
        <v>65</v>
      </c>
      <c r="AH10" s="12"/>
      <c r="AI10" s="15" t="s">
        <v>65</v>
      </c>
      <c r="AJ10" s="12"/>
      <c r="AK10" s="15" t="s">
        <v>65</v>
      </c>
      <c r="AL10" s="18"/>
      <c r="AM10" s="15" t="s">
        <v>65</v>
      </c>
      <c r="AN10" s="18"/>
      <c r="AO10" s="15" t="s">
        <v>65</v>
      </c>
    </row>
    <row r="11" spans="1:41" x14ac:dyDescent="0.25">
      <c r="A11" s="96"/>
      <c r="B11" s="122"/>
      <c r="C11" s="13"/>
      <c r="D11" s="16" t="s">
        <v>66</v>
      </c>
      <c r="E11" s="13">
        <v>2</v>
      </c>
      <c r="F11" s="16" t="s">
        <v>66</v>
      </c>
      <c r="G11" s="13"/>
      <c r="H11" s="16" t="s">
        <v>66</v>
      </c>
      <c r="I11" s="14">
        <v>2</v>
      </c>
      <c r="J11" s="16" t="s">
        <v>66</v>
      </c>
      <c r="K11" s="14"/>
      <c r="L11" s="16" t="s">
        <v>66</v>
      </c>
      <c r="M11" s="14"/>
      <c r="N11" s="16" t="s">
        <v>66</v>
      </c>
      <c r="O11" s="14">
        <v>2</v>
      </c>
      <c r="P11" s="16" t="s">
        <v>66</v>
      </c>
      <c r="Q11" s="35">
        <v>2</v>
      </c>
      <c r="R11" s="16" t="s">
        <v>66</v>
      </c>
      <c r="S11" s="35">
        <v>2</v>
      </c>
      <c r="T11" s="16" t="s">
        <v>66</v>
      </c>
      <c r="U11" s="9"/>
      <c r="V11" s="96"/>
      <c r="W11" s="122"/>
      <c r="X11" s="13"/>
      <c r="Y11" s="16" t="s">
        <v>66</v>
      </c>
      <c r="Z11" s="13"/>
      <c r="AA11" s="16" t="s">
        <v>66</v>
      </c>
      <c r="AB11" s="13"/>
      <c r="AC11" s="16" t="s">
        <v>66</v>
      </c>
      <c r="AD11" s="14"/>
      <c r="AE11" s="16" t="s">
        <v>66</v>
      </c>
      <c r="AF11" s="14"/>
      <c r="AG11" s="16" t="s">
        <v>66</v>
      </c>
      <c r="AH11" s="14"/>
      <c r="AI11" s="16" t="s">
        <v>66</v>
      </c>
      <c r="AJ11" s="14"/>
      <c r="AK11" s="16" t="s">
        <v>66</v>
      </c>
      <c r="AL11" s="19"/>
      <c r="AM11" s="16" t="s">
        <v>66</v>
      </c>
      <c r="AN11" s="19"/>
      <c r="AO11" s="16" t="s">
        <v>66</v>
      </c>
    </row>
    <row r="12" spans="1:41" x14ac:dyDescent="0.25">
      <c r="A12" s="96"/>
      <c r="B12" s="122" t="s">
        <v>31</v>
      </c>
      <c r="C12" s="11"/>
      <c r="D12" s="15" t="s">
        <v>65</v>
      </c>
      <c r="E12" s="11">
        <v>2</v>
      </c>
      <c r="F12" s="15" t="s">
        <v>65</v>
      </c>
      <c r="G12" s="11">
        <v>2</v>
      </c>
      <c r="H12" s="15" t="s">
        <v>65</v>
      </c>
      <c r="I12" s="12">
        <v>2</v>
      </c>
      <c r="J12" s="15" t="s">
        <v>65</v>
      </c>
      <c r="K12" s="12">
        <v>1</v>
      </c>
      <c r="L12" s="15" t="s">
        <v>65</v>
      </c>
      <c r="M12" s="12">
        <v>2</v>
      </c>
      <c r="N12" s="15" t="s">
        <v>65</v>
      </c>
      <c r="O12" s="12">
        <v>2</v>
      </c>
      <c r="P12" s="15" t="s">
        <v>65</v>
      </c>
      <c r="Q12" s="34">
        <v>3</v>
      </c>
      <c r="R12" s="15" t="s">
        <v>65</v>
      </c>
      <c r="S12" s="34">
        <v>3</v>
      </c>
      <c r="T12" s="15" t="s">
        <v>65</v>
      </c>
      <c r="U12" s="9"/>
      <c r="V12" s="96"/>
      <c r="W12" s="122" t="s">
        <v>6</v>
      </c>
      <c r="X12" s="11"/>
      <c r="Y12" s="15" t="s">
        <v>65</v>
      </c>
      <c r="Z12" s="11"/>
      <c r="AA12" s="15" t="s">
        <v>65</v>
      </c>
      <c r="AB12" s="11"/>
      <c r="AC12" s="15" t="s">
        <v>65</v>
      </c>
      <c r="AD12" s="12"/>
      <c r="AE12" s="15" t="s">
        <v>65</v>
      </c>
      <c r="AF12" s="12"/>
      <c r="AG12" s="15" t="s">
        <v>65</v>
      </c>
      <c r="AH12" s="12"/>
      <c r="AI12" s="15" t="s">
        <v>65</v>
      </c>
      <c r="AJ12" s="12"/>
      <c r="AK12" s="15" t="s">
        <v>65</v>
      </c>
      <c r="AL12" s="18"/>
      <c r="AM12" s="15" t="s">
        <v>65</v>
      </c>
      <c r="AN12" s="18"/>
      <c r="AO12" s="15" t="s">
        <v>65</v>
      </c>
    </row>
    <row r="13" spans="1:41" x14ac:dyDescent="0.25">
      <c r="A13" s="96"/>
      <c r="B13" s="122"/>
      <c r="C13" s="13"/>
      <c r="D13" s="16" t="s">
        <v>66</v>
      </c>
      <c r="E13" s="13">
        <v>2</v>
      </c>
      <c r="F13" s="16" t="s">
        <v>66</v>
      </c>
      <c r="G13" s="13">
        <v>3</v>
      </c>
      <c r="H13" s="16" t="s">
        <v>66</v>
      </c>
      <c r="I13" s="14"/>
      <c r="J13" s="16" t="s">
        <v>66</v>
      </c>
      <c r="K13" s="14"/>
      <c r="L13" s="16" t="s">
        <v>66</v>
      </c>
      <c r="M13" s="14"/>
      <c r="N13" s="16" t="s">
        <v>66</v>
      </c>
      <c r="O13" s="14">
        <v>2</v>
      </c>
      <c r="P13" s="16" t="s">
        <v>66</v>
      </c>
      <c r="Q13" s="35">
        <v>2</v>
      </c>
      <c r="R13" s="16" t="s">
        <v>66</v>
      </c>
      <c r="S13" s="35">
        <v>3</v>
      </c>
      <c r="T13" s="16" t="s">
        <v>66</v>
      </c>
      <c r="U13" s="9"/>
      <c r="V13" s="96"/>
      <c r="W13" s="122"/>
      <c r="X13" s="13"/>
      <c r="Y13" s="16" t="s">
        <v>66</v>
      </c>
      <c r="Z13" s="13"/>
      <c r="AA13" s="16" t="s">
        <v>66</v>
      </c>
      <c r="AB13" s="13"/>
      <c r="AC13" s="16" t="s">
        <v>66</v>
      </c>
      <c r="AD13" s="14"/>
      <c r="AE13" s="16" t="s">
        <v>66</v>
      </c>
      <c r="AF13" s="14"/>
      <c r="AG13" s="16" t="s">
        <v>66</v>
      </c>
      <c r="AH13" s="14"/>
      <c r="AI13" s="16" t="s">
        <v>66</v>
      </c>
      <c r="AJ13" s="14"/>
      <c r="AK13" s="16" t="s">
        <v>66</v>
      </c>
      <c r="AL13" s="19"/>
      <c r="AM13" s="16" t="s">
        <v>66</v>
      </c>
      <c r="AN13" s="19"/>
      <c r="AO13" s="16" t="s">
        <v>66</v>
      </c>
    </row>
    <row r="14" spans="1:41" x14ac:dyDescent="0.25">
      <c r="A14" s="96"/>
      <c r="B14" s="122" t="s">
        <v>32</v>
      </c>
      <c r="C14" s="11"/>
      <c r="D14" s="15" t="s">
        <v>65</v>
      </c>
      <c r="E14" s="11">
        <v>2</v>
      </c>
      <c r="F14" s="15" t="s">
        <v>65</v>
      </c>
      <c r="G14" s="11"/>
      <c r="H14" s="15" t="s">
        <v>65</v>
      </c>
      <c r="I14" s="12">
        <v>1</v>
      </c>
      <c r="J14" s="15" t="s">
        <v>65</v>
      </c>
      <c r="K14" s="12"/>
      <c r="L14" s="15" t="s">
        <v>65</v>
      </c>
      <c r="M14" s="12">
        <v>3</v>
      </c>
      <c r="N14" s="15" t="s">
        <v>65</v>
      </c>
      <c r="O14" s="12">
        <v>2</v>
      </c>
      <c r="P14" s="15" t="s">
        <v>65</v>
      </c>
      <c r="Q14" s="34">
        <v>2</v>
      </c>
      <c r="R14" s="15" t="s">
        <v>65</v>
      </c>
      <c r="S14" s="34">
        <v>2</v>
      </c>
      <c r="T14" s="15" t="s">
        <v>65</v>
      </c>
      <c r="U14" s="9"/>
      <c r="V14" s="96"/>
      <c r="W14" s="122" t="s">
        <v>7</v>
      </c>
      <c r="X14" s="11"/>
      <c r="Y14" s="15" t="s">
        <v>65</v>
      </c>
      <c r="Z14" s="11"/>
      <c r="AA14" s="15" t="s">
        <v>65</v>
      </c>
      <c r="AB14" s="11"/>
      <c r="AC14" s="15" t="s">
        <v>65</v>
      </c>
      <c r="AD14" s="12"/>
      <c r="AE14" s="15" t="s">
        <v>65</v>
      </c>
      <c r="AF14" s="12"/>
      <c r="AG14" s="15" t="s">
        <v>65</v>
      </c>
      <c r="AH14" s="12"/>
      <c r="AI14" s="15" t="s">
        <v>65</v>
      </c>
      <c r="AJ14" s="12"/>
      <c r="AK14" s="15" t="s">
        <v>65</v>
      </c>
      <c r="AL14" s="18"/>
      <c r="AM14" s="15" t="s">
        <v>65</v>
      </c>
      <c r="AN14" s="18"/>
      <c r="AO14" s="15" t="s">
        <v>65</v>
      </c>
    </row>
    <row r="15" spans="1:41" x14ac:dyDescent="0.25">
      <c r="A15" s="96"/>
      <c r="B15" s="122"/>
      <c r="C15" s="13"/>
      <c r="D15" s="16" t="s">
        <v>66</v>
      </c>
      <c r="E15" s="13">
        <v>2</v>
      </c>
      <c r="F15" s="16" t="s">
        <v>66</v>
      </c>
      <c r="G15" s="13"/>
      <c r="H15" s="16" t="s">
        <v>66</v>
      </c>
      <c r="I15" s="14">
        <v>1</v>
      </c>
      <c r="J15" s="16" t="s">
        <v>66</v>
      </c>
      <c r="K15" s="14"/>
      <c r="L15" s="16" t="s">
        <v>66</v>
      </c>
      <c r="M15" s="14">
        <v>3</v>
      </c>
      <c r="N15" s="16" t="s">
        <v>66</v>
      </c>
      <c r="O15" s="14">
        <v>3</v>
      </c>
      <c r="P15" s="16" t="s">
        <v>66</v>
      </c>
      <c r="Q15" s="35">
        <v>3</v>
      </c>
      <c r="R15" s="16" t="s">
        <v>66</v>
      </c>
      <c r="S15" s="35">
        <v>2</v>
      </c>
      <c r="T15" s="16" t="s">
        <v>66</v>
      </c>
      <c r="U15" s="9"/>
      <c r="V15" s="96"/>
      <c r="W15" s="122"/>
      <c r="X15" s="13"/>
      <c r="Y15" s="16" t="s">
        <v>66</v>
      </c>
      <c r="Z15" s="13"/>
      <c r="AA15" s="16" t="s">
        <v>66</v>
      </c>
      <c r="AB15" s="13"/>
      <c r="AC15" s="16" t="s">
        <v>66</v>
      </c>
      <c r="AD15" s="14"/>
      <c r="AE15" s="16" t="s">
        <v>66</v>
      </c>
      <c r="AF15" s="14"/>
      <c r="AG15" s="16" t="s">
        <v>66</v>
      </c>
      <c r="AH15" s="14"/>
      <c r="AI15" s="16" t="s">
        <v>66</v>
      </c>
      <c r="AJ15" s="14"/>
      <c r="AK15" s="16" t="s">
        <v>66</v>
      </c>
      <c r="AL15" s="19"/>
      <c r="AM15" s="16" t="s">
        <v>66</v>
      </c>
      <c r="AN15" s="19"/>
      <c r="AO15" s="16" t="s">
        <v>66</v>
      </c>
    </row>
    <row r="16" spans="1:41" x14ac:dyDescent="0.25">
      <c r="A16" s="96"/>
      <c r="B16" s="122" t="s">
        <v>33</v>
      </c>
      <c r="C16" s="11"/>
      <c r="D16" s="15" t="s">
        <v>65</v>
      </c>
      <c r="E16" s="11">
        <v>3</v>
      </c>
      <c r="F16" s="15" t="s">
        <v>65</v>
      </c>
      <c r="G16" s="11">
        <v>2</v>
      </c>
      <c r="H16" s="15" t="s">
        <v>65</v>
      </c>
      <c r="I16" s="12">
        <v>1</v>
      </c>
      <c r="J16" s="15" t="s">
        <v>65</v>
      </c>
      <c r="K16" s="12">
        <v>1</v>
      </c>
      <c r="L16" s="15" t="s">
        <v>65</v>
      </c>
      <c r="M16" s="12">
        <v>2</v>
      </c>
      <c r="N16" s="15" t="s">
        <v>65</v>
      </c>
      <c r="O16" s="12">
        <v>4</v>
      </c>
      <c r="P16" s="15" t="s">
        <v>65</v>
      </c>
      <c r="Q16" s="34">
        <v>2</v>
      </c>
      <c r="R16" s="15" t="s">
        <v>65</v>
      </c>
      <c r="S16" s="34">
        <v>2</v>
      </c>
      <c r="T16" s="15" t="s">
        <v>65</v>
      </c>
      <c r="U16" s="9"/>
      <c r="V16" s="96"/>
      <c r="W16" s="122" t="s">
        <v>8</v>
      </c>
      <c r="X16" s="11"/>
      <c r="Y16" s="15" t="s">
        <v>65</v>
      </c>
      <c r="Z16" s="11"/>
      <c r="AA16" s="15" t="s">
        <v>65</v>
      </c>
      <c r="AB16" s="11"/>
      <c r="AC16" s="15" t="s">
        <v>65</v>
      </c>
      <c r="AD16" s="12"/>
      <c r="AE16" s="15" t="s">
        <v>65</v>
      </c>
      <c r="AF16" s="12"/>
      <c r="AG16" s="15" t="s">
        <v>65</v>
      </c>
      <c r="AH16" s="12"/>
      <c r="AI16" s="15" t="s">
        <v>65</v>
      </c>
      <c r="AJ16" s="12"/>
      <c r="AK16" s="15" t="s">
        <v>65</v>
      </c>
      <c r="AL16" s="18"/>
      <c r="AM16" s="15" t="s">
        <v>65</v>
      </c>
      <c r="AN16" s="18"/>
      <c r="AO16" s="15" t="s">
        <v>65</v>
      </c>
    </row>
    <row r="17" spans="1:41" x14ac:dyDescent="0.25">
      <c r="A17" s="96"/>
      <c r="B17" s="122"/>
      <c r="C17" s="13"/>
      <c r="D17" s="16" t="s">
        <v>66</v>
      </c>
      <c r="E17" s="13">
        <v>2</v>
      </c>
      <c r="F17" s="16" t="s">
        <v>66</v>
      </c>
      <c r="G17" s="13">
        <v>2</v>
      </c>
      <c r="H17" s="16" t="s">
        <v>66</v>
      </c>
      <c r="I17" s="14">
        <v>3</v>
      </c>
      <c r="J17" s="16" t="s">
        <v>66</v>
      </c>
      <c r="K17" s="14">
        <v>3</v>
      </c>
      <c r="L17" s="16" t="s">
        <v>66</v>
      </c>
      <c r="M17" s="14">
        <v>3</v>
      </c>
      <c r="N17" s="16" t="s">
        <v>66</v>
      </c>
      <c r="O17" s="14">
        <v>1</v>
      </c>
      <c r="P17" s="16" t="s">
        <v>66</v>
      </c>
      <c r="Q17" s="35">
        <v>2</v>
      </c>
      <c r="R17" s="16" t="s">
        <v>66</v>
      </c>
      <c r="S17" s="35">
        <v>2</v>
      </c>
      <c r="T17" s="16" t="s">
        <v>66</v>
      </c>
      <c r="U17" s="9"/>
      <c r="V17" s="96"/>
      <c r="W17" s="122"/>
      <c r="X17" s="13"/>
      <c r="Y17" s="16" t="s">
        <v>66</v>
      </c>
      <c r="Z17" s="13"/>
      <c r="AA17" s="16" t="s">
        <v>66</v>
      </c>
      <c r="AB17" s="13"/>
      <c r="AC17" s="16" t="s">
        <v>66</v>
      </c>
      <c r="AD17" s="14"/>
      <c r="AE17" s="16" t="s">
        <v>66</v>
      </c>
      <c r="AF17" s="14"/>
      <c r="AG17" s="16" t="s">
        <v>66</v>
      </c>
      <c r="AH17" s="14"/>
      <c r="AI17" s="16" t="s">
        <v>66</v>
      </c>
      <c r="AJ17" s="14"/>
      <c r="AK17" s="16" t="s">
        <v>66</v>
      </c>
      <c r="AL17" s="19"/>
      <c r="AM17" s="16" t="s">
        <v>66</v>
      </c>
      <c r="AN17" s="19"/>
      <c r="AO17" s="16" t="s">
        <v>66</v>
      </c>
    </row>
    <row r="18" spans="1:41" x14ac:dyDescent="0.25">
      <c r="A18" s="96"/>
      <c r="B18" s="122" t="s">
        <v>34</v>
      </c>
      <c r="C18" s="11"/>
      <c r="D18" s="15" t="s">
        <v>65</v>
      </c>
      <c r="E18" s="11">
        <v>2</v>
      </c>
      <c r="F18" s="15" t="s">
        <v>65</v>
      </c>
      <c r="G18" s="11">
        <v>2</v>
      </c>
      <c r="H18" s="15" t="s">
        <v>65</v>
      </c>
      <c r="I18" s="12">
        <v>2</v>
      </c>
      <c r="J18" s="15" t="s">
        <v>65</v>
      </c>
      <c r="K18" s="12">
        <v>1</v>
      </c>
      <c r="L18" s="15" t="s">
        <v>65</v>
      </c>
      <c r="M18" s="12">
        <v>2</v>
      </c>
      <c r="N18" s="15" t="s">
        <v>65</v>
      </c>
      <c r="O18" s="12">
        <v>2</v>
      </c>
      <c r="P18" s="15" t="s">
        <v>65</v>
      </c>
      <c r="Q18" s="34">
        <v>2</v>
      </c>
      <c r="R18" s="15" t="s">
        <v>65</v>
      </c>
      <c r="S18" s="34">
        <v>3</v>
      </c>
      <c r="T18" s="15" t="s">
        <v>65</v>
      </c>
      <c r="U18" s="9"/>
      <c r="V18" s="96"/>
      <c r="W18" s="122" t="s">
        <v>9</v>
      </c>
      <c r="X18" s="11"/>
      <c r="Y18" s="15" t="s">
        <v>65</v>
      </c>
      <c r="Z18" s="11"/>
      <c r="AA18" s="15" t="s">
        <v>65</v>
      </c>
      <c r="AB18" s="11"/>
      <c r="AC18" s="15" t="s">
        <v>65</v>
      </c>
      <c r="AD18" s="12"/>
      <c r="AE18" s="15" t="s">
        <v>65</v>
      </c>
      <c r="AF18" s="12"/>
      <c r="AG18" s="15" t="s">
        <v>65</v>
      </c>
      <c r="AH18" s="12"/>
      <c r="AI18" s="15" t="s">
        <v>65</v>
      </c>
      <c r="AJ18" s="12"/>
      <c r="AK18" s="15" t="s">
        <v>65</v>
      </c>
      <c r="AL18" s="18"/>
      <c r="AM18" s="15" t="s">
        <v>65</v>
      </c>
      <c r="AN18" s="18"/>
      <c r="AO18" s="15" t="s">
        <v>65</v>
      </c>
    </row>
    <row r="19" spans="1:41" x14ac:dyDescent="0.25">
      <c r="A19" s="96"/>
      <c r="B19" s="122"/>
      <c r="C19" s="13"/>
      <c r="D19" s="16" t="s">
        <v>66</v>
      </c>
      <c r="E19" s="13">
        <v>2</v>
      </c>
      <c r="F19" s="16" t="s">
        <v>66</v>
      </c>
      <c r="G19" s="13">
        <v>2</v>
      </c>
      <c r="H19" s="16" t="s">
        <v>66</v>
      </c>
      <c r="I19" s="14">
        <v>1</v>
      </c>
      <c r="J19" s="16" t="s">
        <v>66</v>
      </c>
      <c r="K19" s="14">
        <v>2</v>
      </c>
      <c r="L19" s="16" t="s">
        <v>66</v>
      </c>
      <c r="M19" s="14">
        <v>2</v>
      </c>
      <c r="N19" s="16" t="s">
        <v>66</v>
      </c>
      <c r="O19" s="14">
        <v>2</v>
      </c>
      <c r="P19" s="16" t="s">
        <v>66</v>
      </c>
      <c r="Q19" s="35">
        <v>2</v>
      </c>
      <c r="R19" s="16" t="s">
        <v>66</v>
      </c>
      <c r="S19" s="35">
        <v>2</v>
      </c>
      <c r="T19" s="16" t="s">
        <v>66</v>
      </c>
      <c r="U19" s="9"/>
      <c r="V19" s="96"/>
      <c r="W19" s="122"/>
      <c r="X19" s="13"/>
      <c r="Y19" s="16" t="s">
        <v>66</v>
      </c>
      <c r="Z19" s="13"/>
      <c r="AA19" s="16" t="s">
        <v>66</v>
      </c>
      <c r="AB19" s="13"/>
      <c r="AC19" s="16" t="s">
        <v>66</v>
      </c>
      <c r="AD19" s="14"/>
      <c r="AE19" s="16" t="s">
        <v>66</v>
      </c>
      <c r="AF19" s="14"/>
      <c r="AG19" s="16" t="s">
        <v>66</v>
      </c>
      <c r="AH19" s="14"/>
      <c r="AI19" s="16" t="s">
        <v>66</v>
      </c>
      <c r="AJ19" s="14"/>
      <c r="AK19" s="16" t="s">
        <v>66</v>
      </c>
      <c r="AL19" s="19"/>
      <c r="AM19" s="16" t="s">
        <v>66</v>
      </c>
      <c r="AN19" s="19"/>
      <c r="AO19" s="16" t="s">
        <v>66</v>
      </c>
    </row>
    <row r="20" spans="1:41" x14ac:dyDescent="0.25">
      <c r="A20" s="96"/>
      <c r="B20" s="122" t="s">
        <v>35</v>
      </c>
      <c r="C20" s="11"/>
      <c r="D20" s="15" t="s">
        <v>65</v>
      </c>
      <c r="E20" s="11">
        <v>2</v>
      </c>
      <c r="F20" s="15" t="s">
        <v>65</v>
      </c>
      <c r="G20" s="11">
        <v>2</v>
      </c>
      <c r="H20" s="15" t="s">
        <v>65</v>
      </c>
      <c r="I20" s="12">
        <v>2</v>
      </c>
      <c r="J20" s="15" t="s">
        <v>65</v>
      </c>
      <c r="K20" s="12">
        <v>3</v>
      </c>
      <c r="L20" s="15" t="s">
        <v>65</v>
      </c>
      <c r="M20" s="12">
        <v>2</v>
      </c>
      <c r="N20" s="15" t="s">
        <v>65</v>
      </c>
      <c r="O20" s="12">
        <v>2</v>
      </c>
      <c r="P20" s="15" t="s">
        <v>65</v>
      </c>
      <c r="Q20" s="34">
        <v>2</v>
      </c>
      <c r="R20" s="15" t="s">
        <v>65</v>
      </c>
      <c r="S20" s="34">
        <v>2</v>
      </c>
      <c r="T20" s="15" t="s">
        <v>65</v>
      </c>
      <c r="U20" s="9"/>
      <c r="V20" s="96"/>
      <c r="W20" s="122" t="s">
        <v>10</v>
      </c>
      <c r="X20" s="11"/>
      <c r="Y20" s="15" t="s">
        <v>65</v>
      </c>
      <c r="Z20" s="11"/>
      <c r="AA20" s="15" t="s">
        <v>65</v>
      </c>
      <c r="AB20" s="11"/>
      <c r="AC20" s="15" t="s">
        <v>65</v>
      </c>
      <c r="AD20" s="12"/>
      <c r="AE20" s="15" t="s">
        <v>65</v>
      </c>
      <c r="AF20" s="12"/>
      <c r="AG20" s="15" t="s">
        <v>65</v>
      </c>
      <c r="AH20" s="12"/>
      <c r="AI20" s="15" t="s">
        <v>65</v>
      </c>
      <c r="AJ20" s="12"/>
      <c r="AK20" s="15" t="s">
        <v>65</v>
      </c>
      <c r="AL20" s="18"/>
      <c r="AM20" s="15" t="s">
        <v>65</v>
      </c>
      <c r="AN20" s="18"/>
      <c r="AO20" s="15" t="s">
        <v>65</v>
      </c>
    </row>
    <row r="21" spans="1:41" x14ac:dyDescent="0.25">
      <c r="A21" s="96"/>
      <c r="B21" s="122"/>
      <c r="C21" s="13"/>
      <c r="D21" s="16" t="s">
        <v>66</v>
      </c>
      <c r="E21" s="13">
        <v>2</v>
      </c>
      <c r="F21" s="16" t="s">
        <v>66</v>
      </c>
      <c r="G21" s="13">
        <v>2</v>
      </c>
      <c r="H21" s="16" t="s">
        <v>66</v>
      </c>
      <c r="I21" s="14"/>
      <c r="J21" s="16" t="s">
        <v>66</v>
      </c>
      <c r="K21" s="14"/>
      <c r="L21" s="16" t="s">
        <v>66</v>
      </c>
      <c r="M21" s="14">
        <v>2</v>
      </c>
      <c r="N21" s="16" t="s">
        <v>66</v>
      </c>
      <c r="O21" s="14">
        <v>5</v>
      </c>
      <c r="P21" s="16" t="s">
        <v>66</v>
      </c>
      <c r="Q21" s="35">
        <v>3</v>
      </c>
      <c r="R21" s="16" t="s">
        <v>66</v>
      </c>
      <c r="S21" s="35">
        <v>2</v>
      </c>
      <c r="T21" s="16" t="s">
        <v>66</v>
      </c>
      <c r="U21" s="9"/>
      <c r="V21" s="96"/>
      <c r="W21" s="122"/>
      <c r="X21" s="13"/>
      <c r="Y21" s="16" t="s">
        <v>66</v>
      </c>
      <c r="Z21" s="13"/>
      <c r="AA21" s="16" t="s">
        <v>66</v>
      </c>
      <c r="AB21" s="13"/>
      <c r="AC21" s="16" t="s">
        <v>66</v>
      </c>
      <c r="AD21" s="14"/>
      <c r="AE21" s="16" t="s">
        <v>66</v>
      </c>
      <c r="AF21" s="14"/>
      <c r="AG21" s="16" t="s">
        <v>66</v>
      </c>
      <c r="AH21" s="14"/>
      <c r="AI21" s="16" t="s">
        <v>66</v>
      </c>
      <c r="AJ21" s="14"/>
      <c r="AK21" s="16" t="s">
        <v>66</v>
      </c>
      <c r="AL21" s="19"/>
      <c r="AM21" s="16" t="s">
        <v>66</v>
      </c>
      <c r="AN21" s="19"/>
      <c r="AO21" s="16" t="s">
        <v>66</v>
      </c>
    </row>
    <row r="22" spans="1:41" x14ac:dyDescent="0.25">
      <c r="A22" s="96"/>
      <c r="B22" s="122" t="s">
        <v>36</v>
      </c>
      <c r="C22" s="11"/>
      <c r="D22" s="15" t="s">
        <v>65</v>
      </c>
      <c r="E22" s="11">
        <v>2</v>
      </c>
      <c r="F22" s="15" t="s">
        <v>65</v>
      </c>
      <c r="G22" s="11">
        <v>3</v>
      </c>
      <c r="H22" s="15" t="s">
        <v>65</v>
      </c>
      <c r="I22" s="12">
        <v>1</v>
      </c>
      <c r="J22" s="15" t="s">
        <v>65</v>
      </c>
      <c r="K22" s="12">
        <v>3</v>
      </c>
      <c r="L22" s="15" t="s">
        <v>65</v>
      </c>
      <c r="M22" s="12">
        <v>1</v>
      </c>
      <c r="N22" s="15" t="s">
        <v>65</v>
      </c>
      <c r="O22" s="12">
        <v>2</v>
      </c>
      <c r="P22" s="15" t="s">
        <v>65</v>
      </c>
      <c r="Q22" s="34">
        <v>3</v>
      </c>
      <c r="R22" s="15" t="s">
        <v>65</v>
      </c>
      <c r="S22" s="34">
        <v>2</v>
      </c>
      <c r="T22" s="15" t="s">
        <v>65</v>
      </c>
      <c r="U22" s="9"/>
      <c r="V22" s="96"/>
      <c r="W22" s="131"/>
      <c r="X22" s="12"/>
      <c r="Y22" s="12"/>
      <c r="Z22" s="12"/>
      <c r="AA22" s="12"/>
      <c r="AB22" s="12"/>
      <c r="AC22" s="12"/>
      <c r="AD22" s="12"/>
      <c r="AE22" s="12"/>
      <c r="AF22" s="12"/>
      <c r="AG22" s="12"/>
      <c r="AH22" s="12"/>
      <c r="AI22" s="12"/>
      <c r="AJ22" s="12"/>
      <c r="AK22" s="12"/>
      <c r="AL22" s="18"/>
      <c r="AM22" s="12"/>
      <c r="AN22" s="18"/>
      <c r="AO22" s="12"/>
    </row>
    <row r="23" spans="1:41" x14ac:dyDescent="0.25">
      <c r="A23" s="96"/>
      <c r="B23" s="122"/>
      <c r="C23" s="13"/>
      <c r="D23" s="16" t="s">
        <v>66</v>
      </c>
      <c r="E23" s="13">
        <v>2</v>
      </c>
      <c r="F23" s="16" t="s">
        <v>66</v>
      </c>
      <c r="G23" s="13">
        <v>2</v>
      </c>
      <c r="H23" s="16" t="s">
        <v>66</v>
      </c>
      <c r="I23" s="14">
        <v>3</v>
      </c>
      <c r="J23" s="16" t="s">
        <v>66</v>
      </c>
      <c r="K23" s="14">
        <v>3</v>
      </c>
      <c r="L23" s="16" t="s">
        <v>66</v>
      </c>
      <c r="M23" s="14">
        <v>3</v>
      </c>
      <c r="N23" s="16" t="s">
        <v>66</v>
      </c>
      <c r="O23" s="14">
        <v>2</v>
      </c>
      <c r="P23" s="16" t="s">
        <v>66</v>
      </c>
      <c r="Q23" s="35">
        <v>1</v>
      </c>
      <c r="R23" s="16" t="s">
        <v>66</v>
      </c>
      <c r="S23" s="35">
        <v>2</v>
      </c>
      <c r="T23" s="16" t="s">
        <v>66</v>
      </c>
      <c r="U23" s="9"/>
      <c r="V23" s="96"/>
      <c r="W23" s="128"/>
      <c r="X23" s="51"/>
      <c r="Y23" s="51"/>
      <c r="Z23" s="51"/>
      <c r="AA23" s="51"/>
      <c r="AB23" s="51"/>
      <c r="AC23" s="51"/>
      <c r="AD23" s="51"/>
      <c r="AE23" s="51"/>
      <c r="AF23" s="51"/>
      <c r="AG23" s="51"/>
      <c r="AH23" s="51"/>
      <c r="AI23" s="51"/>
      <c r="AJ23" s="51"/>
      <c r="AK23" s="51"/>
      <c r="AL23" s="52"/>
      <c r="AM23" s="51"/>
      <c r="AN23" s="52"/>
      <c r="AO23" s="51"/>
    </row>
    <row r="24" spans="1:41" x14ac:dyDescent="0.25">
      <c r="A24" s="96"/>
      <c r="B24" s="122" t="s">
        <v>37</v>
      </c>
      <c r="C24" s="11"/>
      <c r="D24" s="15" t="s">
        <v>65</v>
      </c>
      <c r="E24" s="11">
        <v>2</v>
      </c>
      <c r="F24" s="15" t="s">
        <v>65</v>
      </c>
      <c r="G24" s="11">
        <v>2</v>
      </c>
      <c r="H24" s="15" t="s">
        <v>65</v>
      </c>
      <c r="I24" s="12">
        <v>2</v>
      </c>
      <c r="J24" s="15" t="s">
        <v>65</v>
      </c>
      <c r="K24" s="12">
        <v>3</v>
      </c>
      <c r="L24" s="15" t="s">
        <v>65</v>
      </c>
      <c r="M24" s="12">
        <v>2</v>
      </c>
      <c r="N24" s="15" t="s">
        <v>65</v>
      </c>
      <c r="O24" s="12">
        <v>1</v>
      </c>
      <c r="P24" s="15" t="s">
        <v>65</v>
      </c>
      <c r="Q24" s="34">
        <v>2</v>
      </c>
      <c r="R24" s="15" t="s">
        <v>65</v>
      </c>
      <c r="S24" s="34">
        <v>2</v>
      </c>
      <c r="T24" s="15" t="s">
        <v>65</v>
      </c>
      <c r="U24" s="9"/>
      <c r="V24" s="96"/>
      <c r="W24" s="128"/>
      <c r="X24" s="51"/>
      <c r="Y24" s="51"/>
      <c r="Z24" s="51"/>
      <c r="AA24" s="51"/>
      <c r="AB24" s="51"/>
      <c r="AC24" s="51"/>
      <c r="AD24" s="51"/>
      <c r="AE24" s="51"/>
      <c r="AF24" s="51"/>
      <c r="AG24" s="51"/>
      <c r="AH24" s="51"/>
      <c r="AI24" s="51"/>
      <c r="AJ24" s="51"/>
      <c r="AK24" s="51"/>
      <c r="AL24" s="52"/>
      <c r="AM24" s="51"/>
      <c r="AN24" s="52"/>
      <c r="AO24" s="51"/>
    </row>
    <row r="25" spans="1:41" x14ac:dyDescent="0.25">
      <c r="A25" s="96"/>
      <c r="B25" s="122"/>
      <c r="C25" s="13"/>
      <c r="D25" s="16" t="s">
        <v>66</v>
      </c>
      <c r="E25" s="13">
        <v>2</v>
      </c>
      <c r="F25" s="16" t="s">
        <v>66</v>
      </c>
      <c r="G25" s="13">
        <v>2</v>
      </c>
      <c r="H25" s="16" t="s">
        <v>66</v>
      </c>
      <c r="I25" s="14">
        <v>2</v>
      </c>
      <c r="J25" s="16" t="s">
        <v>66</v>
      </c>
      <c r="K25" s="14">
        <v>3</v>
      </c>
      <c r="L25" s="16" t="s">
        <v>66</v>
      </c>
      <c r="M25" s="14">
        <v>3</v>
      </c>
      <c r="N25" s="16" t="s">
        <v>66</v>
      </c>
      <c r="O25" s="14">
        <v>3</v>
      </c>
      <c r="P25" s="16" t="s">
        <v>66</v>
      </c>
      <c r="Q25" s="35">
        <v>2</v>
      </c>
      <c r="R25" s="16" t="s">
        <v>66</v>
      </c>
      <c r="S25" s="35">
        <v>2</v>
      </c>
      <c r="T25" s="16" t="s">
        <v>66</v>
      </c>
      <c r="U25" s="9"/>
      <c r="V25" s="96"/>
      <c r="W25" s="128"/>
      <c r="X25" s="51"/>
      <c r="Y25" s="51"/>
      <c r="Z25" s="51"/>
      <c r="AA25" s="51"/>
      <c r="AB25" s="51"/>
      <c r="AC25" s="51"/>
      <c r="AD25" s="51"/>
      <c r="AE25" s="51"/>
      <c r="AF25" s="51"/>
      <c r="AG25" s="51"/>
      <c r="AH25" s="51"/>
      <c r="AI25" s="51"/>
      <c r="AJ25" s="51"/>
      <c r="AK25" s="51"/>
      <c r="AL25" s="52"/>
      <c r="AM25" s="51"/>
      <c r="AN25" s="52"/>
      <c r="AO25" s="51"/>
    </row>
    <row r="26" spans="1:41" x14ac:dyDescent="0.25">
      <c r="A26" s="96"/>
      <c r="B26" s="122" t="s">
        <v>54</v>
      </c>
      <c r="C26" s="11"/>
      <c r="D26" s="15" t="s">
        <v>65</v>
      </c>
      <c r="E26" s="11">
        <v>2</v>
      </c>
      <c r="F26" s="15" t="s">
        <v>65</v>
      </c>
      <c r="G26" s="11">
        <v>2</v>
      </c>
      <c r="H26" s="15" t="s">
        <v>65</v>
      </c>
      <c r="I26" s="12">
        <v>3</v>
      </c>
      <c r="J26" s="15" t="s">
        <v>65</v>
      </c>
      <c r="K26" s="12">
        <v>2</v>
      </c>
      <c r="L26" s="15" t="s">
        <v>65</v>
      </c>
      <c r="M26" s="12">
        <v>2</v>
      </c>
      <c r="N26" s="15" t="s">
        <v>65</v>
      </c>
      <c r="O26" s="12">
        <v>3</v>
      </c>
      <c r="P26" s="15" t="s">
        <v>65</v>
      </c>
      <c r="Q26" s="34">
        <v>1</v>
      </c>
      <c r="R26" s="15" t="s">
        <v>65</v>
      </c>
      <c r="S26" s="34">
        <v>1</v>
      </c>
      <c r="T26" s="15" t="s">
        <v>65</v>
      </c>
      <c r="U26" s="9"/>
      <c r="V26" s="96"/>
      <c r="W26" s="128"/>
      <c r="X26" s="51"/>
      <c r="Y26" s="51"/>
      <c r="Z26" s="51"/>
      <c r="AA26" s="51"/>
      <c r="AB26" s="51"/>
      <c r="AC26" s="51"/>
      <c r="AD26" s="51"/>
      <c r="AE26" s="51"/>
      <c r="AF26" s="51"/>
      <c r="AG26" s="51"/>
      <c r="AH26" s="51"/>
      <c r="AI26" s="51"/>
      <c r="AJ26" s="51"/>
      <c r="AK26" s="51"/>
      <c r="AL26" s="52"/>
      <c r="AM26" s="51"/>
      <c r="AN26" s="52"/>
      <c r="AO26" s="51"/>
    </row>
    <row r="27" spans="1:41" x14ac:dyDescent="0.25">
      <c r="A27" s="96"/>
      <c r="B27" s="122"/>
      <c r="C27" s="13"/>
      <c r="D27" s="16" t="s">
        <v>66</v>
      </c>
      <c r="E27" s="13">
        <v>2</v>
      </c>
      <c r="F27" s="16" t="s">
        <v>66</v>
      </c>
      <c r="G27" s="13">
        <v>3</v>
      </c>
      <c r="H27" s="16" t="s">
        <v>66</v>
      </c>
      <c r="I27" s="14">
        <v>2</v>
      </c>
      <c r="J27" s="16" t="s">
        <v>66</v>
      </c>
      <c r="K27" s="14">
        <v>2</v>
      </c>
      <c r="L27" s="16" t="s">
        <v>66</v>
      </c>
      <c r="M27" s="14">
        <v>2</v>
      </c>
      <c r="N27" s="16" t="s">
        <v>66</v>
      </c>
      <c r="O27" s="14">
        <v>4</v>
      </c>
      <c r="P27" s="16" t="s">
        <v>66</v>
      </c>
      <c r="Q27" s="35">
        <v>3</v>
      </c>
      <c r="R27" s="16" t="s">
        <v>66</v>
      </c>
      <c r="S27" s="35">
        <v>1</v>
      </c>
      <c r="T27" s="16" t="s">
        <v>66</v>
      </c>
      <c r="U27" s="9"/>
      <c r="V27" s="96"/>
      <c r="W27" s="128"/>
      <c r="X27" s="51"/>
      <c r="Y27" s="51"/>
      <c r="Z27" s="51"/>
      <c r="AA27" s="51"/>
      <c r="AB27" s="51"/>
      <c r="AC27" s="51"/>
      <c r="AD27" s="51"/>
      <c r="AE27" s="51"/>
      <c r="AF27" s="51"/>
      <c r="AG27" s="51"/>
      <c r="AH27" s="51"/>
      <c r="AI27" s="51"/>
      <c r="AJ27" s="51"/>
      <c r="AK27" s="51"/>
      <c r="AL27" s="52"/>
      <c r="AM27" s="51"/>
      <c r="AN27" s="52"/>
      <c r="AO27" s="51"/>
    </row>
    <row r="28" spans="1:41" x14ac:dyDescent="0.25">
      <c r="A28" s="96"/>
      <c r="B28" s="122" t="s">
        <v>55</v>
      </c>
      <c r="C28" s="11"/>
      <c r="D28" s="15" t="s">
        <v>65</v>
      </c>
      <c r="E28" s="11">
        <v>2</v>
      </c>
      <c r="F28" s="15" t="s">
        <v>65</v>
      </c>
      <c r="G28" s="11">
        <v>2</v>
      </c>
      <c r="H28" s="15" t="s">
        <v>65</v>
      </c>
      <c r="I28" s="12">
        <v>2</v>
      </c>
      <c r="J28" s="15" t="s">
        <v>65</v>
      </c>
      <c r="K28" s="12">
        <v>2</v>
      </c>
      <c r="L28" s="15" t="s">
        <v>65</v>
      </c>
      <c r="M28" s="12">
        <v>2</v>
      </c>
      <c r="N28" s="15" t="s">
        <v>65</v>
      </c>
      <c r="O28" s="12">
        <v>4</v>
      </c>
      <c r="P28" s="15" t="s">
        <v>65</v>
      </c>
      <c r="Q28" s="34">
        <v>2</v>
      </c>
      <c r="R28" s="15" t="s">
        <v>65</v>
      </c>
      <c r="S28" s="34">
        <v>2</v>
      </c>
      <c r="T28" s="15" t="s">
        <v>65</v>
      </c>
      <c r="U28" s="9"/>
      <c r="V28" s="96"/>
      <c r="W28" s="128"/>
      <c r="X28" s="51"/>
      <c r="Y28" s="51"/>
      <c r="Z28" s="51"/>
      <c r="AA28" s="51"/>
      <c r="AB28" s="51"/>
      <c r="AC28" s="51"/>
      <c r="AD28" s="51"/>
      <c r="AE28" s="51"/>
      <c r="AF28" s="51"/>
      <c r="AG28" s="51"/>
      <c r="AH28" s="51"/>
      <c r="AI28" s="51"/>
      <c r="AJ28" s="51"/>
      <c r="AK28" s="51"/>
      <c r="AL28" s="52"/>
      <c r="AM28" s="51"/>
      <c r="AN28" s="52"/>
      <c r="AO28" s="51"/>
    </row>
    <row r="29" spans="1:41" x14ac:dyDescent="0.25">
      <c r="A29" s="96"/>
      <c r="B29" s="122"/>
      <c r="C29" s="13"/>
      <c r="D29" s="16" t="s">
        <v>66</v>
      </c>
      <c r="E29" s="13">
        <v>2</v>
      </c>
      <c r="F29" s="16" t="s">
        <v>66</v>
      </c>
      <c r="G29" s="13">
        <v>2</v>
      </c>
      <c r="H29" s="16" t="s">
        <v>66</v>
      </c>
      <c r="I29" s="14">
        <v>2</v>
      </c>
      <c r="J29" s="16" t="s">
        <v>66</v>
      </c>
      <c r="K29" s="14">
        <v>4</v>
      </c>
      <c r="L29" s="16" t="s">
        <v>66</v>
      </c>
      <c r="M29" s="14">
        <v>2</v>
      </c>
      <c r="N29" s="16" t="s">
        <v>66</v>
      </c>
      <c r="O29" s="14">
        <v>1</v>
      </c>
      <c r="P29" s="16" t="s">
        <v>66</v>
      </c>
      <c r="Q29" s="35">
        <v>2</v>
      </c>
      <c r="R29" s="16" t="s">
        <v>66</v>
      </c>
      <c r="S29" s="35">
        <v>3</v>
      </c>
      <c r="T29" s="16" t="s">
        <v>66</v>
      </c>
      <c r="U29" s="9"/>
      <c r="V29" s="96"/>
      <c r="W29" s="128"/>
      <c r="X29" s="53"/>
      <c r="Y29" s="53"/>
      <c r="Z29" s="53"/>
      <c r="AA29" s="53"/>
      <c r="AB29" s="53"/>
      <c r="AC29" s="53"/>
      <c r="AD29" s="53"/>
      <c r="AE29" s="53"/>
      <c r="AF29" s="53"/>
      <c r="AG29" s="53"/>
      <c r="AH29" s="53"/>
      <c r="AI29" s="53"/>
      <c r="AJ29" s="53"/>
      <c r="AK29" s="53"/>
      <c r="AL29" s="52"/>
      <c r="AM29" s="53"/>
      <c r="AN29" s="52"/>
      <c r="AO29" s="53"/>
    </row>
    <row r="30" spans="1:41" x14ac:dyDescent="0.25">
      <c r="A30" s="96"/>
      <c r="B30" s="122" t="s">
        <v>38</v>
      </c>
      <c r="C30" s="11"/>
      <c r="D30" s="15" t="s">
        <v>65</v>
      </c>
      <c r="E30" s="11">
        <v>2</v>
      </c>
      <c r="F30" s="15" t="s">
        <v>65</v>
      </c>
      <c r="G30" s="11">
        <v>3</v>
      </c>
      <c r="H30" s="15" t="s">
        <v>65</v>
      </c>
      <c r="I30" s="12">
        <v>2</v>
      </c>
      <c r="J30" s="15" t="s">
        <v>65</v>
      </c>
      <c r="K30" s="12">
        <v>2</v>
      </c>
      <c r="L30" s="15" t="s">
        <v>65</v>
      </c>
      <c r="M30" s="12">
        <v>2</v>
      </c>
      <c r="N30" s="15" t="s">
        <v>65</v>
      </c>
      <c r="O30" s="12">
        <v>3</v>
      </c>
      <c r="P30" s="15" t="s">
        <v>65</v>
      </c>
      <c r="Q30" s="34">
        <v>2</v>
      </c>
      <c r="R30" s="15" t="s">
        <v>65</v>
      </c>
      <c r="S30" s="34">
        <v>2</v>
      </c>
      <c r="T30" s="15" t="s">
        <v>65</v>
      </c>
      <c r="U30" s="9"/>
      <c r="V30" s="96"/>
      <c r="W30" s="9"/>
      <c r="X30" s="9"/>
      <c r="Y30" s="9"/>
      <c r="Z30" s="9"/>
      <c r="AA30" s="9"/>
      <c r="AB30" s="9"/>
      <c r="AC30" s="9"/>
      <c r="AD30" s="9"/>
      <c r="AE30" s="9"/>
      <c r="AF30" s="9"/>
      <c r="AG30" s="9"/>
      <c r="AH30" s="9"/>
      <c r="AI30" s="9"/>
      <c r="AJ30" s="9"/>
      <c r="AK30" s="9"/>
      <c r="AL30" s="9"/>
      <c r="AM30" s="9"/>
      <c r="AN30" s="9"/>
      <c r="AO30" s="9"/>
    </row>
    <row r="31" spans="1:41" x14ac:dyDescent="0.25">
      <c r="A31" s="10"/>
      <c r="B31" s="122"/>
      <c r="C31" s="20"/>
      <c r="D31" s="17" t="s">
        <v>66</v>
      </c>
      <c r="E31" s="20">
        <v>2</v>
      </c>
      <c r="F31" s="17" t="s">
        <v>66</v>
      </c>
      <c r="G31" s="20">
        <v>2</v>
      </c>
      <c r="H31" s="17" t="s">
        <v>66</v>
      </c>
      <c r="I31" s="21">
        <v>2</v>
      </c>
      <c r="J31" s="17" t="s">
        <v>66</v>
      </c>
      <c r="K31" s="21">
        <v>3</v>
      </c>
      <c r="L31" s="17" t="s">
        <v>66</v>
      </c>
      <c r="M31" s="21">
        <v>2</v>
      </c>
      <c r="N31" s="17" t="s">
        <v>66</v>
      </c>
      <c r="O31" s="21">
        <v>2</v>
      </c>
      <c r="P31" s="17" t="s">
        <v>66</v>
      </c>
      <c r="Q31" s="21">
        <v>2</v>
      </c>
      <c r="R31" s="17" t="s">
        <v>66</v>
      </c>
      <c r="S31" s="21">
        <v>2</v>
      </c>
      <c r="T31" s="17" t="s">
        <v>66</v>
      </c>
      <c r="U31" s="9"/>
      <c r="V31" s="10"/>
      <c r="W31" s="9"/>
      <c r="X31" s="9"/>
      <c r="Y31" s="9"/>
      <c r="Z31" s="9"/>
      <c r="AA31" s="9"/>
      <c r="AB31" s="9"/>
      <c r="AC31" s="9"/>
      <c r="AD31" s="9"/>
      <c r="AE31" s="9"/>
      <c r="AF31" s="9"/>
      <c r="AG31" s="9"/>
      <c r="AH31" s="9"/>
      <c r="AI31" s="9"/>
      <c r="AJ31" s="9"/>
      <c r="AK31" s="9"/>
      <c r="AL31" s="9"/>
      <c r="AM31" s="9"/>
      <c r="AN31" s="9"/>
      <c r="AO31" s="9"/>
    </row>
    <row r="32" spans="1:41" x14ac:dyDescent="0.25">
      <c r="A32" s="9"/>
      <c r="B32" s="9"/>
      <c r="C32" s="9"/>
      <c r="D32" s="9"/>
      <c r="E32" s="9"/>
      <c r="F32" s="9"/>
      <c r="G32" s="9"/>
      <c r="H32" s="9"/>
      <c r="I32" s="9"/>
      <c r="J32" s="9"/>
      <c r="K32" s="9"/>
      <c r="L32" s="9"/>
      <c r="M32" s="9"/>
      <c r="N32" s="9"/>
      <c r="O32" s="9"/>
      <c r="P32" s="9"/>
      <c r="Q32" s="9"/>
      <c r="R32" s="9"/>
      <c r="S32" s="9"/>
      <c r="T32" s="9"/>
      <c r="U32" s="9"/>
      <c r="V32" s="9"/>
      <c r="W32" s="9"/>
      <c r="X32" s="9"/>
      <c r="Y32" s="9"/>
      <c r="Z32" s="9"/>
      <c r="AA32" s="9"/>
      <c r="AB32" s="9"/>
      <c r="AC32" s="9"/>
      <c r="AD32" s="9"/>
      <c r="AE32" s="9"/>
      <c r="AF32" s="9"/>
      <c r="AG32" s="9"/>
      <c r="AH32" s="9"/>
      <c r="AI32" s="9"/>
      <c r="AJ32" s="9"/>
      <c r="AK32" s="9"/>
      <c r="AL32" s="9"/>
      <c r="AM32" s="9"/>
      <c r="AN32" s="9"/>
      <c r="AO32" s="9"/>
    </row>
    <row r="33" spans="1:41" x14ac:dyDescent="0.25">
      <c r="A33" s="9"/>
      <c r="B33" s="9"/>
      <c r="C33" s="9"/>
      <c r="D33" s="9"/>
      <c r="E33" s="9"/>
      <c r="F33" s="9"/>
      <c r="G33" s="9"/>
      <c r="H33" s="9"/>
      <c r="I33" s="9"/>
      <c r="J33" s="9"/>
      <c r="K33" s="9"/>
      <c r="L33" s="9"/>
      <c r="M33" s="9"/>
      <c r="N33" s="9"/>
      <c r="O33" s="9"/>
      <c r="P33" s="9"/>
      <c r="Q33" s="9"/>
      <c r="R33" s="9"/>
      <c r="S33" s="9"/>
      <c r="T33" s="9"/>
      <c r="U33" s="9"/>
      <c r="V33" s="9"/>
      <c r="W33" s="9"/>
      <c r="X33" s="9"/>
      <c r="Y33" s="9"/>
      <c r="Z33" s="9"/>
      <c r="AA33" s="9"/>
      <c r="AB33" s="9"/>
      <c r="AC33" s="9"/>
      <c r="AD33" s="9"/>
      <c r="AE33" s="9"/>
      <c r="AF33" s="9"/>
      <c r="AG33" s="9"/>
      <c r="AH33" s="9"/>
      <c r="AI33" s="9"/>
      <c r="AJ33" s="9"/>
      <c r="AK33" s="9"/>
      <c r="AL33" s="9"/>
      <c r="AM33" s="9"/>
      <c r="AN33" s="9"/>
      <c r="AO33" s="9"/>
    </row>
    <row r="34" spans="1:41" x14ac:dyDescent="0.25">
      <c r="A34" s="9"/>
      <c r="B34" s="9"/>
      <c r="C34" s="9"/>
      <c r="D34" s="9"/>
      <c r="E34" s="9"/>
      <c r="F34" s="9"/>
      <c r="G34" s="9"/>
      <c r="H34" s="9"/>
      <c r="I34" s="9"/>
      <c r="J34" s="9"/>
      <c r="K34" s="9"/>
      <c r="L34" s="9"/>
      <c r="M34" s="9"/>
      <c r="N34" s="9"/>
      <c r="O34" s="9"/>
      <c r="P34" s="9"/>
      <c r="Q34" s="9"/>
      <c r="R34" s="9"/>
      <c r="S34" s="9"/>
      <c r="T34" s="9"/>
      <c r="U34" s="9"/>
      <c r="V34" s="9"/>
      <c r="W34" s="9"/>
      <c r="X34" s="9"/>
      <c r="Y34" s="9"/>
      <c r="Z34" s="9"/>
      <c r="AA34" s="9"/>
      <c r="AB34" s="9"/>
      <c r="AC34" s="9"/>
      <c r="AD34" s="9"/>
      <c r="AE34" s="9"/>
      <c r="AF34" s="9"/>
      <c r="AG34" s="9"/>
      <c r="AH34" s="9"/>
      <c r="AI34" s="9"/>
      <c r="AJ34" s="9"/>
      <c r="AK34" s="9"/>
      <c r="AL34" s="9"/>
      <c r="AM34" s="9"/>
      <c r="AN34" s="9"/>
      <c r="AO34" s="9"/>
    </row>
    <row r="35" spans="1:41" x14ac:dyDescent="0.25">
      <c r="A35" s="9"/>
      <c r="B35" s="9"/>
      <c r="C35" s="9"/>
      <c r="D35" s="9"/>
      <c r="E35" s="9"/>
      <c r="F35" s="9"/>
      <c r="G35" s="9"/>
      <c r="H35" s="9"/>
      <c r="I35" s="9"/>
      <c r="J35" s="9"/>
      <c r="K35" s="9"/>
      <c r="L35" s="9"/>
      <c r="M35" s="9"/>
      <c r="N35" s="9"/>
      <c r="O35" s="9"/>
      <c r="P35" s="9"/>
      <c r="Q35" s="9"/>
      <c r="R35" s="9"/>
      <c r="S35" s="9"/>
      <c r="T35" s="9"/>
      <c r="U35" s="9"/>
      <c r="V35" s="9"/>
      <c r="W35" s="9"/>
      <c r="X35" s="9"/>
      <c r="Y35" s="9"/>
      <c r="Z35" s="9"/>
      <c r="AA35" s="9"/>
      <c r="AB35" s="9"/>
      <c r="AC35" s="9"/>
      <c r="AD35" s="9"/>
      <c r="AE35" s="9"/>
      <c r="AF35" s="9"/>
      <c r="AG35" s="9"/>
      <c r="AH35" s="9"/>
      <c r="AI35" s="9"/>
      <c r="AJ35" s="9"/>
      <c r="AK35" s="9"/>
      <c r="AL35" s="9"/>
      <c r="AM35" s="9"/>
      <c r="AN35" s="9"/>
      <c r="AO35" s="9"/>
    </row>
    <row r="36" spans="1:41" x14ac:dyDescent="0.25">
      <c r="A36" s="9"/>
      <c r="B36" s="9"/>
      <c r="C36" s="9"/>
      <c r="D36" s="9"/>
      <c r="E36" s="9"/>
      <c r="F36" s="9"/>
      <c r="G36" s="9"/>
      <c r="H36" s="9"/>
      <c r="I36" s="9"/>
      <c r="J36" s="9"/>
      <c r="K36" s="9"/>
      <c r="L36" s="9"/>
      <c r="M36" s="9"/>
      <c r="N36" s="9"/>
      <c r="O36" s="9"/>
      <c r="P36" s="9"/>
      <c r="Q36" s="9"/>
      <c r="R36" s="9"/>
      <c r="S36" s="9"/>
      <c r="T36" s="9"/>
      <c r="U36" s="9"/>
      <c r="V36" s="9"/>
      <c r="W36" s="9"/>
      <c r="X36" s="9"/>
      <c r="Y36" s="9"/>
      <c r="Z36" s="9"/>
      <c r="AA36" s="9"/>
      <c r="AB36" s="9"/>
      <c r="AC36" s="9"/>
      <c r="AD36" s="9"/>
      <c r="AE36" s="9"/>
      <c r="AF36" s="9"/>
      <c r="AG36" s="9"/>
      <c r="AH36" s="9"/>
      <c r="AI36" s="9"/>
      <c r="AJ36" s="9"/>
      <c r="AK36" s="9"/>
      <c r="AL36" s="9"/>
      <c r="AM36" s="9"/>
      <c r="AN36" s="9"/>
      <c r="AO36" s="9"/>
    </row>
    <row r="37" spans="1:41" ht="28.5" x14ac:dyDescent="0.25">
      <c r="A37" s="4"/>
      <c r="B37" s="4"/>
      <c r="C37" s="95" t="s">
        <v>87</v>
      </c>
      <c r="D37" s="95"/>
      <c r="E37" s="95"/>
      <c r="F37" s="95"/>
      <c r="G37" s="95"/>
      <c r="H37" s="95"/>
      <c r="I37" s="95"/>
      <c r="J37" s="95"/>
      <c r="K37" s="95"/>
      <c r="L37" s="95"/>
      <c r="M37" s="95"/>
      <c r="N37" s="95"/>
      <c r="O37" s="95"/>
      <c r="P37" s="95"/>
      <c r="Q37" s="95"/>
      <c r="R37" s="95"/>
      <c r="S37" s="95"/>
      <c r="T37" s="95"/>
      <c r="U37" s="95"/>
      <c r="V37" s="95"/>
      <c r="W37" s="95"/>
      <c r="X37" s="95"/>
      <c r="Y37" s="95"/>
      <c r="Z37" s="95"/>
      <c r="AA37" s="95"/>
      <c r="AB37" s="95"/>
      <c r="AC37" s="95"/>
      <c r="AD37" s="95"/>
      <c r="AE37" s="95"/>
      <c r="AF37" s="95"/>
      <c r="AG37" s="9"/>
      <c r="AH37" s="9"/>
      <c r="AI37" s="9"/>
      <c r="AJ37" s="9"/>
      <c r="AK37" s="9"/>
      <c r="AL37" s="9"/>
      <c r="AM37" s="9"/>
      <c r="AN37" s="9"/>
      <c r="AO37" s="9"/>
    </row>
    <row r="38" spans="1:41" ht="18.75" x14ac:dyDescent="0.3">
      <c r="A38" s="4"/>
      <c r="B38" s="127" t="s">
        <v>104</v>
      </c>
      <c r="C38" s="127"/>
      <c r="D38" s="127"/>
      <c r="E38" s="127"/>
      <c r="F38" s="127"/>
      <c r="G38" s="127"/>
      <c r="H38" s="127"/>
      <c r="I38" s="127"/>
      <c r="J38" s="127"/>
      <c r="K38" s="127"/>
      <c r="L38" s="127"/>
      <c r="M38" s="127"/>
      <c r="N38" s="127"/>
      <c r="O38" s="127"/>
      <c r="P38" s="127"/>
      <c r="Q38" s="127"/>
      <c r="R38" s="127"/>
      <c r="S38" s="127"/>
      <c r="T38" s="127"/>
      <c r="U38" s="4"/>
      <c r="V38" s="4"/>
      <c r="W38" s="4"/>
      <c r="X38" s="4"/>
      <c r="Y38" s="4"/>
      <c r="Z38" s="4"/>
      <c r="AA38" s="4"/>
      <c r="AB38" s="4"/>
      <c r="AC38" s="4"/>
      <c r="AD38" s="4"/>
      <c r="AE38" s="4"/>
      <c r="AF38" s="4"/>
      <c r="AG38" s="9"/>
      <c r="AH38" s="9"/>
      <c r="AI38" s="9"/>
      <c r="AJ38" s="9"/>
      <c r="AK38" s="9"/>
      <c r="AL38" s="9"/>
      <c r="AM38" s="9"/>
      <c r="AN38" s="9"/>
      <c r="AO38" s="9"/>
    </row>
    <row r="39" spans="1:41" ht="36" x14ac:dyDescent="0.25">
      <c r="A39" s="4"/>
      <c r="B39" s="5"/>
      <c r="C39" s="97" t="s">
        <v>58</v>
      </c>
      <c r="D39" s="97"/>
      <c r="E39" s="97"/>
      <c r="F39" s="97"/>
      <c r="G39" s="97"/>
      <c r="H39" s="97"/>
      <c r="I39" s="97"/>
      <c r="J39" s="97"/>
      <c r="K39" s="97"/>
      <c r="L39" s="97"/>
      <c r="M39" s="97"/>
      <c r="N39" s="97"/>
      <c r="O39" s="97"/>
      <c r="P39" s="97"/>
      <c r="Q39" s="97"/>
      <c r="R39" s="97"/>
      <c r="S39" s="97"/>
      <c r="T39" s="97"/>
      <c r="V39" s="4"/>
      <c r="W39" s="5"/>
      <c r="X39" s="97" t="s">
        <v>58</v>
      </c>
      <c r="Y39" s="97"/>
      <c r="Z39" s="97"/>
      <c r="AA39" s="97"/>
      <c r="AB39" s="97"/>
      <c r="AC39" s="97"/>
      <c r="AD39" s="97"/>
      <c r="AE39" s="97"/>
      <c r="AF39" s="97"/>
      <c r="AG39" s="97"/>
      <c r="AH39" s="97"/>
      <c r="AI39" s="97"/>
      <c r="AJ39" s="97"/>
      <c r="AK39" s="97"/>
      <c r="AL39" s="97"/>
      <c r="AM39" s="97"/>
      <c r="AN39" s="97"/>
      <c r="AO39" s="97"/>
    </row>
    <row r="40" spans="1:41" ht="15.75" x14ac:dyDescent="0.25">
      <c r="A40" s="4"/>
      <c r="B40" s="5"/>
      <c r="C40" s="98"/>
      <c r="D40" s="98"/>
      <c r="E40" s="98"/>
      <c r="F40" s="98"/>
      <c r="G40" s="98"/>
      <c r="H40" s="98"/>
      <c r="I40" s="98"/>
      <c r="J40" s="98"/>
      <c r="K40" s="98"/>
      <c r="L40" s="98"/>
      <c r="M40" s="98"/>
      <c r="N40" s="98"/>
      <c r="O40" s="98"/>
      <c r="P40" s="98"/>
      <c r="Q40" s="98"/>
      <c r="R40" s="98"/>
      <c r="S40" s="98"/>
      <c r="T40" s="98"/>
      <c r="U40" s="9"/>
      <c r="V40" s="4"/>
      <c r="W40" s="5"/>
      <c r="X40" s="98"/>
      <c r="Y40" s="98"/>
      <c r="Z40" s="98"/>
      <c r="AA40" s="98"/>
      <c r="AB40" s="98"/>
      <c r="AC40" s="98"/>
      <c r="AD40" s="98"/>
      <c r="AE40" s="98"/>
      <c r="AF40" s="98"/>
      <c r="AG40" s="98"/>
      <c r="AH40" s="98"/>
      <c r="AI40" s="98"/>
      <c r="AJ40" s="98"/>
      <c r="AK40" s="98"/>
      <c r="AL40" s="98"/>
      <c r="AM40" s="98"/>
      <c r="AN40" s="98"/>
      <c r="AO40" s="98"/>
    </row>
    <row r="41" spans="1:41" ht="15.75" x14ac:dyDescent="0.25">
      <c r="A41" s="6" t="s">
        <v>51</v>
      </c>
      <c r="B41" s="28"/>
      <c r="C41" s="122" t="s">
        <v>59</v>
      </c>
      <c r="D41" s="122"/>
      <c r="E41" s="122" t="s">
        <v>60</v>
      </c>
      <c r="F41" s="122"/>
      <c r="G41" s="122" t="s">
        <v>61</v>
      </c>
      <c r="H41" s="122"/>
      <c r="I41" s="122" t="s">
        <v>62</v>
      </c>
      <c r="J41" s="122"/>
      <c r="K41" s="122" t="s">
        <v>63</v>
      </c>
      <c r="L41" s="122"/>
      <c r="M41" s="122" t="s">
        <v>64</v>
      </c>
      <c r="N41" s="122"/>
      <c r="O41" s="122" t="s">
        <v>67</v>
      </c>
      <c r="P41" s="122"/>
      <c r="Q41" s="122" t="s">
        <v>68</v>
      </c>
      <c r="R41" s="122"/>
      <c r="S41" s="122" t="s">
        <v>69</v>
      </c>
      <c r="T41" s="122"/>
      <c r="U41" s="9"/>
      <c r="V41" s="6" t="s">
        <v>52</v>
      </c>
      <c r="W41" s="28"/>
      <c r="X41" s="122" t="s">
        <v>59</v>
      </c>
      <c r="Y41" s="122"/>
      <c r="Z41" s="122" t="s">
        <v>60</v>
      </c>
      <c r="AA41" s="122"/>
      <c r="AB41" s="122" t="s">
        <v>61</v>
      </c>
      <c r="AC41" s="122"/>
      <c r="AD41" s="122" t="s">
        <v>62</v>
      </c>
      <c r="AE41" s="122"/>
      <c r="AF41" s="122" t="s">
        <v>63</v>
      </c>
      <c r="AG41" s="122"/>
      <c r="AH41" s="122" t="s">
        <v>64</v>
      </c>
      <c r="AI41" s="122"/>
      <c r="AJ41" s="123" t="s">
        <v>54</v>
      </c>
      <c r="AK41" s="124"/>
      <c r="AL41" s="122" t="s">
        <v>55</v>
      </c>
      <c r="AM41" s="122"/>
      <c r="AN41" s="122" t="s">
        <v>38</v>
      </c>
      <c r="AO41" s="122"/>
    </row>
    <row r="42" spans="1:41" ht="15" customHeight="1" x14ac:dyDescent="0.25">
      <c r="A42" s="96" t="s">
        <v>0</v>
      </c>
      <c r="B42" s="122" t="s">
        <v>2</v>
      </c>
      <c r="C42" s="125"/>
      <c r="D42" s="15" t="s">
        <v>65</v>
      </c>
      <c r="E42" s="120">
        <f>IF(QUOTIENT(E6+E7,2)&lt;2,2-QUOTIENT(E6+E7,2),"")</f>
        <v>2</v>
      </c>
      <c r="F42" s="15" t="s">
        <v>65</v>
      </c>
      <c r="G42" s="120">
        <f>IF(QUOTIENT(G6+G7,2)&lt;2,2-QUOTIENT(G6+G7,2),"")</f>
        <v>1</v>
      </c>
      <c r="H42" s="15" t="s">
        <v>65</v>
      </c>
      <c r="I42" s="120" t="str">
        <f>IF(QUOTIENT(I6+I7,2)&lt;2,2-QUOTIENT(I6+I7,2),"")</f>
        <v/>
      </c>
      <c r="J42" s="15" t="s">
        <v>65</v>
      </c>
      <c r="K42" s="120" t="str">
        <f>IF(QUOTIENT(K6+K7,2)&lt;3,3-QUOTIENT(K6+K7,2),"")</f>
        <v/>
      </c>
      <c r="L42" s="15" t="s">
        <v>65</v>
      </c>
      <c r="M42" s="120" t="str">
        <f>IF(QUOTIENT(M6+M7,2)&lt;3,3-QUOTIENT(M6+M7,2),"")</f>
        <v/>
      </c>
      <c r="N42" s="15" t="s">
        <v>65</v>
      </c>
      <c r="O42" s="120">
        <f>IF(QUOTIENT(O6+O7,2)&lt;3,3-QUOTIENT(O6+O7,2),"")</f>
        <v>1</v>
      </c>
      <c r="P42" s="15" t="s">
        <v>65</v>
      </c>
      <c r="Q42" s="120" t="str">
        <f>IF(QUOTIENT(Q6+Q7,2)&lt;3,3-QUOTIENT(Q6+Q7,2),"")</f>
        <v/>
      </c>
      <c r="R42" s="15" t="s">
        <v>65</v>
      </c>
      <c r="S42" s="120" t="str">
        <f>IF(QUOTIENT(S6+S7,2)&lt;2,2-QUOTIENT(S6+S7,2),"")</f>
        <v/>
      </c>
      <c r="T42" s="15" t="s">
        <v>65</v>
      </c>
      <c r="U42" s="9"/>
      <c r="V42" s="96" t="s">
        <v>0</v>
      </c>
      <c r="W42" s="122" t="s">
        <v>3</v>
      </c>
      <c r="X42" s="11"/>
      <c r="Y42" s="15" t="s">
        <v>65</v>
      </c>
      <c r="Z42" s="11"/>
      <c r="AA42" s="15" t="s">
        <v>65</v>
      </c>
      <c r="AB42" s="11"/>
      <c r="AC42" s="15" t="s">
        <v>65</v>
      </c>
      <c r="AD42" s="12"/>
      <c r="AE42" s="15" t="s">
        <v>65</v>
      </c>
      <c r="AF42" s="12"/>
      <c r="AG42" s="15" t="s">
        <v>65</v>
      </c>
      <c r="AH42" s="12"/>
      <c r="AI42" s="15" t="s">
        <v>65</v>
      </c>
      <c r="AJ42" s="12"/>
      <c r="AK42" s="15" t="s">
        <v>65</v>
      </c>
      <c r="AL42" s="18"/>
      <c r="AM42" s="15" t="s">
        <v>65</v>
      </c>
      <c r="AN42" s="18"/>
      <c r="AO42" s="15" t="s">
        <v>65</v>
      </c>
    </row>
    <row r="43" spans="1:41" ht="15" customHeight="1" x14ac:dyDescent="0.25">
      <c r="A43" s="96"/>
      <c r="B43" s="122"/>
      <c r="C43" s="126"/>
      <c r="D43" s="16" t="s">
        <v>66</v>
      </c>
      <c r="E43" s="121"/>
      <c r="F43" s="16" t="s">
        <v>66</v>
      </c>
      <c r="G43" s="121"/>
      <c r="H43" s="16" t="s">
        <v>66</v>
      </c>
      <c r="I43" s="121"/>
      <c r="J43" s="16" t="s">
        <v>66</v>
      </c>
      <c r="K43" s="121"/>
      <c r="L43" s="16" t="s">
        <v>66</v>
      </c>
      <c r="M43" s="121"/>
      <c r="N43" s="16" t="s">
        <v>66</v>
      </c>
      <c r="O43" s="121"/>
      <c r="P43" s="16" t="s">
        <v>66</v>
      </c>
      <c r="Q43" s="121"/>
      <c r="R43" s="16" t="s">
        <v>66</v>
      </c>
      <c r="S43" s="121"/>
      <c r="T43" s="16" t="s">
        <v>66</v>
      </c>
      <c r="U43" s="9"/>
      <c r="V43" s="96"/>
      <c r="W43" s="122"/>
      <c r="X43" s="13"/>
      <c r="Y43" s="16" t="s">
        <v>66</v>
      </c>
      <c r="Z43" s="13"/>
      <c r="AA43" s="16" t="s">
        <v>66</v>
      </c>
      <c r="AB43" s="13"/>
      <c r="AC43" s="16" t="s">
        <v>66</v>
      </c>
      <c r="AD43" s="14"/>
      <c r="AE43" s="16" t="s">
        <v>66</v>
      </c>
      <c r="AF43" s="14"/>
      <c r="AG43" s="16" t="s">
        <v>66</v>
      </c>
      <c r="AH43" s="14"/>
      <c r="AI43" s="16" t="s">
        <v>66</v>
      </c>
      <c r="AJ43" s="14"/>
      <c r="AK43" s="16" t="s">
        <v>66</v>
      </c>
      <c r="AL43" s="19"/>
      <c r="AM43" s="16" t="s">
        <v>66</v>
      </c>
      <c r="AN43" s="19"/>
      <c r="AO43" s="16" t="s">
        <v>66</v>
      </c>
    </row>
    <row r="44" spans="1:41" ht="15" customHeight="1" x14ac:dyDescent="0.25">
      <c r="A44" s="96"/>
      <c r="B44" s="122" t="s">
        <v>29</v>
      </c>
      <c r="C44" s="125"/>
      <c r="D44" s="15" t="s">
        <v>65</v>
      </c>
      <c r="E44" s="120" t="str">
        <f>IF(QUOTIENT(E8+E9,2)&lt;2,2-QUOTIENT(E8+E9,2),"")</f>
        <v/>
      </c>
      <c r="F44" s="15" t="s">
        <v>65</v>
      </c>
      <c r="G44" s="120">
        <f>IF(QUOTIENT(G8+G9,2)&lt;2,2-QUOTIENT(G8+G9,2),"")</f>
        <v>1</v>
      </c>
      <c r="H44" s="15" t="s">
        <v>65</v>
      </c>
      <c r="I44" s="120">
        <f>IF(QUOTIENT(I8+I9,2)&lt;2,2-QUOTIENT(I8+I9,2),"")</f>
        <v>1</v>
      </c>
      <c r="J44" s="15" t="s">
        <v>65</v>
      </c>
      <c r="K44" s="120">
        <f>IF(QUOTIENT(K8+K9,2)&lt;2,2-QUOTIENT(K8+K9,2),"")</f>
        <v>2</v>
      </c>
      <c r="L44" s="15" t="s">
        <v>65</v>
      </c>
      <c r="M44" s="120">
        <f>IF(QUOTIENT(M8+M9,2)&lt;2,2-QUOTIENT(M8+M9,2),"")</f>
        <v>1</v>
      </c>
      <c r="N44" s="15" t="s">
        <v>65</v>
      </c>
      <c r="O44" s="120" t="str">
        <f>IF(QUOTIENT(O8+O9,2)&lt;2,2-QUOTIENT(O8+O9,2),"")</f>
        <v/>
      </c>
      <c r="P44" s="15" t="s">
        <v>65</v>
      </c>
      <c r="Q44" s="120" t="str">
        <f>IF(QUOTIENT(Q8+Q9,2)&lt;2,2-QUOTIENT(Q8+Q9,2),"")</f>
        <v/>
      </c>
      <c r="R44" s="15" t="s">
        <v>65</v>
      </c>
      <c r="S44" s="120" t="str">
        <f>IF(QUOTIENT(S8+S9,2)&lt;2,2-QUOTIENT(S8+S9,2),"")</f>
        <v/>
      </c>
      <c r="T44" s="15" t="s">
        <v>65</v>
      </c>
      <c r="U44" s="9"/>
      <c r="V44" s="96"/>
      <c r="W44" s="122" t="s">
        <v>4</v>
      </c>
      <c r="X44" s="11"/>
      <c r="Y44" s="15" t="s">
        <v>65</v>
      </c>
      <c r="Z44" s="11"/>
      <c r="AA44" s="15" t="s">
        <v>65</v>
      </c>
      <c r="AB44" s="11"/>
      <c r="AC44" s="15" t="s">
        <v>65</v>
      </c>
      <c r="AD44" s="12"/>
      <c r="AE44" s="15" t="s">
        <v>65</v>
      </c>
      <c r="AF44" s="12"/>
      <c r="AG44" s="15" t="s">
        <v>65</v>
      </c>
      <c r="AH44" s="12"/>
      <c r="AI44" s="15" t="s">
        <v>65</v>
      </c>
      <c r="AJ44" s="12"/>
      <c r="AK44" s="15" t="s">
        <v>65</v>
      </c>
      <c r="AL44" s="18"/>
      <c r="AM44" s="15" t="s">
        <v>65</v>
      </c>
      <c r="AN44" s="18"/>
      <c r="AO44" s="15" t="s">
        <v>65</v>
      </c>
    </row>
    <row r="45" spans="1:41" ht="15" customHeight="1" x14ac:dyDescent="0.25">
      <c r="A45" s="96"/>
      <c r="B45" s="122"/>
      <c r="C45" s="126"/>
      <c r="D45" s="16" t="s">
        <v>66</v>
      </c>
      <c r="E45" s="121"/>
      <c r="F45" s="16" t="s">
        <v>66</v>
      </c>
      <c r="G45" s="121"/>
      <c r="H45" s="16" t="s">
        <v>66</v>
      </c>
      <c r="I45" s="121"/>
      <c r="J45" s="16" t="s">
        <v>66</v>
      </c>
      <c r="K45" s="121"/>
      <c r="L45" s="16" t="s">
        <v>66</v>
      </c>
      <c r="M45" s="121"/>
      <c r="N45" s="16" t="s">
        <v>66</v>
      </c>
      <c r="O45" s="121"/>
      <c r="P45" s="16" t="s">
        <v>66</v>
      </c>
      <c r="Q45" s="121"/>
      <c r="R45" s="16" t="s">
        <v>66</v>
      </c>
      <c r="S45" s="121"/>
      <c r="T45" s="16" t="s">
        <v>66</v>
      </c>
      <c r="U45" s="9"/>
      <c r="V45" s="96"/>
      <c r="W45" s="122"/>
      <c r="X45" s="13"/>
      <c r="Y45" s="16" t="s">
        <v>66</v>
      </c>
      <c r="Z45" s="13"/>
      <c r="AA45" s="16" t="s">
        <v>66</v>
      </c>
      <c r="AB45" s="13"/>
      <c r="AC45" s="16" t="s">
        <v>66</v>
      </c>
      <c r="AD45" s="14"/>
      <c r="AE45" s="16" t="s">
        <v>66</v>
      </c>
      <c r="AF45" s="14"/>
      <c r="AG45" s="16" t="s">
        <v>66</v>
      </c>
      <c r="AH45" s="14"/>
      <c r="AI45" s="16" t="s">
        <v>66</v>
      </c>
      <c r="AJ45" s="14"/>
      <c r="AK45" s="16" t="s">
        <v>66</v>
      </c>
      <c r="AL45" s="19"/>
      <c r="AM45" s="16" t="s">
        <v>66</v>
      </c>
      <c r="AN45" s="19"/>
      <c r="AO45" s="16" t="s">
        <v>66</v>
      </c>
    </row>
    <row r="46" spans="1:41" ht="15" customHeight="1" x14ac:dyDescent="0.25">
      <c r="A46" s="96"/>
      <c r="B46" s="122" t="s">
        <v>30</v>
      </c>
      <c r="C46" s="125"/>
      <c r="D46" s="15" t="s">
        <v>65</v>
      </c>
      <c r="E46" s="120" t="str">
        <f>IF(QUOTIENT(E10+E11,2)&lt;2,2-QUOTIENT(E10+E11,2),"")</f>
        <v/>
      </c>
      <c r="F46" s="15" t="s">
        <v>65</v>
      </c>
      <c r="G46" s="120">
        <f>IF(QUOTIENT(G10+G11,2)&lt;2,2-QUOTIENT(G10+G11,2),"")</f>
        <v>1</v>
      </c>
      <c r="H46" s="15" t="s">
        <v>65</v>
      </c>
      <c r="I46" s="120">
        <f>IF(QUOTIENT(I10+I11,2)&lt;2,2-QUOTIENT(I10+I11,2),"")</f>
        <v>1</v>
      </c>
      <c r="J46" s="15" t="s">
        <v>65</v>
      </c>
      <c r="K46" s="120">
        <f>IF(QUOTIENT(K10+K11,2)&lt;2,2-QUOTIENT(K10+K11,2),"")</f>
        <v>2</v>
      </c>
      <c r="L46" s="15" t="s">
        <v>65</v>
      </c>
      <c r="M46" s="120">
        <f>IF(QUOTIENT(M10+M11,2)&lt;2,2-QUOTIENT(M10+M11,2),"")</f>
        <v>2</v>
      </c>
      <c r="N46" s="15" t="s">
        <v>65</v>
      </c>
      <c r="O46" s="120" t="str">
        <f>IF(QUOTIENT(O10+O11,2)&lt;2,2-QUOTIENT(O10+O11,2),"")</f>
        <v/>
      </c>
      <c r="P46" s="15" t="s">
        <v>65</v>
      </c>
      <c r="Q46" s="120" t="str">
        <f>IF(QUOTIENT(Q10+Q11,2)&lt;2,2-QUOTIENT(Q10+Q11,2),"")</f>
        <v/>
      </c>
      <c r="R46" s="15" t="s">
        <v>65</v>
      </c>
      <c r="S46" s="120" t="str">
        <f>IF(QUOTIENT(S10+S11,2)&lt;2,2-QUOTIENT(S10+S11,2),"")</f>
        <v/>
      </c>
      <c r="T46" s="15" t="s">
        <v>65</v>
      </c>
      <c r="U46" s="9"/>
      <c r="V46" s="96"/>
      <c r="W46" s="122" t="s">
        <v>5</v>
      </c>
      <c r="X46" s="11"/>
      <c r="Y46" s="15" t="s">
        <v>65</v>
      </c>
      <c r="Z46" s="11"/>
      <c r="AA46" s="15" t="s">
        <v>65</v>
      </c>
      <c r="AB46" s="11"/>
      <c r="AC46" s="15" t="s">
        <v>65</v>
      </c>
      <c r="AD46" s="12"/>
      <c r="AE46" s="15" t="s">
        <v>65</v>
      </c>
      <c r="AF46" s="12"/>
      <c r="AG46" s="15" t="s">
        <v>65</v>
      </c>
      <c r="AH46" s="12"/>
      <c r="AI46" s="15" t="s">
        <v>65</v>
      </c>
      <c r="AJ46" s="12"/>
      <c r="AK46" s="15" t="s">
        <v>65</v>
      </c>
      <c r="AL46" s="18"/>
      <c r="AM46" s="15" t="s">
        <v>65</v>
      </c>
      <c r="AN46" s="18"/>
      <c r="AO46" s="15" t="s">
        <v>65</v>
      </c>
    </row>
    <row r="47" spans="1:41" ht="15" customHeight="1" x14ac:dyDescent="0.25">
      <c r="A47" s="96"/>
      <c r="B47" s="122"/>
      <c r="C47" s="126"/>
      <c r="D47" s="16" t="s">
        <v>66</v>
      </c>
      <c r="E47" s="121"/>
      <c r="F47" s="16" t="s">
        <v>66</v>
      </c>
      <c r="G47" s="121"/>
      <c r="H47" s="16" t="s">
        <v>66</v>
      </c>
      <c r="I47" s="121"/>
      <c r="J47" s="16" t="s">
        <v>66</v>
      </c>
      <c r="K47" s="121"/>
      <c r="L47" s="16" t="s">
        <v>66</v>
      </c>
      <c r="M47" s="121"/>
      <c r="N47" s="16" t="s">
        <v>66</v>
      </c>
      <c r="O47" s="121"/>
      <c r="P47" s="16" t="s">
        <v>66</v>
      </c>
      <c r="Q47" s="121"/>
      <c r="R47" s="16" t="s">
        <v>66</v>
      </c>
      <c r="S47" s="121"/>
      <c r="T47" s="16" t="s">
        <v>66</v>
      </c>
      <c r="U47" s="9"/>
      <c r="V47" s="96"/>
      <c r="W47" s="122"/>
      <c r="X47" s="13"/>
      <c r="Y47" s="16" t="s">
        <v>66</v>
      </c>
      <c r="Z47" s="13"/>
      <c r="AA47" s="16" t="s">
        <v>66</v>
      </c>
      <c r="AB47" s="13"/>
      <c r="AC47" s="16" t="s">
        <v>66</v>
      </c>
      <c r="AD47" s="14"/>
      <c r="AE47" s="16" t="s">
        <v>66</v>
      </c>
      <c r="AF47" s="14"/>
      <c r="AG47" s="16" t="s">
        <v>66</v>
      </c>
      <c r="AH47" s="14"/>
      <c r="AI47" s="16" t="s">
        <v>66</v>
      </c>
      <c r="AJ47" s="14"/>
      <c r="AK47" s="16" t="s">
        <v>66</v>
      </c>
      <c r="AL47" s="19"/>
      <c r="AM47" s="16" t="s">
        <v>66</v>
      </c>
      <c r="AN47" s="19"/>
      <c r="AO47" s="16" t="s">
        <v>66</v>
      </c>
    </row>
    <row r="48" spans="1:41" ht="15" customHeight="1" x14ac:dyDescent="0.25">
      <c r="A48" s="96"/>
      <c r="B48" s="122" t="s">
        <v>31</v>
      </c>
      <c r="C48" s="125"/>
      <c r="D48" s="15" t="s">
        <v>65</v>
      </c>
      <c r="E48" s="120" t="str">
        <f>IF(QUOTIENT(E12+E13,2)&lt;2,2-QUOTIENT(E12+E13,2),"")</f>
        <v/>
      </c>
      <c r="F48" s="15" t="s">
        <v>65</v>
      </c>
      <c r="G48" s="120" t="str">
        <f>IF(QUOTIENT(G12+G13,2)&lt;2,2-QUOTIENT(G12+G13,2),"")</f>
        <v/>
      </c>
      <c r="H48" s="15" t="s">
        <v>65</v>
      </c>
      <c r="I48" s="120">
        <f>IF(QUOTIENT(I12+I13,2)&lt;2,2-QUOTIENT(I12+I13,2),"")</f>
        <v>1</v>
      </c>
      <c r="J48" s="15" t="s">
        <v>65</v>
      </c>
      <c r="K48" s="120">
        <f>IF(QUOTIENT(K12+K13,2)&lt;2,2-QUOTIENT(K12+K13,2),"")</f>
        <v>2</v>
      </c>
      <c r="L48" s="15" t="s">
        <v>65</v>
      </c>
      <c r="M48" s="120">
        <f>IF(QUOTIENT(M12+M13,2)&lt;2,2-QUOTIENT(M12+M13,2),"")</f>
        <v>1</v>
      </c>
      <c r="N48" s="15" t="s">
        <v>65</v>
      </c>
      <c r="O48" s="120" t="str">
        <f>IF(QUOTIENT(O12+O13,2)&lt;2,2-QUOTIENT(O12+O13,2),"")</f>
        <v/>
      </c>
      <c r="P48" s="15" t="s">
        <v>65</v>
      </c>
      <c r="Q48" s="120" t="str">
        <f>IF(QUOTIENT(Q12+Q13,2)&lt;2,2-QUOTIENT(Q12+Q13,2),"")</f>
        <v/>
      </c>
      <c r="R48" s="15" t="s">
        <v>65</v>
      </c>
      <c r="S48" s="120" t="str">
        <f>IF(QUOTIENT(S12+S13,2)&lt;2,2-QUOTIENT(S12+S13,2),"")</f>
        <v/>
      </c>
      <c r="T48" s="15" t="s">
        <v>65</v>
      </c>
      <c r="U48" s="9"/>
      <c r="V48" s="96"/>
      <c r="W48" s="122" t="s">
        <v>6</v>
      </c>
      <c r="X48" s="11"/>
      <c r="Y48" s="15" t="s">
        <v>65</v>
      </c>
      <c r="Z48" s="11"/>
      <c r="AA48" s="15" t="s">
        <v>65</v>
      </c>
      <c r="AB48" s="11"/>
      <c r="AC48" s="15" t="s">
        <v>65</v>
      </c>
      <c r="AD48" s="12"/>
      <c r="AE48" s="15" t="s">
        <v>65</v>
      </c>
      <c r="AF48" s="12"/>
      <c r="AG48" s="15" t="s">
        <v>65</v>
      </c>
      <c r="AH48" s="12"/>
      <c r="AI48" s="15" t="s">
        <v>65</v>
      </c>
      <c r="AJ48" s="12"/>
      <c r="AK48" s="15" t="s">
        <v>65</v>
      </c>
      <c r="AL48" s="18"/>
      <c r="AM48" s="15" t="s">
        <v>65</v>
      </c>
      <c r="AN48" s="18"/>
      <c r="AO48" s="15" t="s">
        <v>65</v>
      </c>
    </row>
    <row r="49" spans="1:43" ht="15" customHeight="1" x14ac:dyDescent="0.25">
      <c r="A49" s="96"/>
      <c r="B49" s="122"/>
      <c r="C49" s="126"/>
      <c r="D49" s="16" t="s">
        <v>66</v>
      </c>
      <c r="E49" s="121"/>
      <c r="F49" s="16" t="s">
        <v>66</v>
      </c>
      <c r="G49" s="121"/>
      <c r="H49" s="16" t="s">
        <v>66</v>
      </c>
      <c r="I49" s="121"/>
      <c r="J49" s="16" t="s">
        <v>66</v>
      </c>
      <c r="K49" s="121"/>
      <c r="L49" s="16" t="s">
        <v>66</v>
      </c>
      <c r="M49" s="121"/>
      <c r="N49" s="16" t="s">
        <v>66</v>
      </c>
      <c r="O49" s="121"/>
      <c r="P49" s="16" t="s">
        <v>66</v>
      </c>
      <c r="Q49" s="121"/>
      <c r="R49" s="16" t="s">
        <v>66</v>
      </c>
      <c r="S49" s="121"/>
      <c r="T49" s="16" t="s">
        <v>66</v>
      </c>
      <c r="U49" s="9"/>
      <c r="V49" s="96"/>
      <c r="W49" s="122"/>
      <c r="X49" s="13"/>
      <c r="Y49" s="16" t="s">
        <v>66</v>
      </c>
      <c r="Z49" s="13"/>
      <c r="AA49" s="16" t="s">
        <v>66</v>
      </c>
      <c r="AB49" s="13"/>
      <c r="AC49" s="16" t="s">
        <v>66</v>
      </c>
      <c r="AD49" s="14"/>
      <c r="AE49" s="16" t="s">
        <v>66</v>
      </c>
      <c r="AF49" s="14"/>
      <c r="AG49" s="16" t="s">
        <v>66</v>
      </c>
      <c r="AH49" s="14"/>
      <c r="AI49" s="16" t="s">
        <v>66</v>
      </c>
      <c r="AJ49" s="14"/>
      <c r="AK49" s="16" t="s">
        <v>66</v>
      </c>
      <c r="AL49" s="19"/>
      <c r="AM49" s="16" t="s">
        <v>66</v>
      </c>
      <c r="AN49" s="19"/>
      <c r="AO49" s="16" t="s">
        <v>66</v>
      </c>
    </row>
    <row r="50" spans="1:43" ht="15" customHeight="1" x14ac:dyDescent="0.25">
      <c r="A50" s="96"/>
      <c r="B50" s="122" t="s">
        <v>32</v>
      </c>
      <c r="C50" s="125"/>
      <c r="D50" s="15" t="s">
        <v>65</v>
      </c>
      <c r="E50" s="120" t="str">
        <f>IF(QUOTIENT(E14+E15,2)&lt;2,2-QUOTIENT(E14+E15,2),"")</f>
        <v/>
      </c>
      <c r="F50" s="15" t="s">
        <v>65</v>
      </c>
      <c r="G50" s="120">
        <f>IF(QUOTIENT(G14+G15,2)&lt;2,2-QUOTIENT(G14+G15,2),"")</f>
        <v>2</v>
      </c>
      <c r="H50" s="15" t="s">
        <v>65</v>
      </c>
      <c r="I50" s="120">
        <f>IF(QUOTIENT(I14+I15,2)&lt;2,2-QUOTIENT(I14+I15,2),"")</f>
        <v>1</v>
      </c>
      <c r="J50" s="15" t="s">
        <v>65</v>
      </c>
      <c r="K50" s="120">
        <f>IF(QUOTIENT(K14+K15,2)&lt;2,2-QUOTIENT(K14+K15,2),"")</f>
        <v>2</v>
      </c>
      <c r="L50" s="15" t="s">
        <v>65</v>
      </c>
      <c r="M50" s="120" t="str">
        <f>IF(QUOTIENT(M14+M15,2)&lt;2,2-QUOTIENT(M14+M15,2),"")</f>
        <v/>
      </c>
      <c r="N50" s="15" t="s">
        <v>65</v>
      </c>
      <c r="O50" s="120" t="str">
        <f>IF(QUOTIENT(O14+O15,2)&lt;2,2-QUOTIENT(O14+O15,2),"")</f>
        <v/>
      </c>
      <c r="P50" s="15" t="s">
        <v>65</v>
      </c>
      <c r="Q50" s="120" t="str">
        <f>IF(QUOTIENT(Q14+Q15,2)&lt;2,2-QUOTIENT(Q14+Q15,2),"")</f>
        <v/>
      </c>
      <c r="R50" s="15" t="s">
        <v>65</v>
      </c>
      <c r="S50" s="120" t="str">
        <f>IF(QUOTIENT(S14+S15,2)&lt;2,2-QUOTIENT(S14+S15,2),"")</f>
        <v/>
      </c>
      <c r="T50" s="15" t="s">
        <v>65</v>
      </c>
      <c r="U50" s="9"/>
      <c r="V50" s="96"/>
      <c r="W50" s="122" t="s">
        <v>7</v>
      </c>
      <c r="X50" s="11"/>
      <c r="Y50" s="15" t="s">
        <v>65</v>
      </c>
      <c r="Z50" s="11"/>
      <c r="AA50" s="15" t="s">
        <v>65</v>
      </c>
      <c r="AB50" s="11"/>
      <c r="AC50" s="15" t="s">
        <v>65</v>
      </c>
      <c r="AD50" s="12"/>
      <c r="AE50" s="15" t="s">
        <v>65</v>
      </c>
      <c r="AF50" s="12"/>
      <c r="AG50" s="15" t="s">
        <v>65</v>
      </c>
      <c r="AH50" s="12"/>
      <c r="AI50" s="15" t="s">
        <v>65</v>
      </c>
      <c r="AJ50" s="12"/>
      <c r="AK50" s="15" t="s">
        <v>65</v>
      </c>
      <c r="AL50" s="18"/>
      <c r="AM50" s="15" t="s">
        <v>65</v>
      </c>
      <c r="AN50" s="18"/>
      <c r="AO50" s="15" t="s">
        <v>65</v>
      </c>
    </row>
    <row r="51" spans="1:43" ht="15" customHeight="1" x14ac:dyDescent="0.25">
      <c r="A51" s="96"/>
      <c r="B51" s="122"/>
      <c r="C51" s="126"/>
      <c r="D51" s="16" t="s">
        <v>66</v>
      </c>
      <c r="E51" s="121"/>
      <c r="F51" s="16" t="s">
        <v>66</v>
      </c>
      <c r="G51" s="121"/>
      <c r="H51" s="16" t="s">
        <v>66</v>
      </c>
      <c r="I51" s="121"/>
      <c r="J51" s="16" t="s">
        <v>66</v>
      </c>
      <c r="K51" s="121"/>
      <c r="L51" s="16" t="s">
        <v>66</v>
      </c>
      <c r="M51" s="121"/>
      <c r="N51" s="16" t="s">
        <v>66</v>
      </c>
      <c r="O51" s="121"/>
      <c r="P51" s="16" t="s">
        <v>66</v>
      </c>
      <c r="Q51" s="121"/>
      <c r="R51" s="16" t="s">
        <v>66</v>
      </c>
      <c r="S51" s="121"/>
      <c r="T51" s="16" t="s">
        <v>66</v>
      </c>
      <c r="U51" s="9"/>
      <c r="V51" s="96"/>
      <c r="W51" s="122"/>
      <c r="X51" s="13"/>
      <c r="Y51" s="16" t="s">
        <v>66</v>
      </c>
      <c r="Z51" s="13"/>
      <c r="AA51" s="16" t="s">
        <v>66</v>
      </c>
      <c r="AB51" s="13"/>
      <c r="AC51" s="16" t="s">
        <v>66</v>
      </c>
      <c r="AD51" s="14"/>
      <c r="AE51" s="16" t="s">
        <v>66</v>
      </c>
      <c r="AF51" s="14"/>
      <c r="AG51" s="16" t="s">
        <v>66</v>
      </c>
      <c r="AH51" s="14"/>
      <c r="AI51" s="16" t="s">
        <v>66</v>
      </c>
      <c r="AJ51" s="14"/>
      <c r="AK51" s="16" t="s">
        <v>66</v>
      </c>
      <c r="AL51" s="19"/>
      <c r="AM51" s="16" t="s">
        <v>66</v>
      </c>
      <c r="AN51" s="19"/>
      <c r="AO51" s="16" t="s">
        <v>66</v>
      </c>
    </row>
    <row r="52" spans="1:43" ht="15" customHeight="1" x14ac:dyDescent="0.25">
      <c r="A52" s="96"/>
      <c r="B52" s="122" t="s">
        <v>33</v>
      </c>
      <c r="C52" s="125"/>
      <c r="D52" s="15" t="s">
        <v>65</v>
      </c>
      <c r="E52" s="120" t="str">
        <f>IF(QUOTIENT(E16+E17,2)&lt;2,2-QUOTIENT(E16+E17,2),"")</f>
        <v/>
      </c>
      <c r="F52" s="15" t="s">
        <v>65</v>
      </c>
      <c r="G52" s="120" t="str">
        <f>IF(QUOTIENT(G16+G17,2)&lt;2,2-QUOTIENT(G16+G17,2),"")</f>
        <v/>
      </c>
      <c r="H52" s="15" t="s">
        <v>65</v>
      </c>
      <c r="I52" s="120" t="str">
        <f>IF(QUOTIENT(I16+I17,2)&lt;2,2-QUOTIENT(I16+I17,2),"")</f>
        <v/>
      </c>
      <c r="J52" s="15" t="s">
        <v>65</v>
      </c>
      <c r="K52" s="120" t="str">
        <f>IF(QUOTIENT(K16+K17,2)&lt;2,2-QUOTIENT(K16+K17,2),"")</f>
        <v/>
      </c>
      <c r="L52" s="15" t="s">
        <v>65</v>
      </c>
      <c r="M52" s="120" t="str">
        <f>IF(QUOTIENT(M16+M17,2)&lt;2,2-QUOTIENT(M16+M17,2),"")</f>
        <v/>
      </c>
      <c r="N52" s="15" t="s">
        <v>65</v>
      </c>
      <c r="O52" s="120" t="str">
        <f>IF(QUOTIENT(O16+O17,2)&lt;2,2-QUOTIENT(O16+O17,2),"")</f>
        <v/>
      </c>
      <c r="P52" s="15" t="s">
        <v>65</v>
      </c>
      <c r="Q52" s="120" t="str">
        <f>IF(QUOTIENT(Q16+Q17,2)&lt;2,2-QUOTIENT(Q16+Q17,2),"")</f>
        <v/>
      </c>
      <c r="R52" s="15" t="s">
        <v>65</v>
      </c>
      <c r="S52" s="120" t="str">
        <f>IF(QUOTIENT(S16+S17,2)&lt;2,2-QUOTIENT(S16+S17,2),"")</f>
        <v/>
      </c>
      <c r="T52" s="15" t="s">
        <v>65</v>
      </c>
      <c r="U52" s="9"/>
      <c r="V52" s="96"/>
      <c r="W52" s="122" t="s">
        <v>8</v>
      </c>
      <c r="X52" s="11"/>
      <c r="Y52" s="15" t="s">
        <v>65</v>
      </c>
      <c r="Z52" s="11"/>
      <c r="AA52" s="15" t="s">
        <v>65</v>
      </c>
      <c r="AB52" s="11"/>
      <c r="AC52" s="15" t="s">
        <v>65</v>
      </c>
      <c r="AD52" s="12"/>
      <c r="AE52" s="15" t="s">
        <v>65</v>
      </c>
      <c r="AF52" s="12"/>
      <c r="AG52" s="15" t="s">
        <v>65</v>
      </c>
      <c r="AH52" s="12"/>
      <c r="AI52" s="15" t="s">
        <v>65</v>
      </c>
      <c r="AJ52" s="12"/>
      <c r="AK52" s="15" t="s">
        <v>65</v>
      </c>
      <c r="AL52" s="18"/>
      <c r="AM52" s="15" t="s">
        <v>65</v>
      </c>
      <c r="AN52" s="18"/>
      <c r="AO52" s="15" t="s">
        <v>65</v>
      </c>
    </row>
    <row r="53" spans="1:43" ht="15" customHeight="1" x14ac:dyDescent="0.25">
      <c r="A53" s="96"/>
      <c r="B53" s="122"/>
      <c r="C53" s="126"/>
      <c r="D53" s="16" t="s">
        <v>66</v>
      </c>
      <c r="E53" s="121"/>
      <c r="F53" s="16" t="s">
        <v>66</v>
      </c>
      <c r="G53" s="121"/>
      <c r="H53" s="16" t="s">
        <v>66</v>
      </c>
      <c r="I53" s="121"/>
      <c r="J53" s="16" t="s">
        <v>66</v>
      </c>
      <c r="K53" s="121"/>
      <c r="L53" s="16" t="s">
        <v>66</v>
      </c>
      <c r="M53" s="121"/>
      <c r="N53" s="16" t="s">
        <v>66</v>
      </c>
      <c r="O53" s="121"/>
      <c r="P53" s="16" t="s">
        <v>66</v>
      </c>
      <c r="Q53" s="121"/>
      <c r="R53" s="16" t="s">
        <v>66</v>
      </c>
      <c r="S53" s="121"/>
      <c r="T53" s="16" t="s">
        <v>66</v>
      </c>
      <c r="U53" s="9"/>
      <c r="V53" s="96"/>
      <c r="W53" s="122"/>
      <c r="X53" s="13"/>
      <c r="Y53" s="16" t="s">
        <v>66</v>
      </c>
      <c r="Z53" s="13"/>
      <c r="AA53" s="16" t="s">
        <v>66</v>
      </c>
      <c r="AB53" s="13"/>
      <c r="AC53" s="16" t="s">
        <v>66</v>
      </c>
      <c r="AD53" s="14"/>
      <c r="AE53" s="16" t="s">
        <v>66</v>
      </c>
      <c r="AF53" s="14"/>
      <c r="AG53" s="16" t="s">
        <v>66</v>
      </c>
      <c r="AH53" s="14"/>
      <c r="AI53" s="16" t="s">
        <v>66</v>
      </c>
      <c r="AJ53" s="14"/>
      <c r="AK53" s="16" t="s">
        <v>66</v>
      </c>
      <c r="AL53" s="19"/>
      <c r="AM53" s="16" t="s">
        <v>66</v>
      </c>
      <c r="AN53" s="19"/>
      <c r="AO53" s="16" t="s">
        <v>66</v>
      </c>
    </row>
    <row r="54" spans="1:43" ht="15" customHeight="1" x14ac:dyDescent="0.25">
      <c r="A54" s="96"/>
      <c r="B54" s="122" t="s">
        <v>34</v>
      </c>
      <c r="C54" s="125"/>
      <c r="D54" s="15" t="s">
        <v>65</v>
      </c>
      <c r="E54" s="120" t="str">
        <f>IF(QUOTIENT(E18+E19,2)&lt;2,2-QUOTIENT(E18+E19,2),"")</f>
        <v/>
      </c>
      <c r="F54" s="15" t="s">
        <v>65</v>
      </c>
      <c r="G54" s="120" t="str">
        <f>IF(QUOTIENT(G18+G19,2)&lt;2,2-QUOTIENT(G18+G19,2),"")</f>
        <v/>
      </c>
      <c r="H54" s="15" t="s">
        <v>65</v>
      </c>
      <c r="I54" s="120">
        <f>IF(QUOTIENT(I18+I19,2)&lt;2,2-QUOTIENT(I18+I19,2),"")</f>
        <v>1</v>
      </c>
      <c r="J54" s="15" t="s">
        <v>65</v>
      </c>
      <c r="K54" s="120">
        <f>IF(QUOTIENT(K18+K19,2)&lt;2,2-QUOTIENT(K18+K19,2),"")</f>
        <v>1</v>
      </c>
      <c r="L54" s="15" t="s">
        <v>65</v>
      </c>
      <c r="M54" s="120" t="str">
        <f>IF(QUOTIENT(M18+M19,2)&lt;2,2-QUOTIENT(M18+M19,2),"")</f>
        <v/>
      </c>
      <c r="N54" s="15" t="s">
        <v>65</v>
      </c>
      <c r="O54" s="120" t="str">
        <f>IF(QUOTIENT(O18+O19,2)&lt;2,2-QUOTIENT(O18+O19,2),"")</f>
        <v/>
      </c>
      <c r="P54" s="15" t="s">
        <v>65</v>
      </c>
      <c r="Q54" s="120" t="str">
        <f>IF(QUOTIENT(Q18+Q19,2)&lt;2,2-QUOTIENT(Q18+Q19,2),"")</f>
        <v/>
      </c>
      <c r="R54" s="15" t="s">
        <v>65</v>
      </c>
      <c r="S54" s="120" t="str">
        <f>IF(QUOTIENT(S18+S19,2)&lt;2,2-QUOTIENT(S18+S19,2),"")</f>
        <v/>
      </c>
      <c r="T54" s="15" t="s">
        <v>65</v>
      </c>
      <c r="U54" s="9"/>
      <c r="V54" s="96"/>
      <c r="W54" s="122" t="s">
        <v>9</v>
      </c>
      <c r="X54" s="11"/>
      <c r="Y54" s="15" t="s">
        <v>65</v>
      </c>
      <c r="Z54" s="11"/>
      <c r="AA54" s="15" t="s">
        <v>65</v>
      </c>
      <c r="AB54" s="11"/>
      <c r="AC54" s="15" t="s">
        <v>65</v>
      </c>
      <c r="AD54" s="12"/>
      <c r="AE54" s="15" t="s">
        <v>65</v>
      </c>
      <c r="AF54" s="12"/>
      <c r="AG54" s="15" t="s">
        <v>65</v>
      </c>
      <c r="AH54" s="12"/>
      <c r="AI54" s="15" t="s">
        <v>65</v>
      </c>
      <c r="AJ54" s="12"/>
      <c r="AK54" s="15" t="s">
        <v>65</v>
      </c>
      <c r="AL54" s="18"/>
      <c r="AM54" s="15" t="s">
        <v>65</v>
      </c>
      <c r="AN54" s="18"/>
      <c r="AO54" s="15" t="s">
        <v>65</v>
      </c>
    </row>
    <row r="55" spans="1:43" ht="15" customHeight="1" x14ac:dyDescent="0.25">
      <c r="A55" s="96"/>
      <c r="B55" s="122"/>
      <c r="C55" s="126"/>
      <c r="D55" s="16" t="s">
        <v>66</v>
      </c>
      <c r="E55" s="121"/>
      <c r="F55" s="16" t="s">
        <v>66</v>
      </c>
      <c r="G55" s="121"/>
      <c r="H55" s="16" t="s">
        <v>66</v>
      </c>
      <c r="I55" s="121"/>
      <c r="J55" s="16" t="s">
        <v>66</v>
      </c>
      <c r="K55" s="121"/>
      <c r="L55" s="16" t="s">
        <v>66</v>
      </c>
      <c r="M55" s="121"/>
      <c r="N55" s="16" t="s">
        <v>66</v>
      </c>
      <c r="O55" s="121"/>
      <c r="P55" s="16" t="s">
        <v>66</v>
      </c>
      <c r="Q55" s="121"/>
      <c r="R55" s="16" t="s">
        <v>66</v>
      </c>
      <c r="S55" s="121"/>
      <c r="T55" s="16" t="s">
        <v>66</v>
      </c>
      <c r="U55" s="9"/>
      <c r="V55" s="96"/>
      <c r="W55" s="122"/>
      <c r="X55" s="13"/>
      <c r="Y55" s="16" t="s">
        <v>66</v>
      </c>
      <c r="Z55" s="13"/>
      <c r="AA55" s="16" t="s">
        <v>66</v>
      </c>
      <c r="AB55" s="13"/>
      <c r="AC55" s="16" t="s">
        <v>66</v>
      </c>
      <c r="AD55" s="14"/>
      <c r="AE55" s="16" t="s">
        <v>66</v>
      </c>
      <c r="AF55" s="14"/>
      <c r="AG55" s="16" t="s">
        <v>66</v>
      </c>
      <c r="AH55" s="14"/>
      <c r="AI55" s="16" t="s">
        <v>66</v>
      </c>
      <c r="AJ55" s="14"/>
      <c r="AK55" s="16" t="s">
        <v>66</v>
      </c>
      <c r="AL55" s="19"/>
      <c r="AM55" s="16" t="s">
        <v>66</v>
      </c>
      <c r="AN55" s="19"/>
      <c r="AO55" s="16" t="s">
        <v>66</v>
      </c>
    </row>
    <row r="56" spans="1:43" ht="15" customHeight="1" x14ac:dyDescent="0.25">
      <c r="A56" s="96"/>
      <c r="B56" s="122" t="s">
        <v>35</v>
      </c>
      <c r="C56" s="125"/>
      <c r="D56" s="15" t="s">
        <v>65</v>
      </c>
      <c r="E56" s="120" t="str">
        <f>IF(QUOTIENT(E20+E21,2)&lt;2,2-QUOTIENT(E20+E21,2),"")</f>
        <v/>
      </c>
      <c r="F56" s="15" t="s">
        <v>65</v>
      </c>
      <c r="G56" s="120" t="str">
        <f>IF(QUOTIENT(G20+G21,2)&lt;2,2-QUOTIENT(G20+G21,2),"")</f>
        <v/>
      </c>
      <c r="H56" s="15" t="s">
        <v>65</v>
      </c>
      <c r="I56" s="120">
        <f>IF(QUOTIENT(I20+I21,2)&lt;2,2-QUOTIENT(I20+I21,2),"")</f>
        <v>1</v>
      </c>
      <c r="J56" s="15" t="s">
        <v>65</v>
      </c>
      <c r="K56" s="120">
        <f>IF(QUOTIENT(K20+K21,2)&lt;2,2-QUOTIENT(K20+K21,2),"")</f>
        <v>1</v>
      </c>
      <c r="L56" s="15" t="s">
        <v>65</v>
      </c>
      <c r="M56" s="120" t="str">
        <f>IF(QUOTIENT(M20+M21,2)&lt;2,2-QUOTIENT(M20+M21,2),"")</f>
        <v/>
      </c>
      <c r="N56" s="15" t="s">
        <v>65</v>
      </c>
      <c r="O56" s="120" t="str">
        <f>IF(QUOTIENT(O20+O21,2)&lt;2,2-QUOTIENT(O20+O21,2),"")</f>
        <v/>
      </c>
      <c r="P56" s="15" t="s">
        <v>65</v>
      </c>
      <c r="Q56" s="120" t="str">
        <f>IF(QUOTIENT(Q20+Q21,2)&lt;2,2-QUOTIENT(Q20+Q21,2),"")</f>
        <v/>
      </c>
      <c r="R56" s="15" t="s">
        <v>65</v>
      </c>
      <c r="S56" s="120" t="str">
        <f>IF(QUOTIENT(S20+S21,2)&lt;2,2-QUOTIENT(S20+S21,2),"")</f>
        <v/>
      </c>
      <c r="T56" s="15" t="s">
        <v>65</v>
      </c>
      <c r="U56" s="9"/>
      <c r="V56" s="96"/>
      <c r="W56" s="122" t="s">
        <v>10</v>
      </c>
      <c r="X56" s="11"/>
      <c r="Y56" s="15" t="s">
        <v>65</v>
      </c>
      <c r="Z56" s="11"/>
      <c r="AA56" s="15" t="s">
        <v>65</v>
      </c>
      <c r="AB56" s="11"/>
      <c r="AC56" s="15" t="s">
        <v>65</v>
      </c>
      <c r="AD56" s="12"/>
      <c r="AE56" s="15" t="s">
        <v>65</v>
      </c>
      <c r="AF56" s="12"/>
      <c r="AG56" s="15" t="s">
        <v>65</v>
      </c>
      <c r="AH56" s="12"/>
      <c r="AI56" s="15" t="s">
        <v>65</v>
      </c>
      <c r="AJ56" s="12"/>
      <c r="AK56" s="15" t="s">
        <v>65</v>
      </c>
      <c r="AL56" s="18"/>
      <c r="AM56" s="15" t="s">
        <v>65</v>
      </c>
      <c r="AN56" s="18"/>
      <c r="AO56" s="15" t="s">
        <v>65</v>
      </c>
    </row>
    <row r="57" spans="1:43" ht="15" customHeight="1" x14ac:dyDescent="0.25">
      <c r="A57" s="96"/>
      <c r="B57" s="122"/>
      <c r="C57" s="126"/>
      <c r="D57" s="16" t="s">
        <v>66</v>
      </c>
      <c r="E57" s="121"/>
      <c r="F57" s="16" t="s">
        <v>66</v>
      </c>
      <c r="G57" s="121"/>
      <c r="H57" s="16" t="s">
        <v>66</v>
      </c>
      <c r="I57" s="121"/>
      <c r="J57" s="16" t="s">
        <v>66</v>
      </c>
      <c r="K57" s="121"/>
      <c r="L57" s="16" t="s">
        <v>66</v>
      </c>
      <c r="M57" s="121"/>
      <c r="N57" s="16" t="s">
        <v>66</v>
      </c>
      <c r="O57" s="121"/>
      <c r="P57" s="16" t="s">
        <v>66</v>
      </c>
      <c r="Q57" s="121"/>
      <c r="R57" s="16" t="s">
        <v>66</v>
      </c>
      <c r="S57" s="121"/>
      <c r="T57" s="16" t="s">
        <v>66</v>
      </c>
      <c r="U57" s="9"/>
      <c r="V57" s="96"/>
      <c r="W57" s="122"/>
      <c r="X57" s="13"/>
      <c r="Y57" s="16" t="s">
        <v>66</v>
      </c>
      <c r="Z57" s="13"/>
      <c r="AA57" s="16" t="s">
        <v>66</v>
      </c>
      <c r="AB57" s="13"/>
      <c r="AC57" s="16" t="s">
        <v>66</v>
      </c>
      <c r="AD57" s="14"/>
      <c r="AE57" s="16" t="s">
        <v>66</v>
      </c>
      <c r="AF57" s="14"/>
      <c r="AG57" s="16" t="s">
        <v>66</v>
      </c>
      <c r="AH57" s="14"/>
      <c r="AI57" s="16" t="s">
        <v>66</v>
      </c>
      <c r="AJ57" s="14"/>
      <c r="AK57" s="16" t="s">
        <v>66</v>
      </c>
      <c r="AL57" s="19"/>
      <c r="AM57" s="16" t="s">
        <v>66</v>
      </c>
      <c r="AN57" s="19"/>
      <c r="AO57" s="16" t="s">
        <v>66</v>
      </c>
    </row>
    <row r="58" spans="1:43" ht="15" customHeight="1" x14ac:dyDescent="0.25">
      <c r="A58" s="96"/>
      <c r="B58" s="122" t="s">
        <v>36</v>
      </c>
      <c r="C58" s="125"/>
      <c r="D58" s="15" t="s">
        <v>65</v>
      </c>
      <c r="E58" s="120" t="str">
        <f>IF(QUOTIENT(E22+E23,2)&lt;2,2-QUOTIENT(E22+E23,2),"")</f>
        <v/>
      </c>
      <c r="F58" s="15" t="s">
        <v>65</v>
      </c>
      <c r="G58" s="120" t="str">
        <f>IF(QUOTIENT(G22+G23,2)&lt;2,2-QUOTIENT(G22+G23,2),"")</f>
        <v/>
      </c>
      <c r="H58" s="15" t="s">
        <v>65</v>
      </c>
      <c r="I58" s="120" t="str">
        <f>IF(QUOTIENT(I22+I23,2)&lt;2,2-QUOTIENT(I22+I23,2),"")</f>
        <v/>
      </c>
      <c r="J58" s="15" t="s">
        <v>65</v>
      </c>
      <c r="K58" s="120" t="str">
        <f>IF(QUOTIENT(K22+K23,2)&lt;2,2-QUOTIENT(K22+K23,2),"")</f>
        <v/>
      </c>
      <c r="L58" s="15" t="s">
        <v>65</v>
      </c>
      <c r="M58" s="120" t="str">
        <f>IF(QUOTIENT(M22+M23,2)&lt;2,2-QUOTIENT(M22+M23,2),"")</f>
        <v/>
      </c>
      <c r="N58" s="15" t="s">
        <v>65</v>
      </c>
      <c r="O58" s="120" t="str">
        <f>IF(QUOTIENT(O22+O23,2)&lt;2,2-QUOTIENT(O22+O23,2),"")</f>
        <v/>
      </c>
      <c r="P58" s="15" t="s">
        <v>65</v>
      </c>
      <c r="Q58" s="120" t="str">
        <f>IF(QUOTIENT(Q22+Q23,2)&lt;2,2-QUOTIENT(Q22+Q23,2),"")</f>
        <v/>
      </c>
      <c r="R58" s="15" t="s">
        <v>65</v>
      </c>
      <c r="S58" s="120" t="str">
        <f>IF(QUOTIENT(S22+S23,2)&lt;2,2-QUOTIENT(S22+S23,2),"")</f>
        <v/>
      </c>
      <c r="T58" s="15" t="s">
        <v>65</v>
      </c>
      <c r="U58" s="9"/>
      <c r="V58" s="96"/>
      <c r="W58" s="9"/>
      <c r="X58" s="9"/>
      <c r="Y58" s="9"/>
      <c r="Z58" s="9"/>
      <c r="AA58" s="9"/>
      <c r="AB58" s="9"/>
      <c r="AC58" s="9"/>
      <c r="AD58" s="9"/>
      <c r="AE58" s="9"/>
      <c r="AF58" s="9"/>
      <c r="AG58" s="9"/>
      <c r="AH58" s="9"/>
      <c r="AI58" s="9"/>
      <c r="AJ58" s="9"/>
      <c r="AK58" s="9"/>
      <c r="AL58" s="9"/>
      <c r="AM58" s="9"/>
      <c r="AN58" s="9"/>
      <c r="AO58" s="9"/>
    </row>
    <row r="59" spans="1:43" ht="15" customHeight="1" x14ac:dyDescent="0.25">
      <c r="A59" s="96"/>
      <c r="B59" s="122"/>
      <c r="C59" s="126"/>
      <c r="D59" s="16" t="s">
        <v>66</v>
      </c>
      <c r="E59" s="121"/>
      <c r="F59" s="16" t="s">
        <v>66</v>
      </c>
      <c r="G59" s="121"/>
      <c r="H59" s="16" t="s">
        <v>66</v>
      </c>
      <c r="I59" s="121"/>
      <c r="J59" s="16" t="s">
        <v>66</v>
      </c>
      <c r="K59" s="121"/>
      <c r="L59" s="16" t="s">
        <v>66</v>
      </c>
      <c r="M59" s="121"/>
      <c r="N59" s="16" t="s">
        <v>66</v>
      </c>
      <c r="O59" s="121"/>
      <c r="P59" s="16" t="s">
        <v>66</v>
      </c>
      <c r="Q59" s="121"/>
      <c r="R59" s="16" t="s">
        <v>66</v>
      </c>
      <c r="S59" s="121"/>
      <c r="T59" s="16" t="s">
        <v>66</v>
      </c>
      <c r="U59" s="9"/>
      <c r="V59" s="96"/>
      <c r="W59" s="9"/>
      <c r="X59" s="9"/>
      <c r="Y59" s="9"/>
      <c r="Z59" s="9"/>
      <c r="AA59" s="9"/>
      <c r="AB59" s="9"/>
      <c r="AC59" s="9"/>
      <c r="AD59" s="9"/>
      <c r="AE59" s="9"/>
      <c r="AF59" s="9"/>
      <c r="AG59" s="9"/>
      <c r="AH59" s="9"/>
      <c r="AI59" s="9"/>
      <c r="AJ59" s="9"/>
      <c r="AK59" s="9"/>
      <c r="AL59" s="9"/>
      <c r="AM59" s="9"/>
      <c r="AN59" s="9"/>
      <c r="AO59" s="9"/>
    </row>
    <row r="60" spans="1:43" ht="15" customHeight="1" x14ac:dyDescent="0.25">
      <c r="A60" s="96"/>
      <c r="B60" s="122" t="s">
        <v>37</v>
      </c>
      <c r="C60" s="125"/>
      <c r="D60" s="15" t="s">
        <v>65</v>
      </c>
      <c r="E60" s="120" t="str">
        <f>IF(QUOTIENT(E24+E25,2)&lt;2,2-QUOTIENT(E24+E25,2),"")</f>
        <v/>
      </c>
      <c r="F60" s="15" t="s">
        <v>65</v>
      </c>
      <c r="G60" s="120" t="str">
        <f>IF(QUOTIENT(G24+G25,2)&lt;2,2-QUOTIENT(G24+G25,2),"")</f>
        <v/>
      </c>
      <c r="H60" s="15" t="s">
        <v>65</v>
      </c>
      <c r="I60" s="120" t="str">
        <f>IF(QUOTIENT(I24+I25,2)&lt;2,2-QUOTIENT(I24+I25,2),"")</f>
        <v/>
      </c>
      <c r="J60" s="15" t="s">
        <v>65</v>
      </c>
      <c r="K60" s="120" t="str">
        <f>IF(QUOTIENT(K24+K25,2)&lt;2,2-QUOTIENT(K24+K25,2),"")</f>
        <v/>
      </c>
      <c r="L60" s="15" t="s">
        <v>65</v>
      </c>
      <c r="M60" s="120" t="str">
        <f>IF(QUOTIENT(M24+M25,2)&lt;2,2-QUOTIENT(M24+M25,2),"")</f>
        <v/>
      </c>
      <c r="N60" s="15" t="s">
        <v>65</v>
      </c>
      <c r="O60" s="120" t="str">
        <f>IF(QUOTIENT(O24+O25,2)&lt;2,2-QUOTIENT(O24+O25,2),"")</f>
        <v/>
      </c>
      <c r="P60" s="15" t="s">
        <v>65</v>
      </c>
      <c r="Q60" s="120" t="str">
        <f>IF(QUOTIENT(Q24+Q25,2)&lt;2,2-QUOTIENT(Q24+Q25,2),"")</f>
        <v/>
      </c>
      <c r="R60" s="15" t="s">
        <v>65</v>
      </c>
      <c r="S60" s="120" t="str">
        <f>IF(QUOTIENT(S24+S25,2)&lt;2,2-QUOTIENT(S24+S25,2),"")</f>
        <v/>
      </c>
      <c r="T60" s="15" t="s">
        <v>65</v>
      </c>
      <c r="U60" s="9"/>
      <c r="V60" s="96"/>
      <c r="AP60" t="s">
        <v>105</v>
      </c>
      <c r="AQ60" t="s">
        <v>106</v>
      </c>
    </row>
    <row r="61" spans="1:43" ht="15" customHeight="1" x14ac:dyDescent="0.25">
      <c r="A61" s="96"/>
      <c r="B61" s="122"/>
      <c r="C61" s="126"/>
      <c r="D61" s="16" t="s">
        <v>66</v>
      </c>
      <c r="E61" s="121"/>
      <c r="F61" s="16" t="s">
        <v>66</v>
      </c>
      <c r="G61" s="121"/>
      <c r="H61" s="16" t="s">
        <v>66</v>
      </c>
      <c r="I61" s="121"/>
      <c r="J61" s="16" t="s">
        <v>66</v>
      </c>
      <c r="K61" s="121"/>
      <c r="L61" s="16" t="s">
        <v>66</v>
      </c>
      <c r="M61" s="121"/>
      <c r="N61" s="16" t="s">
        <v>66</v>
      </c>
      <c r="O61" s="121"/>
      <c r="P61" s="16" t="s">
        <v>66</v>
      </c>
      <c r="Q61" s="121"/>
      <c r="R61" s="16" t="s">
        <v>66</v>
      </c>
      <c r="S61" s="121"/>
      <c r="T61" s="16" t="s">
        <v>66</v>
      </c>
      <c r="U61" s="9"/>
      <c r="V61" s="96"/>
      <c r="AP61" s="43">
        <f>SUM(E6:E31)+SUM(G6:G31)+SUM(I6:I31)+SUM(K6:K31)+SUM(M6:M31)+SUM(O6:O31)+SUM(Q6:Q31)+SUM(S6:S31)+68</f>
        <v>487</v>
      </c>
      <c r="AQ61">
        <f>AP61/2</f>
        <v>243.5</v>
      </c>
    </row>
    <row r="62" spans="1:43" ht="15" customHeight="1" x14ac:dyDescent="0.25">
      <c r="A62" s="96"/>
      <c r="B62" s="122" t="s">
        <v>54</v>
      </c>
      <c r="C62" s="125"/>
      <c r="D62" s="15" t="s">
        <v>65</v>
      </c>
      <c r="E62" s="120" t="str">
        <f>IF(QUOTIENT(E26+E27,2)&lt;2,2-QUOTIENT(E26+E27,2),"")</f>
        <v/>
      </c>
      <c r="F62" s="15" t="s">
        <v>65</v>
      </c>
      <c r="G62" s="120" t="str">
        <f>IF(QUOTIENT(G26+G27,2)&lt;2,2-QUOTIENT(G26+G27,2),"")</f>
        <v/>
      </c>
      <c r="H62" s="15" t="s">
        <v>65</v>
      </c>
      <c r="I62" s="120" t="str">
        <f>IF(QUOTIENT(I26+I27,2)&lt;2,2-QUOTIENT(I26+I27,2),"")</f>
        <v/>
      </c>
      <c r="J62" s="15" t="s">
        <v>65</v>
      </c>
      <c r="K62" s="120" t="str">
        <f>IF(QUOTIENT(K26+K27,2)&lt;2,2-QUOTIENT(K26+K27,2),"")</f>
        <v/>
      </c>
      <c r="L62" s="15" t="s">
        <v>65</v>
      </c>
      <c r="M62" s="120" t="str">
        <f>IF(QUOTIENT(M26+M27,2)&lt;2,2-QUOTIENT(M26+M27,2),"")</f>
        <v/>
      </c>
      <c r="N62" s="15" t="s">
        <v>65</v>
      </c>
      <c r="O62" s="120" t="str">
        <f>IF(QUOTIENT(O26+O27,2)&lt;2,2-QUOTIENT(O26+O27,2),"")</f>
        <v/>
      </c>
      <c r="P62" s="15" t="s">
        <v>65</v>
      </c>
      <c r="Q62" s="120" t="str">
        <f>IF(QUOTIENT(Q26+Q27,2)&lt;2,2-QUOTIENT(Q26+Q27,2),"")</f>
        <v/>
      </c>
      <c r="R62" s="15" t="s">
        <v>65</v>
      </c>
      <c r="S62" s="120">
        <f>IF(QUOTIENT(S26+S27,2)&lt;2,2-QUOTIENT(S26+S27,2),"")</f>
        <v>1</v>
      </c>
      <c r="T62" s="15" t="s">
        <v>65</v>
      </c>
      <c r="U62" s="9"/>
      <c r="V62" s="96"/>
      <c r="AP62" t="s">
        <v>107</v>
      </c>
      <c r="AQ62" t="s">
        <v>108</v>
      </c>
    </row>
    <row r="63" spans="1:43" ht="15" customHeight="1" x14ac:dyDescent="0.25">
      <c r="A63" s="96"/>
      <c r="B63" s="122"/>
      <c r="C63" s="126"/>
      <c r="D63" s="16" t="s">
        <v>66</v>
      </c>
      <c r="E63" s="121"/>
      <c r="F63" s="16" t="s">
        <v>66</v>
      </c>
      <c r="G63" s="121"/>
      <c r="H63" s="16" t="s">
        <v>66</v>
      </c>
      <c r="I63" s="121"/>
      <c r="J63" s="16" t="s">
        <v>66</v>
      </c>
      <c r="K63" s="121"/>
      <c r="L63" s="16" t="s">
        <v>66</v>
      </c>
      <c r="M63" s="121"/>
      <c r="N63" s="16" t="s">
        <v>66</v>
      </c>
      <c r="O63" s="121"/>
      <c r="P63" s="16" t="s">
        <v>66</v>
      </c>
      <c r="Q63" s="121"/>
      <c r="R63" s="16" t="s">
        <v>66</v>
      </c>
      <c r="S63" s="121"/>
      <c r="T63" s="16" t="s">
        <v>66</v>
      </c>
      <c r="U63" s="9"/>
      <c r="V63" s="96"/>
      <c r="AP63">
        <f>175*(AP61/2)</f>
        <v>42612.5</v>
      </c>
      <c r="AQ63" s="82">
        <f>AP63*1.16</f>
        <v>49430.5</v>
      </c>
    </row>
    <row r="64" spans="1:43" ht="15" customHeight="1" x14ac:dyDescent="0.25">
      <c r="A64" s="96"/>
      <c r="B64" s="122" t="s">
        <v>55</v>
      </c>
      <c r="C64" s="125"/>
      <c r="D64" s="15" t="s">
        <v>65</v>
      </c>
      <c r="E64" s="120" t="str">
        <f>IF(QUOTIENT(E28+E29,2)&lt;2,2-QUOTIENT(E28+E29,2),"")</f>
        <v/>
      </c>
      <c r="F64" s="15" t="s">
        <v>65</v>
      </c>
      <c r="G64" s="120" t="str">
        <f>IF(QUOTIENT(G28+G29,2)&lt;2,2-QUOTIENT(G28+G29,2),"")</f>
        <v/>
      </c>
      <c r="H64" s="15" t="s">
        <v>65</v>
      </c>
      <c r="I64" s="120" t="str">
        <f>IF(QUOTIENT(I28+I29,2)&lt;2,2-QUOTIENT(I28+I29,2),"")</f>
        <v/>
      </c>
      <c r="J64" s="15" t="s">
        <v>65</v>
      </c>
      <c r="K64" s="120" t="str">
        <f>IF(QUOTIENT(K28+K29,2)&lt;2,2-QUOTIENT(K28+K29,2),"")</f>
        <v/>
      </c>
      <c r="L64" s="15" t="s">
        <v>65</v>
      </c>
      <c r="M64" s="120" t="str">
        <f>IF(QUOTIENT(M28+M29,2)&lt;2,2-QUOTIENT(M28+M29,2),"")</f>
        <v/>
      </c>
      <c r="N64" s="15" t="s">
        <v>65</v>
      </c>
      <c r="O64" s="120" t="str">
        <f>IF(QUOTIENT(O28+O29,2)&lt;2,2-QUOTIENT(O28+O29,2),"")</f>
        <v/>
      </c>
      <c r="P64" s="15" t="s">
        <v>65</v>
      </c>
      <c r="Q64" s="120" t="str">
        <f>IF(QUOTIENT(Q28+Q29,2)&lt;2,2-QUOTIENT(Q28+Q29,2),"")</f>
        <v/>
      </c>
      <c r="R64" s="15" t="s">
        <v>65</v>
      </c>
      <c r="S64" s="120" t="str">
        <f>IF(QUOTIENT(S28+S29,2)&lt;2,2-QUOTIENT(S28+S29,2),"")</f>
        <v/>
      </c>
      <c r="T64" s="15" t="s">
        <v>65</v>
      </c>
      <c r="U64" s="9"/>
      <c r="V64" s="96"/>
    </row>
    <row r="65" spans="1:22" ht="15" customHeight="1" x14ac:dyDescent="0.25">
      <c r="A65" s="96"/>
      <c r="B65" s="122"/>
      <c r="C65" s="126"/>
      <c r="D65" s="16" t="s">
        <v>66</v>
      </c>
      <c r="E65" s="121"/>
      <c r="F65" s="16" t="s">
        <v>66</v>
      </c>
      <c r="G65" s="121"/>
      <c r="H65" s="16" t="s">
        <v>66</v>
      </c>
      <c r="I65" s="121"/>
      <c r="J65" s="16" t="s">
        <v>66</v>
      </c>
      <c r="K65" s="121"/>
      <c r="L65" s="16" t="s">
        <v>66</v>
      </c>
      <c r="M65" s="121"/>
      <c r="N65" s="16" t="s">
        <v>66</v>
      </c>
      <c r="O65" s="121"/>
      <c r="P65" s="16" t="s">
        <v>66</v>
      </c>
      <c r="Q65" s="121"/>
      <c r="R65" s="16" t="s">
        <v>66</v>
      </c>
      <c r="S65" s="121"/>
      <c r="T65" s="16" t="s">
        <v>66</v>
      </c>
      <c r="U65" s="9"/>
      <c r="V65" s="96"/>
    </row>
    <row r="66" spans="1:22" ht="15" customHeight="1" x14ac:dyDescent="0.25">
      <c r="A66" s="96"/>
      <c r="B66" s="122" t="s">
        <v>38</v>
      </c>
      <c r="C66" s="125"/>
      <c r="D66" s="15" t="s">
        <v>65</v>
      </c>
      <c r="E66" s="120" t="str">
        <f>IF(QUOTIENT(E30+E31,2)&lt;2,2-QUOTIENT(E30+E31,2),"")</f>
        <v/>
      </c>
      <c r="F66" s="15" t="s">
        <v>65</v>
      </c>
      <c r="G66" s="120" t="str">
        <f>IF(QUOTIENT(G30+G31,2)&lt;2,2-QUOTIENT(G30+G31,2),"")</f>
        <v/>
      </c>
      <c r="H66" s="15" t="s">
        <v>65</v>
      </c>
      <c r="I66" s="120" t="str">
        <f>IF(QUOTIENT(I30+I31,2)&lt;2,2-QUOTIENT(I30+I31,2),"")</f>
        <v/>
      </c>
      <c r="J66" s="15" t="s">
        <v>65</v>
      </c>
      <c r="K66" s="120" t="str">
        <f>IF(QUOTIENT(K30+K31,2)&lt;2,2-QUOTIENT(K30+K31,2),"")</f>
        <v/>
      </c>
      <c r="L66" s="15" t="s">
        <v>65</v>
      </c>
      <c r="M66" s="120" t="str">
        <f>IF(QUOTIENT(M30+M31,2)&lt;2,2-QUOTIENT(M30+M31,2),"")</f>
        <v/>
      </c>
      <c r="N66" s="15" t="s">
        <v>65</v>
      </c>
      <c r="O66" s="120" t="str">
        <f>IF(QUOTIENT(O30+O31,2)&lt;2,2-QUOTIENT(O30+O31,2),"")</f>
        <v/>
      </c>
      <c r="P66" s="15" t="s">
        <v>65</v>
      </c>
      <c r="Q66" s="120" t="str">
        <f>IF(QUOTIENT(Q30+Q31,2)&lt;2,2-QUOTIENT(Q30+Q31,2),"")</f>
        <v/>
      </c>
      <c r="R66" s="15" t="s">
        <v>65</v>
      </c>
      <c r="S66" s="120" t="str">
        <f>IF(QUOTIENT(S30+S31,2)&lt;2,2-QUOTIENT(S30+S31,2),"")</f>
        <v/>
      </c>
      <c r="T66" s="15" t="s">
        <v>65</v>
      </c>
      <c r="U66" s="9"/>
      <c r="V66" s="96"/>
    </row>
    <row r="67" spans="1:22" ht="15" customHeight="1" x14ac:dyDescent="0.25">
      <c r="A67" s="10"/>
      <c r="B67" s="122"/>
      <c r="C67" s="126"/>
      <c r="D67" s="17" t="s">
        <v>66</v>
      </c>
      <c r="E67" s="121"/>
      <c r="F67" s="17" t="s">
        <v>66</v>
      </c>
      <c r="G67" s="121"/>
      <c r="H67" s="17" t="s">
        <v>66</v>
      </c>
      <c r="I67" s="121"/>
      <c r="J67" s="17" t="s">
        <v>66</v>
      </c>
      <c r="K67" s="121"/>
      <c r="L67" s="17" t="s">
        <v>66</v>
      </c>
      <c r="M67" s="121"/>
      <c r="N67" s="17" t="s">
        <v>66</v>
      </c>
      <c r="O67" s="121"/>
      <c r="P67" s="17" t="s">
        <v>66</v>
      </c>
      <c r="Q67" s="121"/>
      <c r="R67" s="17" t="s">
        <v>66</v>
      </c>
      <c r="S67" s="121"/>
      <c r="T67" s="17" t="s">
        <v>66</v>
      </c>
      <c r="U67" s="9"/>
      <c r="V67" s="10"/>
    </row>
  </sheetData>
  <mergeCells count="214">
    <mergeCell ref="Q66:Q67"/>
    <mergeCell ref="S66:S67"/>
    <mergeCell ref="S64:S65"/>
    <mergeCell ref="B66:B67"/>
    <mergeCell ref="C66:C67"/>
    <mergeCell ref="E66:E67"/>
    <mergeCell ref="G66:G67"/>
    <mergeCell ref="I66:I67"/>
    <mergeCell ref="K66:K67"/>
    <mergeCell ref="M66:M67"/>
    <mergeCell ref="O66:O67"/>
    <mergeCell ref="B64:B65"/>
    <mergeCell ref="C64:C65"/>
    <mergeCell ref="E64:E65"/>
    <mergeCell ref="G64:G65"/>
    <mergeCell ref="I64:I65"/>
    <mergeCell ref="K64:K65"/>
    <mergeCell ref="M64:M65"/>
    <mergeCell ref="O64:O65"/>
    <mergeCell ref="Q64:Q65"/>
    <mergeCell ref="S58:S59"/>
    <mergeCell ref="I62:I63"/>
    <mergeCell ref="K62:K63"/>
    <mergeCell ref="M62:M63"/>
    <mergeCell ref="O62:O63"/>
    <mergeCell ref="Q62:Q63"/>
    <mergeCell ref="S62:S63"/>
    <mergeCell ref="E60:E61"/>
    <mergeCell ref="G60:G61"/>
    <mergeCell ref="I60:I61"/>
    <mergeCell ref="K60:K61"/>
    <mergeCell ref="M60:M61"/>
    <mergeCell ref="O60:O61"/>
    <mergeCell ref="Q60:Q61"/>
    <mergeCell ref="S60:S61"/>
    <mergeCell ref="B58:B59"/>
    <mergeCell ref="C58:C59"/>
    <mergeCell ref="E58:E59"/>
    <mergeCell ref="G58:G59"/>
    <mergeCell ref="I58:I59"/>
    <mergeCell ref="K58:K59"/>
    <mergeCell ref="M58:M59"/>
    <mergeCell ref="O58:O59"/>
    <mergeCell ref="Q58:Q59"/>
    <mergeCell ref="K54:K55"/>
    <mergeCell ref="M54:M55"/>
    <mergeCell ref="O54:O55"/>
    <mergeCell ref="Q54:Q55"/>
    <mergeCell ref="S54:S55"/>
    <mergeCell ref="W54:W55"/>
    <mergeCell ref="B56:B57"/>
    <mergeCell ref="C56:C57"/>
    <mergeCell ref="E56:E57"/>
    <mergeCell ref="G56:G57"/>
    <mergeCell ref="I56:I57"/>
    <mergeCell ref="K56:K57"/>
    <mergeCell ref="M56:M57"/>
    <mergeCell ref="O56:O57"/>
    <mergeCell ref="Q56:Q57"/>
    <mergeCell ref="S56:S57"/>
    <mergeCell ref="W56:W57"/>
    <mergeCell ref="K50:K51"/>
    <mergeCell ref="M50:M51"/>
    <mergeCell ref="O50:O51"/>
    <mergeCell ref="Q50:Q51"/>
    <mergeCell ref="W50:W51"/>
    <mergeCell ref="B52:B53"/>
    <mergeCell ref="C52:C53"/>
    <mergeCell ref="E52:E53"/>
    <mergeCell ref="G52:G53"/>
    <mergeCell ref="I52:I53"/>
    <mergeCell ref="K52:K53"/>
    <mergeCell ref="M52:M53"/>
    <mergeCell ref="O52:O53"/>
    <mergeCell ref="Q52:Q53"/>
    <mergeCell ref="S52:S53"/>
    <mergeCell ref="W52:W53"/>
    <mergeCell ref="K46:K47"/>
    <mergeCell ref="M46:M47"/>
    <mergeCell ref="O46:O47"/>
    <mergeCell ref="Q46:Q47"/>
    <mergeCell ref="W46:W47"/>
    <mergeCell ref="B48:B49"/>
    <mergeCell ref="C48:C49"/>
    <mergeCell ref="E48:E49"/>
    <mergeCell ref="G48:G49"/>
    <mergeCell ref="I48:I49"/>
    <mergeCell ref="K48:K49"/>
    <mergeCell ref="M48:M49"/>
    <mergeCell ref="O48:O49"/>
    <mergeCell ref="Q48:Q49"/>
    <mergeCell ref="W48:W49"/>
    <mergeCell ref="W42:W43"/>
    <mergeCell ref="B44:B45"/>
    <mergeCell ref="C44:C45"/>
    <mergeCell ref="E44:E45"/>
    <mergeCell ref="G44:G45"/>
    <mergeCell ref="I44:I45"/>
    <mergeCell ref="K44:K45"/>
    <mergeCell ref="M44:M45"/>
    <mergeCell ref="O44:O45"/>
    <mergeCell ref="Q44:Q45"/>
    <mergeCell ref="K42:K43"/>
    <mergeCell ref="M42:M43"/>
    <mergeCell ref="O42:O43"/>
    <mergeCell ref="Q42:Q43"/>
    <mergeCell ref="S42:S43"/>
    <mergeCell ref="V42:V66"/>
    <mergeCell ref="S44:S45"/>
    <mergeCell ref="S46:S47"/>
    <mergeCell ref="S48:S49"/>
    <mergeCell ref="S50:S51"/>
    <mergeCell ref="W44:W45"/>
    <mergeCell ref="B46:B47"/>
    <mergeCell ref="C46:C47"/>
    <mergeCell ref="E46:E47"/>
    <mergeCell ref="A42:A66"/>
    <mergeCell ref="B42:B43"/>
    <mergeCell ref="C42:C43"/>
    <mergeCell ref="E42:E43"/>
    <mergeCell ref="G42:G43"/>
    <mergeCell ref="I42:I43"/>
    <mergeCell ref="B62:B63"/>
    <mergeCell ref="C62:C63"/>
    <mergeCell ref="E62:E63"/>
    <mergeCell ref="G62:G63"/>
    <mergeCell ref="G46:G47"/>
    <mergeCell ref="I46:I47"/>
    <mergeCell ref="B50:B51"/>
    <mergeCell ref="C50:C51"/>
    <mergeCell ref="E50:E51"/>
    <mergeCell ref="G50:G51"/>
    <mergeCell ref="I50:I51"/>
    <mergeCell ref="B54:B55"/>
    <mergeCell ref="C54:C55"/>
    <mergeCell ref="E54:E55"/>
    <mergeCell ref="G54:G55"/>
    <mergeCell ref="I54:I55"/>
    <mergeCell ref="B60:B61"/>
    <mergeCell ref="C60:C61"/>
    <mergeCell ref="C40:T40"/>
    <mergeCell ref="X40:AO40"/>
    <mergeCell ref="C41:D41"/>
    <mergeCell ref="E41:F41"/>
    <mergeCell ref="G41:H41"/>
    <mergeCell ref="I41:J41"/>
    <mergeCell ref="K41:L41"/>
    <mergeCell ref="M41:N41"/>
    <mergeCell ref="AD41:AE41"/>
    <mergeCell ref="AF41:AG41"/>
    <mergeCell ref="AH41:AI41"/>
    <mergeCell ref="AJ41:AK41"/>
    <mergeCell ref="AL41:AM41"/>
    <mergeCell ref="AN41:AO41"/>
    <mergeCell ref="O41:P41"/>
    <mergeCell ref="Q41:R41"/>
    <mergeCell ref="S41:T41"/>
    <mergeCell ref="X41:Y41"/>
    <mergeCell ref="Z41:AA41"/>
    <mergeCell ref="AB41:AC41"/>
    <mergeCell ref="C37:AF37"/>
    <mergeCell ref="B20:B21"/>
    <mergeCell ref="W20:W21"/>
    <mergeCell ref="B22:B23"/>
    <mergeCell ref="W22:W23"/>
    <mergeCell ref="B24:B25"/>
    <mergeCell ref="W24:W25"/>
    <mergeCell ref="C39:T39"/>
    <mergeCell ref="X39:AO39"/>
    <mergeCell ref="B38:T38"/>
    <mergeCell ref="A6:A30"/>
    <mergeCell ref="B6:B7"/>
    <mergeCell ref="V6:V30"/>
    <mergeCell ref="W6:W7"/>
    <mergeCell ref="B8:B9"/>
    <mergeCell ref="W8:W9"/>
    <mergeCell ref="B10:B11"/>
    <mergeCell ref="W10:W11"/>
    <mergeCell ref="B12:B13"/>
    <mergeCell ref="B28:B29"/>
    <mergeCell ref="W28:W29"/>
    <mergeCell ref="B30:B31"/>
    <mergeCell ref="W12:W13"/>
    <mergeCell ref="B14:B15"/>
    <mergeCell ref="W14:W15"/>
    <mergeCell ref="B16:B17"/>
    <mergeCell ref="W16:W17"/>
    <mergeCell ref="B18:B19"/>
    <mergeCell ref="W18:W19"/>
    <mergeCell ref="B26:B27"/>
    <mergeCell ref="W26:W27"/>
    <mergeCell ref="C1:AF1"/>
    <mergeCell ref="C3:T3"/>
    <mergeCell ref="X3:AO3"/>
    <mergeCell ref="C4:T4"/>
    <mergeCell ref="X4:AO4"/>
    <mergeCell ref="C5:D5"/>
    <mergeCell ref="E5:F5"/>
    <mergeCell ref="G5:H5"/>
    <mergeCell ref="I5:J5"/>
    <mergeCell ref="K5:L5"/>
    <mergeCell ref="AN5:AO5"/>
    <mergeCell ref="AB5:AC5"/>
    <mergeCell ref="AD5:AE5"/>
    <mergeCell ref="AF5:AG5"/>
    <mergeCell ref="AH5:AI5"/>
    <mergeCell ref="AJ5:AK5"/>
    <mergeCell ref="AL5:AM5"/>
    <mergeCell ref="M5:N5"/>
    <mergeCell ref="O5:P5"/>
    <mergeCell ref="Q5:R5"/>
    <mergeCell ref="S5:T5"/>
    <mergeCell ref="X5:Y5"/>
    <mergeCell ref="Z5:AA5"/>
  </mergeCells>
  <pageMargins left="0.7" right="0.7" top="0.75" bottom="0.75" header="0.3" footer="0.3"/>
  <ignoredErrors>
    <ignoredError sqref="B6:B31 C5:AO5 C13:D13 C10:D10 P10 C11:D11 P11 C21:D21 C17:D17 L17 C18:D18 L18 P18 C19:D19 P19 H10 H11 C16:D16 J16 C15:D15 J15 C9:D9 C6:D6 H6 C7:D7 H7 J6 J7 B41:AO41 B61:D61 B60:D60 F60 B63:D63 B62:D62 F62 B65:D65 B64:D64 F64 B67:D67 B66:D66 F66 H66 H64 H62 H60 J60 J62 J64 J66 H61 H63 H65 H67 J61 J63 J65 J67 L60 L62 L64 L66 L61 L63 L65 L67 N60 N62 N64 N66 N61 N63 N65 N67 P60 P62 P64 P66 P61 P63 P65 P67 R60 R62 R64 R66 R61 R63 R65 R67 T60:V60 T62:V62 T64:V64 W58:AO58 T61:V61 T63:V63 T65:V65 W59:AO59 N10 N11 J17 L6 L7 C14:D14 T14:AO14 T15:AO15 C31:D31 C24:D24 H24 C25:D25 H25 C26:D26 H26 C27:D27 H27 C28:D28 H28 C29:D29 H29 C30:D30 H30 H31 J26 J27 J28 J29 J30 J31 L24 L25 L26 L27 L28 L29 L30 L31 N24 N25 N26 N27 N28 N29 N30 N31 P24 P25 P26 P27 P28 P29 P30 P31 R24 R25 R26 R27 R28 R29 R30 R31 T24:V24 T25:V25 T26:V26 T27:V27 T28:V28 T29:V29 T30:AO30 T31:AO31 C8:D8 J8 J11 C23:D23 C22:D22 T22:V22 T23:V23 C20:D20 N20 N21 N14 N15 N16 C12:D12 H12 H13 N13 H8 H9 R23 N6 N7 P7 P6 H21 H17 H18 H19 H16 H15 H14 H23 H22 H20 J10 J24 J25 J12 J13 J9 J21 J18 J19 J14 J23 J22 J20 L16 L15 L8 L11 L10 L12 L13 L9 L21 L19 L14 L23 L22 L20 N17 N18 N8 N12 N9 N19 N23 N22 P20 P21 P14 P15 P16 P13 P17 P8 P12 P9 P23 P22 R10 R11 R18 R19 R6 R20 R21 R14 R15 R16 R13 R17 R8 R12 R9 R22 T10:AO10 T11:AO11 T18:AO18 T19:AO19 T7:AO7 T6:AO6 T20:AO20 T21:AO21 T16:AO16 T13:AO13 T17:AO17 T8:AO8 T12:AO12 T9:AO9 B43:F43 B42:D42 L42 B49:D49 B48:D48 N48 B53:D55 B52:D52 J52 B51:D51 B50:D50 N50 N52 B57:D59 B56:D56 N56 F61 F63 F65 F67 F42 B44:D47 F44:F47 F49 F48 F53:F55 F52 F51 F50 F57:F59 F56 H43 H42 H44:H47 H49 H48 H53:H55 H52 H51 H50 H57:H59 H56 J43 J42 J44:J47 J49 J48 J53:J55 J51 J50 J57:J59 J56 L43 L52 L44:L47 L49 L48 L53:L55 L51 L50 L57:L59 L56 N42 N43 N44:N47 N49 N53:N55 N51 N57:N59 P42 P43 P48 P50 P52 P56 P44:P47 P49 P53:P55 P51 P57:P59 R42 R43 R48 R50 R52 R56 R44:R47 R49 R53:R55 R51 R57:R59 T42:AO42 T43:AO43 T48:AO48 T50:AO50 T52:AO52 T56:AO56 T44:AO47 T49:AO49 T53:AO55 T51:AO51 T57:AO57 F6 F7 F8 F9 F10 F11 F12 F13 F14 F15 F16 F17 F18 F19 F20 F21 F22 F23 F24 F25 F26 F27 F28 F29 F30 F31 T58:V59 T67:V67 T66:V66" numberStoredAsText="1"/>
  </ignoredError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12</vt:i4>
      </vt:variant>
    </vt:vector>
  </HeadingPairs>
  <TitlesOfParts>
    <vt:vector size="12" baseType="lpstr">
      <vt:lpstr>VS BLANCO</vt:lpstr>
      <vt:lpstr>VS AR</vt:lpstr>
      <vt:lpstr>VS BLUE PROTECT</vt:lpstr>
      <vt:lpstr>VS FOTO AR</vt:lpstr>
      <vt:lpstr>VS FOTO BLUE</vt:lpstr>
      <vt:lpstr>VS FOTO</vt:lpstr>
      <vt:lpstr>FT-L28 BLANCO</vt:lpstr>
      <vt:lpstr>FT-L28 FOTO</vt:lpstr>
      <vt:lpstr>FT-L28 AR</vt:lpstr>
      <vt:lpstr>FT-L28 FOTO AR</vt:lpstr>
      <vt:lpstr>PROG AR</vt:lpstr>
      <vt:lpstr>PROG FOTO AR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PC</cp:lastModifiedBy>
  <cp:lastPrinted>2022-11-04T01:24:45Z</cp:lastPrinted>
  <dcterms:created xsi:type="dcterms:W3CDTF">2020-10-22T18:27:48Z</dcterms:created>
  <dcterms:modified xsi:type="dcterms:W3CDTF">2026-02-13T21:58:16Z</dcterms:modified>
</cp:coreProperties>
</file>